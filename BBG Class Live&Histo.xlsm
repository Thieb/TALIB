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10" windowWidth="17520" windowHeight="14310" activeTab="3"/>
  </bookViews>
  <sheets>
    <sheet name="Sheet1" sheetId="1" r:id="rId1"/>
    <sheet name="Ali" sheetId="2" r:id="rId2"/>
    <sheet name="Ali vol" sheetId="3" r:id="rId3"/>
    <sheet name="CMX Gold" sheetId="4" r:id="rId4"/>
    <sheet name="Weeklies" sheetId="6" r:id="rId5"/>
    <sheet name="Static" sheetId="5" r:id="rId6"/>
    <sheet name="Sheet2" sheetId="7" r:id="rId7"/>
  </sheets>
  <functionGroups builtInGroupCount="17"/>
  <definedNames>
    <definedName name="ASK_MONTH">'CMX Gold'!$D$6:$D$13</definedName>
    <definedName name="ASK_Strikes">'CMX Gold'!$E$5:$U$5</definedName>
    <definedName name="Asset">'CMX Gold'!$D$2</definedName>
    <definedName name="BID_Strikes">'CMX Gold'!$E$21:$U$21</definedName>
    <definedName name="center_strike">Weeklies!$M$12</definedName>
    <definedName name="Front">Weeklies!$I$2</definedName>
    <definedName name="FrontExpiry">Weeklies!$I$3</definedName>
    <definedName name="FrontPrice">Weeklies!$J$2</definedName>
    <definedName name="FutExpCode">'CMX Gold'!$W$6:$W$13</definedName>
    <definedName name="FutExpiry">'CMX Gold'!$G$2</definedName>
    <definedName name="FutPrice">'CMX Gold'!$V$6</definedName>
    <definedName name="LFutExpCode">'CMX Gold'!$W$5</definedName>
    <definedName name="LFutPrice">'CMX Gold'!$V$5</definedName>
    <definedName name="OptionTicker">'CMX Gold'!$B$6:$B$13</definedName>
    <definedName name="print">'CMX Gold'!$E$6</definedName>
    <definedName name="printExp">Weeklies!$X$13</definedName>
    <definedName name="printW">Weeklies!$E$13</definedName>
    <definedName name="Rate_Inst">'CMX Gold'!$AH$6:$AH$14</definedName>
    <definedName name="Ref">'CMX Gold'!$G$1</definedName>
    <definedName name="Spot">'CMX Gold'!$H$1</definedName>
    <definedName name="WASK_MONTH">Weeklies!$B$13:$B$24</definedName>
    <definedName name="WASK_Strikes">Weeklies!$E$12:$W$12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9" i="7" l="1"/>
  <c r="C7" i="7"/>
  <c r="C8" i="7" s="1"/>
  <c r="AB41" i="4"/>
  <c r="D10" i="7" l="1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W67" i="6"/>
  <c r="V67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58" i="6"/>
  <c r="D73" i="6" s="1"/>
  <c r="D57" i="6"/>
  <c r="D72" i="6" s="1"/>
  <c r="D56" i="6"/>
  <c r="D71" i="6" s="1"/>
  <c r="D55" i="6"/>
  <c r="D70" i="6" s="1"/>
  <c r="D54" i="6"/>
  <c r="D69" i="6" s="1"/>
  <c r="D53" i="6"/>
  <c r="D68" i="6" s="1"/>
  <c r="D52" i="6"/>
  <c r="D67" i="6" s="1"/>
  <c r="D51" i="6"/>
  <c r="D66" i="6" s="1"/>
  <c r="D50" i="6"/>
  <c r="D65" i="6" s="1"/>
  <c r="D49" i="6"/>
  <c r="D64" i="6" s="1"/>
  <c r="D48" i="6"/>
  <c r="D63" i="6" s="1"/>
  <c r="D47" i="6"/>
  <c r="D62" i="6" s="1"/>
  <c r="G67" i="6"/>
  <c r="E52" i="6"/>
  <c r="Q52" i="6"/>
  <c r="M52" i="6"/>
  <c r="S52" i="6"/>
  <c r="S67" i="6"/>
  <c r="O52" i="6"/>
  <c r="K52" i="6"/>
  <c r="P67" i="6"/>
  <c r="I52" i="6"/>
  <c r="P52" i="6"/>
  <c r="J52" i="6"/>
  <c r="T52" i="6"/>
  <c r="H52" i="6"/>
  <c r="U67" i="6"/>
  <c r="N52" i="6"/>
  <c r="M67" i="6"/>
  <c r="O67" i="6"/>
  <c r="N67" i="6"/>
  <c r="L67" i="6"/>
  <c r="J67" i="6"/>
  <c r="H67" i="6"/>
  <c r="F67" i="6"/>
  <c r="G52" i="6"/>
  <c r="R52" i="6"/>
  <c r="T67" i="6"/>
  <c r="E67" i="6"/>
  <c r="F52" i="6"/>
  <c r="R67" i="6"/>
  <c r="I67" i="6"/>
  <c r="V52" i="6"/>
  <c r="L52" i="6"/>
  <c r="K67" i="6"/>
  <c r="U52" i="6"/>
  <c r="W52" i="6"/>
  <c r="F53" i="6"/>
  <c r="E53" i="6"/>
  <c r="E68" i="6"/>
  <c r="F68" i="6"/>
  <c r="Q67" i="6"/>
  <c r="K56" i="6"/>
  <c r="V70" i="6"/>
  <c r="F69" i="6"/>
  <c r="N53" i="6"/>
  <c r="U71" i="6"/>
  <c r="F54" i="6"/>
  <c r="N69" i="6"/>
  <c r="M71" i="6"/>
  <c r="V56" i="6"/>
  <c r="H53" i="6"/>
  <c r="H54" i="6"/>
  <c r="J69" i="6"/>
  <c r="U69" i="6"/>
  <c r="W70" i="6"/>
  <c r="W69" i="6"/>
  <c r="O53" i="6"/>
  <c r="O54" i="6"/>
  <c r="O55" i="6"/>
  <c r="I68" i="6"/>
  <c r="S55" i="6"/>
  <c r="T71" i="6"/>
  <c r="K71" i="6"/>
  <c r="V54" i="6"/>
  <c r="L71" i="6"/>
  <c r="Q53" i="6"/>
  <c r="T68" i="6"/>
  <c r="T69" i="6"/>
  <c r="U56" i="6"/>
  <c r="R69" i="6"/>
  <c r="S53" i="6"/>
  <c r="S68" i="6"/>
  <c r="N71" i="6"/>
  <c r="Q70" i="6"/>
  <c r="K68" i="6"/>
  <c r="R56" i="6"/>
  <c r="Q54" i="6"/>
  <c r="P69" i="6"/>
  <c r="T70" i="6"/>
  <c r="F55" i="6"/>
  <c r="T56" i="6"/>
  <c r="I70" i="6"/>
  <c r="I55" i="6"/>
  <c r="W53" i="6"/>
  <c r="M68" i="6"/>
  <c r="H68" i="6"/>
  <c r="T55" i="6"/>
  <c r="S70" i="6"/>
  <c r="V53" i="6"/>
  <c r="P55" i="6"/>
  <c r="L70" i="6"/>
  <c r="H55" i="6"/>
  <c r="L53" i="6"/>
  <c r="H56" i="6"/>
  <c r="H71" i="6"/>
  <c r="N55" i="6"/>
  <c r="M70" i="6"/>
  <c r="S54" i="6"/>
  <c r="R68" i="6"/>
  <c r="E69" i="6"/>
  <c r="O71" i="6"/>
  <c r="Q55" i="6"/>
  <c r="S69" i="6"/>
  <c r="J68" i="6"/>
  <c r="R55" i="6"/>
  <c r="E55" i="6"/>
  <c r="W55" i="6"/>
  <c r="G54" i="6"/>
  <c r="U55" i="6"/>
  <c r="I53" i="6"/>
  <c r="M53" i="6"/>
  <c r="P53" i="6"/>
  <c r="J70" i="6"/>
  <c r="G70" i="6"/>
  <c r="S71" i="6"/>
  <c r="N54" i="6"/>
  <c r="E56" i="6"/>
  <c r="K53" i="6"/>
  <c r="R70" i="6"/>
  <c r="P71" i="6"/>
  <c r="K54" i="6"/>
  <c r="L55" i="6"/>
  <c r="W56" i="6"/>
  <c r="G53" i="6"/>
  <c r="E71" i="6"/>
  <c r="U53" i="6"/>
  <c r="M54" i="6"/>
  <c r="F70" i="6"/>
  <c r="Q71" i="6"/>
  <c r="O70" i="6"/>
  <c r="K55" i="6"/>
  <c r="T53" i="6"/>
  <c r="G56" i="6"/>
  <c r="U54" i="6"/>
  <c r="Q68" i="6"/>
  <c r="J56" i="6"/>
  <c r="M55" i="6"/>
  <c r="H70" i="6"/>
  <c r="G71" i="6"/>
  <c r="N56" i="6"/>
  <c r="W68" i="6"/>
  <c r="U68" i="6"/>
  <c r="P68" i="6"/>
  <c r="O56" i="6"/>
  <c r="S56" i="6"/>
  <c r="Q56" i="6"/>
  <c r="T54" i="6"/>
  <c r="N70" i="6"/>
  <c r="J55" i="6"/>
  <c r="F56" i="6"/>
  <c r="L56" i="6"/>
  <c r="P56" i="6"/>
  <c r="J54" i="6"/>
  <c r="K70" i="6"/>
  <c r="E54" i="6"/>
  <c r="U70" i="6"/>
  <c r="I54" i="6"/>
  <c r="G55" i="6"/>
  <c r="R71" i="6"/>
  <c r="W54" i="6"/>
  <c r="R53" i="6"/>
  <c r="V71" i="6"/>
  <c r="E70" i="6"/>
  <c r="F71" i="6"/>
  <c r="G69" i="6"/>
  <c r="O69" i="6"/>
  <c r="G68" i="6"/>
  <c r="R54" i="6"/>
  <c r="K69" i="6"/>
  <c r="V69" i="6"/>
  <c r="M69" i="6"/>
  <c r="I56" i="6"/>
  <c r="I71" i="6"/>
  <c r="W71" i="6"/>
  <c r="L68" i="6"/>
  <c r="I69" i="6"/>
  <c r="V68" i="6"/>
  <c r="L69" i="6"/>
  <c r="Q69" i="6"/>
  <c r="L54" i="6"/>
  <c r="P70" i="6"/>
  <c r="O68" i="6"/>
  <c r="V55" i="6"/>
  <c r="M56" i="6"/>
  <c r="H69" i="6"/>
  <c r="J53" i="6"/>
  <c r="N68" i="6"/>
  <c r="P54" i="6"/>
  <c r="J71" i="6"/>
  <c r="Z46" i="4" a="1"/>
  <c r="Y46" i="4" a="1"/>
  <c r="Z55" i="4" a="1"/>
  <c r="D1" i="4"/>
  <c r="Z47" i="4" a="1"/>
  <c r="Z57" i="4" l="1"/>
  <c r="AA57" i="4"/>
  <c r="Z55" i="4"/>
  <c r="AB57" i="4"/>
  <c r="AA55" i="4"/>
  <c r="Z58" i="4"/>
  <c r="AB55" i="4"/>
  <c r="AA58" i="4"/>
  <c r="Z56" i="4"/>
  <c r="AB58" i="4"/>
  <c r="AA56" i="4"/>
  <c r="AB56" i="4"/>
  <c r="AA47" i="4"/>
  <c r="AB47" i="4"/>
  <c r="Z48" i="4"/>
  <c r="AA48" i="4"/>
  <c r="AB48" i="4"/>
  <c r="Z49" i="4"/>
  <c r="AA49" i="4"/>
  <c r="Z47" i="4"/>
  <c r="AB49" i="4"/>
  <c r="Z46" i="4"/>
  <c r="AA46" i="4"/>
  <c r="AB46" i="4"/>
  <c r="Y53" i="4"/>
  <c r="Y46" i="4"/>
  <c r="Y54" i="4"/>
  <c r="Y47" i="4"/>
  <c r="Y48" i="4"/>
  <c r="Y49" i="4"/>
  <c r="Y50" i="4"/>
  <c r="Y51" i="4"/>
  <c r="Y52" i="4"/>
  <c r="D29" i="4"/>
  <c r="D28" i="4"/>
  <c r="D27" i="4"/>
  <c r="D26" i="4"/>
  <c r="D25" i="4"/>
  <c r="D24" i="4"/>
  <c r="D23" i="4"/>
  <c r="D22" i="4"/>
  <c r="D40" i="6" l="1"/>
  <c r="C40" i="6"/>
  <c r="D39" i="6"/>
  <c r="C39" i="6"/>
  <c r="D38" i="6"/>
  <c r="C38" i="6"/>
  <c r="D37" i="6"/>
  <c r="C37" i="6"/>
  <c r="D36" i="6"/>
  <c r="C36" i="6"/>
  <c r="D35" i="6"/>
  <c r="C35" i="6"/>
  <c r="D34" i="6"/>
  <c r="C34" i="6"/>
  <c r="D33" i="6"/>
  <c r="C33" i="6"/>
  <c r="D32" i="6"/>
  <c r="C32" i="6"/>
  <c r="D31" i="6"/>
  <c r="C31" i="6"/>
  <c r="D30" i="6"/>
  <c r="C30" i="6"/>
  <c r="D29" i="6"/>
  <c r="C29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H5" i="6"/>
  <c r="B24" i="6" l="1"/>
  <c r="B40" i="6" s="1"/>
  <c r="B23" i="6"/>
  <c r="B39" i="6" s="1"/>
  <c r="B22" i="6"/>
  <c r="B38" i="6" s="1"/>
  <c r="B21" i="6"/>
  <c r="B20" i="6"/>
  <c r="B19" i="6"/>
  <c r="B18" i="6"/>
  <c r="B17" i="6"/>
  <c r="B16" i="6"/>
  <c r="B15" i="6"/>
  <c r="B14" i="6"/>
  <c r="B13" i="6"/>
  <c r="B34" i="6" l="1"/>
  <c r="B35" i="6"/>
  <c r="B29" i="6"/>
  <c r="B30" i="6"/>
  <c r="B33" i="6"/>
  <c r="B36" i="6"/>
  <c r="B37" i="6"/>
  <c r="B31" i="6"/>
  <c r="B32" i="6"/>
  <c r="N9" i="3" a="1"/>
  <c r="N9" i="3" l="1"/>
  <c r="P9" i="3"/>
  <c r="O9" i="3"/>
  <c r="AE22" i="4"/>
  <c r="AD22" i="4"/>
  <c r="AC22" i="4"/>
  <c r="AB22" i="4"/>
  <c r="AA22" i="4"/>
  <c r="Z22" i="4"/>
  <c r="Y27" i="4"/>
  <c r="Y26" i="4"/>
  <c r="Y25" i="4"/>
  <c r="Y24" i="4"/>
  <c r="Y23" i="4"/>
  <c r="Y22" i="4"/>
  <c r="X27" i="4"/>
  <c r="X26" i="4"/>
  <c r="X25" i="4"/>
  <c r="X24" i="4"/>
  <c r="X23" i="4"/>
  <c r="X22" i="4"/>
  <c r="U68" i="4" l="1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80" i="4"/>
  <c r="E68" i="4"/>
  <c r="E56" i="4"/>
  <c r="T18" i="3"/>
  <c r="T12" i="3"/>
  <c r="T6" i="3"/>
  <c r="T15" i="3"/>
  <c r="T4" i="3"/>
  <c r="T7" i="3"/>
  <c r="T13" i="3"/>
  <c r="T9" i="3"/>
  <c r="T3" i="3"/>
  <c r="T5" i="3"/>
  <c r="T14" i="3"/>
  <c r="T8" i="3"/>
  <c r="T10" i="3"/>
  <c r="T17" i="3"/>
  <c r="T11" i="3"/>
  <c r="T16" i="3"/>
  <c r="H126" i="4"/>
  <c r="Z6" i="4"/>
  <c r="S127" i="4"/>
  <c r="E126" i="4"/>
  <c r="T127" i="4"/>
  <c r="Z10" i="4"/>
  <c r="Z11" i="4"/>
  <c r="I126" i="4"/>
  <c r="T126" i="4"/>
  <c r="O127" i="4"/>
  <c r="G127" i="4"/>
  <c r="Z7" i="4"/>
  <c r="R127" i="4"/>
  <c r="J127" i="4"/>
  <c r="F126" i="4"/>
  <c r="Z13" i="4"/>
  <c r="G126" i="4"/>
  <c r="Q127" i="4"/>
  <c r="Z12" i="4"/>
  <c r="F127" i="4"/>
  <c r="N127" i="4"/>
  <c r="L126" i="4"/>
  <c r="P126" i="4"/>
  <c r="Z9" i="4"/>
  <c r="Z8" i="4"/>
  <c r="U127" i="4"/>
  <c r="N126" i="4"/>
  <c r="S126" i="4"/>
  <c r="K126" i="4"/>
  <c r="I127" i="4"/>
  <c r="U126" i="4"/>
  <c r="E127" i="4"/>
  <c r="K127" i="4"/>
  <c r="H127" i="4"/>
  <c r="P127" i="4"/>
  <c r="M126" i="4"/>
  <c r="J126" i="4"/>
  <c r="R126" i="4"/>
  <c r="O126" i="4"/>
  <c r="M127" i="4"/>
  <c r="L127" i="4"/>
  <c r="Q126" i="4"/>
  <c r="C120" i="4" l="1"/>
  <c r="D46" i="4"/>
  <c r="U81" i="4"/>
  <c r="U95" i="4" s="1"/>
  <c r="T81" i="4"/>
  <c r="T95" i="4" s="1"/>
  <c r="S81" i="4"/>
  <c r="S95" i="4" s="1"/>
  <c r="R81" i="4"/>
  <c r="R95" i="4" s="1"/>
  <c r="Q81" i="4"/>
  <c r="Q95" i="4" s="1"/>
  <c r="P81" i="4"/>
  <c r="P95" i="4" s="1"/>
  <c r="O81" i="4"/>
  <c r="O95" i="4" s="1"/>
  <c r="N81" i="4"/>
  <c r="N95" i="4" s="1"/>
  <c r="M81" i="4"/>
  <c r="M95" i="4" s="1"/>
  <c r="L81" i="4"/>
  <c r="L95" i="4" s="1"/>
  <c r="K81" i="4"/>
  <c r="K95" i="4" s="1"/>
  <c r="J81" i="4"/>
  <c r="J95" i="4" s="1"/>
  <c r="I81" i="4"/>
  <c r="I95" i="4" s="1"/>
  <c r="H81" i="4"/>
  <c r="H95" i="4" s="1"/>
  <c r="G81" i="4"/>
  <c r="G95" i="4" s="1"/>
  <c r="F81" i="4"/>
  <c r="F95" i="4" s="1"/>
  <c r="E81" i="4"/>
  <c r="E95" i="4" s="1"/>
  <c r="D77" i="4" l="1"/>
  <c r="D76" i="4"/>
  <c r="D75" i="4"/>
  <c r="D74" i="4"/>
  <c r="D73" i="4"/>
  <c r="D72" i="4"/>
  <c r="D71" i="4"/>
  <c r="D70" i="4"/>
  <c r="D65" i="4"/>
  <c r="D64" i="4"/>
  <c r="D63" i="4"/>
  <c r="D62" i="4"/>
  <c r="D61" i="4"/>
  <c r="D60" i="4"/>
  <c r="D59" i="4"/>
  <c r="D58" i="4"/>
  <c r="D53" i="4"/>
  <c r="D89" i="4" s="1"/>
  <c r="D103" i="4" s="1"/>
  <c r="D127" i="4" s="1"/>
  <c r="D52" i="4"/>
  <c r="D88" i="4" s="1"/>
  <c r="D102" i="4" s="1"/>
  <c r="D126" i="4" s="1"/>
  <c r="D51" i="4"/>
  <c r="D87" i="4" s="1"/>
  <c r="D101" i="4" s="1"/>
  <c r="D125" i="4" s="1"/>
  <c r="D50" i="4"/>
  <c r="D86" i="4" s="1"/>
  <c r="D100" i="4" s="1"/>
  <c r="D124" i="4" s="1"/>
  <c r="D49" i="4"/>
  <c r="D85" i="4" s="1"/>
  <c r="D99" i="4" s="1"/>
  <c r="D123" i="4" s="1"/>
  <c r="D48" i="4"/>
  <c r="D84" i="4" s="1"/>
  <c r="D98" i="4" s="1"/>
  <c r="D122" i="4" s="1"/>
  <c r="D47" i="4"/>
  <c r="D83" i="4" s="1"/>
  <c r="D97" i="4" s="1"/>
  <c r="D121" i="4" s="1"/>
  <c r="D82" i="4"/>
  <c r="D96" i="4" s="1"/>
  <c r="D120" i="4" s="1"/>
  <c r="U13" i="2" l="1"/>
  <c r="AK13" i="2"/>
  <c r="C13" i="2"/>
  <c r="L13" i="2"/>
  <c r="AC13" i="2"/>
  <c r="U21" i="4" l="1"/>
  <c r="U45" i="4" s="1"/>
  <c r="U57" i="4" s="1"/>
  <c r="U69" i="4" s="1"/>
  <c r="T21" i="4"/>
  <c r="T45" i="4" s="1"/>
  <c r="T57" i="4" s="1"/>
  <c r="T69" i="4" s="1"/>
  <c r="S21" i="4"/>
  <c r="S45" i="4" s="1"/>
  <c r="S57" i="4" s="1"/>
  <c r="S69" i="4" s="1"/>
  <c r="R21" i="4"/>
  <c r="R45" i="4" s="1"/>
  <c r="R57" i="4" s="1"/>
  <c r="R69" i="4" s="1"/>
  <c r="Q21" i="4"/>
  <c r="Q45" i="4" s="1"/>
  <c r="Q57" i="4" s="1"/>
  <c r="Q69" i="4" s="1"/>
  <c r="P21" i="4"/>
  <c r="P45" i="4" s="1"/>
  <c r="P57" i="4" s="1"/>
  <c r="P69" i="4" s="1"/>
  <c r="O21" i="4"/>
  <c r="O45" i="4" s="1"/>
  <c r="O57" i="4" s="1"/>
  <c r="O69" i="4" s="1"/>
  <c r="N21" i="4"/>
  <c r="N45" i="4" s="1"/>
  <c r="N57" i="4" s="1"/>
  <c r="N69" i="4" s="1"/>
  <c r="M21" i="4"/>
  <c r="M45" i="4" s="1"/>
  <c r="M57" i="4" s="1"/>
  <c r="M69" i="4" s="1"/>
  <c r="L21" i="4"/>
  <c r="L45" i="4" s="1"/>
  <c r="K21" i="4"/>
  <c r="K45" i="4" s="1"/>
  <c r="J21" i="4"/>
  <c r="J45" i="4" s="1"/>
  <c r="I21" i="4"/>
  <c r="I45" i="4" s="1"/>
  <c r="I57" i="4" s="1"/>
  <c r="I69" i="4" s="1"/>
  <c r="H21" i="4"/>
  <c r="H45" i="4" s="1"/>
  <c r="H57" i="4" s="1"/>
  <c r="H69" i="4" s="1"/>
  <c r="G21" i="4"/>
  <c r="G45" i="4" s="1"/>
  <c r="G57" i="4" s="1"/>
  <c r="G69" i="4" s="1"/>
  <c r="F21" i="4"/>
  <c r="F45" i="4" s="1"/>
  <c r="F57" i="4" s="1"/>
  <c r="F69" i="4" s="1"/>
  <c r="E21" i="4"/>
  <c r="E45" i="4" s="1"/>
  <c r="E57" i="4" s="1"/>
  <c r="E69" i="4" s="1"/>
  <c r="K58" i="4"/>
  <c r="L57" i="4" l="1"/>
  <c r="L69" i="4" s="1"/>
  <c r="J57" i="4"/>
  <c r="J69" i="4" s="1"/>
  <c r="K57" i="4"/>
  <c r="K69" i="4" s="1"/>
  <c r="C122" i="4"/>
  <c r="C124" i="4"/>
  <c r="C125" i="4"/>
  <c r="C121" i="4"/>
  <c r="C123" i="4"/>
  <c r="B1" i="3"/>
  <c r="AP94" i="2"/>
  <c r="AO94" i="2"/>
  <c r="AP93" i="2"/>
  <c r="AO93" i="2"/>
  <c r="AP92" i="2"/>
  <c r="AO92" i="2"/>
  <c r="AP91" i="2"/>
  <c r="AO91" i="2"/>
  <c r="AP90" i="2"/>
  <c r="AO90" i="2"/>
  <c r="AP89" i="2"/>
  <c r="AO89" i="2"/>
  <c r="AP88" i="2"/>
  <c r="AO88" i="2"/>
  <c r="AP87" i="2"/>
  <c r="AO87" i="2"/>
  <c r="AP86" i="2"/>
  <c r="AO86" i="2"/>
  <c r="AP85" i="2"/>
  <c r="AO85" i="2"/>
  <c r="AP84" i="2"/>
  <c r="AO84" i="2"/>
  <c r="AP83" i="2"/>
  <c r="AO83" i="2"/>
  <c r="AP82" i="2"/>
  <c r="AO82" i="2"/>
  <c r="AP81" i="2"/>
  <c r="AO81" i="2"/>
  <c r="AP80" i="2"/>
  <c r="AO80" i="2"/>
  <c r="AP79" i="2"/>
  <c r="AO79" i="2"/>
  <c r="AP78" i="2"/>
  <c r="AO78" i="2"/>
  <c r="AP77" i="2"/>
  <c r="AO77" i="2"/>
  <c r="AP76" i="2"/>
  <c r="AO76" i="2"/>
  <c r="AP75" i="2"/>
  <c r="AO75" i="2"/>
  <c r="AP74" i="2"/>
  <c r="AO74" i="2"/>
  <c r="AP73" i="2"/>
  <c r="AO73" i="2"/>
  <c r="AP72" i="2"/>
  <c r="AO72" i="2"/>
  <c r="AP71" i="2"/>
  <c r="AO71" i="2"/>
  <c r="AP70" i="2"/>
  <c r="AO70" i="2"/>
  <c r="AP69" i="2"/>
  <c r="AO69" i="2"/>
  <c r="AP68" i="2"/>
  <c r="AO68" i="2"/>
  <c r="AP67" i="2"/>
  <c r="AO67" i="2"/>
  <c r="AP66" i="2"/>
  <c r="AO66" i="2"/>
  <c r="AP65" i="2"/>
  <c r="AO65" i="2"/>
  <c r="AP64" i="2"/>
  <c r="AO64" i="2"/>
  <c r="AP63" i="2"/>
  <c r="AO63" i="2"/>
  <c r="AP62" i="2"/>
  <c r="AO62" i="2"/>
  <c r="AP61" i="2"/>
  <c r="AO61" i="2"/>
  <c r="AP60" i="2"/>
  <c r="AO60" i="2"/>
  <c r="AP59" i="2"/>
  <c r="AO59" i="2"/>
  <c r="AP58" i="2"/>
  <c r="AO58" i="2"/>
  <c r="AP57" i="2"/>
  <c r="AO57" i="2"/>
  <c r="AP56" i="2"/>
  <c r="AO56" i="2"/>
  <c r="AP55" i="2"/>
  <c r="AO55" i="2"/>
  <c r="AP54" i="2"/>
  <c r="AO54" i="2"/>
  <c r="AP53" i="2"/>
  <c r="AO53" i="2"/>
  <c r="AP52" i="2"/>
  <c r="AO52" i="2"/>
  <c r="AP51" i="2"/>
  <c r="AO51" i="2"/>
  <c r="AP50" i="2"/>
  <c r="AO50" i="2"/>
  <c r="AP49" i="2"/>
  <c r="AO49" i="2"/>
  <c r="AP48" i="2"/>
  <c r="AO48" i="2"/>
  <c r="AP47" i="2"/>
  <c r="AO47" i="2"/>
  <c r="AP46" i="2"/>
  <c r="AO46" i="2"/>
  <c r="AP45" i="2"/>
  <c r="AO45" i="2"/>
  <c r="AP44" i="2"/>
  <c r="AO44" i="2"/>
  <c r="AP43" i="2"/>
  <c r="AO43" i="2"/>
  <c r="AP42" i="2"/>
  <c r="AO42" i="2"/>
  <c r="AP41" i="2"/>
  <c r="AO41" i="2"/>
  <c r="AP40" i="2"/>
  <c r="AO40" i="2"/>
  <c r="AP39" i="2"/>
  <c r="AO39" i="2"/>
  <c r="AP38" i="2"/>
  <c r="AO38" i="2"/>
  <c r="AP37" i="2"/>
  <c r="AO37" i="2"/>
  <c r="AP36" i="2"/>
  <c r="AO36" i="2"/>
  <c r="AP35" i="2"/>
  <c r="AO35" i="2"/>
  <c r="AP34" i="2"/>
  <c r="AO34" i="2"/>
  <c r="AP33" i="2"/>
  <c r="AO33" i="2"/>
  <c r="AP32" i="2"/>
  <c r="AO32" i="2"/>
  <c r="AP31" i="2"/>
  <c r="AO31" i="2"/>
  <c r="AP30" i="2"/>
  <c r="AO30" i="2"/>
  <c r="AP29" i="2"/>
  <c r="AO29" i="2"/>
  <c r="AP28" i="2"/>
  <c r="AO28" i="2"/>
  <c r="AP27" i="2"/>
  <c r="AO27" i="2"/>
  <c r="AP26" i="2"/>
  <c r="AO26" i="2"/>
  <c r="AP25" i="2"/>
  <c r="AO25" i="2"/>
  <c r="AP24" i="2"/>
  <c r="AO24" i="2"/>
  <c r="AP23" i="2"/>
  <c r="AO23" i="2"/>
  <c r="AP22" i="2"/>
  <c r="AO22" i="2"/>
  <c r="AP21" i="2"/>
  <c r="AO21" i="2"/>
  <c r="AP20" i="2"/>
  <c r="AO20" i="2"/>
  <c r="AP19" i="2"/>
  <c r="AO19" i="2"/>
  <c r="AP18" i="2"/>
  <c r="AO18" i="2"/>
  <c r="AP17" i="2"/>
  <c r="AO17" i="2"/>
  <c r="AP16" i="2"/>
  <c r="AO16" i="2"/>
  <c r="AP15" i="2"/>
  <c r="AO15" i="2"/>
  <c r="AP14" i="2"/>
  <c r="AO14" i="2"/>
  <c r="AP13" i="2"/>
  <c r="AH94" i="2"/>
  <c r="AG94" i="2"/>
  <c r="AH93" i="2"/>
  <c r="AG93" i="2"/>
  <c r="AH92" i="2"/>
  <c r="AG92" i="2"/>
  <c r="AH91" i="2"/>
  <c r="AG91" i="2"/>
  <c r="AH90" i="2"/>
  <c r="AG90" i="2"/>
  <c r="AH89" i="2"/>
  <c r="AG89" i="2"/>
  <c r="AH88" i="2"/>
  <c r="AG88" i="2"/>
  <c r="AH87" i="2"/>
  <c r="AG87" i="2"/>
  <c r="AH86" i="2"/>
  <c r="AG86" i="2"/>
  <c r="AH85" i="2"/>
  <c r="AG85" i="2"/>
  <c r="AH84" i="2"/>
  <c r="AG84" i="2"/>
  <c r="AH83" i="2"/>
  <c r="AG83" i="2"/>
  <c r="AH82" i="2"/>
  <c r="AG82" i="2"/>
  <c r="AH81" i="2"/>
  <c r="AG81" i="2"/>
  <c r="AH80" i="2"/>
  <c r="AG80" i="2"/>
  <c r="AH79" i="2"/>
  <c r="AG79" i="2"/>
  <c r="AH78" i="2"/>
  <c r="AG78" i="2"/>
  <c r="AH77" i="2"/>
  <c r="AG77" i="2"/>
  <c r="AH76" i="2"/>
  <c r="AG76" i="2"/>
  <c r="AH75" i="2"/>
  <c r="AG75" i="2"/>
  <c r="AH74" i="2"/>
  <c r="AG74" i="2"/>
  <c r="AH73" i="2"/>
  <c r="AG73" i="2"/>
  <c r="AH72" i="2"/>
  <c r="AG72" i="2"/>
  <c r="AH71" i="2"/>
  <c r="AG71" i="2"/>
  <c r="AH70" i="2"/>
  <c r="AG70" i="2"/>
  <c r="AH69" i="2"/>
  <c r="AG69" i="2"/>
  <c r="AH68" i="2"/>
  <c r="AG68" i="2"/>
  <c r="AH67" i="2"/>
  <c r="AG67" i="2"/>
  <c r="AH66" i="2"/>
  <c r="AG66" i="2"/>
  <c r="AH65" i="2"/>
  <c r="AG65" i="2"/>
  <c r="AH64" i="2"/>
  <c r="AG64" i="2"/>
  <c r="AH63" i="2"/>
  <c r="AG63" i="2"/>
  <c r="AH62" i="2"/>
  <c r="AG62" i="2"/>
  <c r="AH61" i="2"/>
  <c r="AG61" i="2"/>
  <c r="AH60" i="2"/>
  <c r="AG60" i="2"/>
  <c r="AH59" i="2"/>
  <c r="AG59" i="2"/>
  <c r="AH58" i="2"/>
  <c r="AG58" i="2"/>
  <c r="AH57" i="2"/>
  <c r="AG57" i="2"/>
  <c r="AH56" i="2"/>
  <c r="AG56" i="2"/>
  <c r="AH55" i="2"/>
  <c r="AG55" i="2"/>
  <c r="AH54" i="2"/>
  <c r="AG54" i="2"/>
  <c r="AH53" i="2"/>
  <c r="AG53" i="2"/>
  <c r="AH52" i="2"/>
  <c r="AG52" i="2"/>
  <c r="AH51" i="2"/>
  <c r="AG51" i="2"/>
  <c r="AH50" i="2"/>
  <c r="AG50" i="2"/>
  <c r="AH49" i="2"/>
  <c r="AG49" i="2"/>
  <c r="AH48" i="2"/>
  <c r="AG48" i="2"/>
  <c r="AH47" i="2"/>
  <c r="AG47" i="2"/>
  <c r="AH46" i="2"/>
  <c r="AG46" i="2"/>
  <c r="AH45" i="2"/>
  <c r="AG45" i="2"/>
  <c r="AH44" i="2"/>
  <c r="AG44" i="2"/>
  <c r="AH43" i="2"/>
  <c r="AG43" i="2"/>
  <c r="AH42" i="2"/>
  <c r="AG42" i="2"/>
  <c r="AH41" i="2"/>
  <c r="AG41" i="2"/>
  <c r="AH40" i="2"/>
  <c r="AG40" i="2"/>
  <c r="AH39" i="2"/>
  <c r="AG39" i="2"/>
  <c r="AH38" i="2"/>
  <c r="AG38" i="2"/>
  <c r="AH37" i="2"/>
  <c r="AG37" i="2"/>
  <c r="AH36" i="2"/>
  <c r="AG36" i="2"/>
  <c r="AH35" i="2"/>
  <c r="AG35" i="2"/>
  <c r="AH34" i="2"/>
  <c r="AG34" i="2"/>
  <c r="AH33" i="2"/>
  <c r="AG33" i="2"/>
  <c r="AH32" i="2"/>
  <c r="AG32" i="2"/>
  <c r="AH31" i="2"/>
  <c r="AG31" i="2"/>
  <c r="AH30" i="2"/>
  <c r="AG30" i="2"/>
  <c r="AH29" i="2"/>
  <c r="AG29" i="2"/>
  <c r="AH28" i="2"/>
  <c r="AG28" i="2"/>
  <c r="AH27" i="2"/>
  <c r="AG27" i="2"/>
  <c r="AH26" i="2"/>
  <c r="AG26" i="2"/>
  <c r="AH25" i="2"/>
  <c r="AG25" i="2"/>
  <c r="AH24" i="2"/>
  <c r="AG24" i="2"/>
  <c r="AH23" i="2"/>
  <c r="AG23" i="2"/>
  <c r="AH22" i="2"/>
  <c r="AG22" i="2"/>
  <c r="AH21" i="2"/>
  <c r="AG21" i="2"/>
  <c r="AH20" i="2"/>
  <c r="AG20" i="2"/>
  <c r="AH19" i="2"/>
  <c r="AG19" i="2"/>
  <c r="AH18" i="2"/>
  <c r="AG18" i="2"/>
  <c r="AH17" i="2"/>
  <c r="AG17" i="2"/>
  <c r="AH16" i="2"/>
  <c r="AG16" i="2"/>
  <c r="AH15" i="2"/>
  <c r="AG15" i="2"/>
  <c r="AH14" i="2"/>
  <c r="AG14" i="2"/>
  <c r="AH13" i="2"/>
  <c r="Z94" i="2"/>
  <c r="Y94" i="2"/>
  <c r="Z93" i="2"/>
  <c r="Y93" i="2"/>
  <c r="Z92" i="2"/>
  <c r="Y92" i="2"/>
  <c r="Z91" i="2"/>
  <c r="Y91" i="2"/>
  <c r="Z90" i="2"/>
  <c r="Y90" i="2"/>
  <c r="Z89" i="2"/>
  <c r="Y89" i="2"/>
  <c r="Z88" i="2"/>
  <c r="Y88" i="2"/>
  <c r="Z87" i="2"/>
  <c r="Y87" i="2"/>
  <c r="Z86" i="2"/>
  <c r="Y86" i="2"/>
  <c r="Z85" i="2"/>
  <c r="Y85" i="2"/>
  <c r="Z84" i="2"/>
  <c r="Y84" i="2"/>
  <c r="Z83" i="2"/>
  <c r="Y83" i="2"/>
  <c r="Z82" i="2"/>
  <c r="Y82" i="2"/>
  <c r="Z81" i="2"/>
  <c r="Y81" i="2"/>
  <c r="Z80" i="2"/>
  <c r="Y80" i="2"/>
  <c r="Z79" i="2"/>
  <c r="Y79" i="2"/>
  <c r="Z78" i="2"/>
  <c r="Y78" i="2"/>
  <c r="Z77" i="2"/>
  <c r="Y77" i="2"/>
  <c r="Z76" i="2"/>
  <c r="Y76" i="2"/>
  <c r="Z75" i="2"/>
  <c r="Y75" i="2"/>
  <c r="Z74" i="2"/>
  <c r="Y74" i="2"/>
  <c r="Z73" i="2"/>
  <c r="Y73" i="2"/>
  <c r="Z72" i="2"/>
  <c r="Y72" i="2"/>
  <c r="Z71" i="2"/>
  <c r="Y71" i="2"/>
  <c r="Z70" i="2"/>
  <c r="Y70" i="2"/>
  <c r="Z69" i="2"/>
  <c r="Y69" i="2"/>
  <c r="Z68" i="2"/>
  <c r="Y68" i="2"/>
  <c r="Z67" i="2"/>
  <c r="Y67" i="2"/>
  <c r="Z66" i="2"/>
  <c r="Y66" i="2"/>
  <c r="Z65" i="2"/>
  <c r="Y65" i="2"/>
  <c r="Z64" i="2"/>
  <c r="Y64" i="2"/>
  <c r="Z63" i="2"/>
  <c r="Y63" i="2"/>
  <c r="Z62" i="2"/>
  <c r="Y62" i="2"/>
  <c r="Z61" i="2"/>
  <c r="Y61" i="2"/>
  <c r="Z60" i="2"/>
  <c r="Y60" i="2"/>
  <c r="Z59" i="2"/>
  <c r="Y59" i="2"/>
  <c r="Z58" i="2"/>
  <c r="Y58" i="2"/>
  <c r="Z57" i="2"/>
  <c r="Y57" i="2"/>
  <c r="Z56" i="2"/>
  <c r="Y56" i="2"/>
  <c r="Z55" i="2"/>
  <c r="Y55" i="2"/>
  <c r="Z54" i="2"/>
  <c r="Y54" i="2"/>
  <c r="Z53" i="2"/>
  <c r="Y53" i="2"/>
  <c r="Z52" i="2"/>
  <c r="Y52" i="2"/>
  <c r="Z51" i="2"/>
  <c r="Y51" i="2"/>
  <c r="Z50" i="2"/>
  <c r="Y50" i="2"/>
  <c r="Z49" i="2"/>
  <c r="Y49" i="2"/>
  <c r="Z48" i="2"/>
  <c r="Y48" i="2"/>
  <c r="Z47" i="2"/>
  <c r="Y47" i="2"/>
  <c r="Z46" i="2"/>
  <c r="Y46" i="2"/>
  <c r="Z45" i="2"/>
  <c r="Y45" i="2"/>
  <c r="Z44" i="2"/>
  <c r="Y44" i="2"/>
  <c r="Z43" i="2"/>
  <c r="Y43" i="2"/>
  <c r="Z42" i="2"/>
  <c r="Y42" i="2"/>
  <c r="Z41" i="2"/>
  <c r="Y41" i="2"/>
  <c r="Z40" i="2"/>
  <c r="Y40" i="2"/>
  <c r="Z39" i="2"/>
  <c r="Y39" i="2"/>
  <c r="Z38" i="2"/>
  <c r="Y38" i="2"/>
  <c r="Z37" i="2"/>
  <c r="Y37" i="2"/>
  <c r="Z36" i="2"/>
  <c r="Y36" i="2"/>
  <c r="Z35" i="2"/>
  <c r="Y35" i="2"/>
  <c r="Z34" i="2"/>
  <c r="Y34" i="2"/>
  <c r="Z33" i="2"/>
  <c r="Y33" i="2"/>
  <c r="Z32" i="2"/>
  <c r="Y32" i="2"/>
  <c r="Z31" i="2"/>
  <c r="Y31" i="2"/>
  <c r="Z30" i="2"/>
  <c r="Y30" i="2"/>
  <c r="Z29" i="2"/>
  <c r="Y29" i="2"/>
  <c r="Z28" i="2"/>
  <c r="Y28" i="2"/>
  <c r="Z27" i="2"/>
  <c r="Y27" i="2"/>
  <c r="Z26" i="2"/>
  <c r="Y26" i="2"/>
  <c r="Z25" i="2"/>
  <c r="Y25" i="2"/>
  <c r="Z24" i="2"/>
  <c r="Y24" i="2"/>
  <c r="Z23" i="2"/>
  <c r="Y23" i="2"/>
  <c r="Z22" i="2"/>
  <c r="Y22" i="2"/>
  <c r="Z21" i="2"/>
  <c r="Y21" i="2"/>
  <c r="Z20" i="2"/>
  <c r="Y20" i="2"/>
  <c r="Z19" i="2"/>
  <c r="Y19" i="2"/>
  <c r="Z18" i="2"/>
  <c r="Y18" i="2"/>
  <c r="Z17" i="2"/>
  <c r="Y17" i="2"/>
  <c r="Z16" i="2"/>
  <c r="Y16" i="2"/>
  <c r="Z15" i="2"/>
  <c r="Y15" i="2"/>
  <c r="Z14" i="2"/>
  <c r="Y14" i="2"/>
  <c r="Z13" i="2"/>
  <c r="Q94" i="2"/>
  <c r="P94" i="2"/>
  <c r="Q93" i="2"/>
  <c r="P93" i="2"/>
  <c r="Q92" i="2"/>
  <c r="P92" i="2"/>
  <c r="Q91" i="2"/>
  <c r="P91" i="2"/>
  <c r="Q90" i="2"/>
  <c r="P90" i="2"/>
  <c r="Q89" i="2"/>
  <c r="P89" i="2"/>
  <c r="Q88" i="2"/>
  <c r="P88" i="2"/>
  <c r="Q87" i="2"/>
  <c r="P87" i="2"/>
  <c r="Q86" i="2"/>
  <c r="P86" i="2"/>
  <c r="Q85" i="2"/>
  <c r="P85" i="2"/>
  <c r="Q84" i="2"/>
  <c r="P84" i="2"/>
  <c r="Q83" i="2"/>
  <c r="P83" i="2"/>
  <c r="Q82" i="2"/>
  <c r="P82" i="2"/>
  <c r="Q81" i="2"/>
  <c r="P81" i="2"/>
  <c r="Q80" i="2"/>
  <c r="P80" i="2"/>
  <c r="Q79" i="2"/>
  <c r="P79" i="2"/>
  <c r="Q78" i="2"/>
  <c r="P78" i="2"/>
  <c r="Q77" i="2"/>
  <c r="P77" i="2"/>
  <c r="Q76" i="2"/>
  <c r="P76" i="2"/>
  <c r="Q75" i="2"/>
  <c r="P75" i="2"/>
  <c r="Q74" i="2"/>
  <c r="P74" i="2"/>
  <c r="Q73" i="2"/>
  <c r="P73" i="2"/>
  <c r="Q72" i="2"/>
  <c r="P72" i="2"/>
  <c r="Q71" i="2"/>
  <c r="P71" i="2"/>
  <c r="Q70" i="2"/>
  <c r="P70" i="2"/>
  <c r="Q69" i="2"/>
  <c r="P69" i="2"/>
  <c r="Q68" i="2"/>
  <c r="P68" i="2"/>
  <c r="Q67" i="2"/>
  <c r="P67" i="2"/>
  <c r="Q66" i="2"/>
  <c r="P66" i="2"/>
  <c r="Q65" i="2"/>
  <c r="P65" i="2"/>
  <c r="Q64" i="2"/>
  <c r="P64" i="2"/>
  <c r="Q63" i="2"/>
  <c r="P63" i="2"/>
  <c r="Q62" i="2"/>
  <c r="P62" i="2"/>
  <c r="Q61" i="2"/>
  <c r="P61" i="2"/>
  <c r="Q60" i="2"/>
  <c r="P60" i="2"/>
  <c r="Q59" i="2"/>
  <c r="P59" i="2"/>
  <c r="Q58" i="2"/>
  <c r="P58" i="2"/>
  <c r="Q57" i="2"/>
  <c r="P57" i="2"/>
  <c r="Q56" i="2"/>
  <c r="P56" i="2"/>
  <c r="Q55" i="2"/>
  <c r="P55" i="2"/>
  <c r="Q54" i="2"/>
  <c r="P54" i="2"/>
  <c r="Q53" i="2"/>
  <c r="P53" i="2"/>
  <c r="Q52" i="2"/>
  <c r="P52" i="2"/>
  <c r="Q51" i="2"/>
  <c r="P51" i="2"/>
  <c r="Q50" i="2"/>
  <c r="P50" i="2"/>
  <c r="Q49" i="2"/>
  <c r="P49" i="2"/>
  <c r="Q48" i="2"/>
  <c r="P48" i="2"/>
  <c r="Q47" i="2"/>
  <c r="P47" i="2"/>
  <c r="Q46" i="2"/>
  <c r="P46" i="2"/>
  <c r="Q45" i="2"/>
  <c r="P45" i="2"/>
  <c r="Q44" i="2"/>
  <c r="P44" i="2"/>
  <c r="Q43" i="2"/>
  <c r="P43" i="2"/>
  <c r="Q42" i="2"/>
  <c r="P42" i="2"/>
  <c r="Q41" i="2"/>
  <c r="P41" i="2"/>
  <c r="Q40" i="2"/>
  <c r="P40" i="2"/>
  <c r="Q39" i="2"/>
  <c r="P39" i="2"/>
  <c r="Q38" i="2"/>
  <c r="P38" i="2"/>
  <c r="Q37" i="2"/>
  <c r="P37" i="2"/>
  <c r="Q36" i="2"/>
  <c r="P36" i="2"/>
  <c r="Q35" i="2"/>
  <c r="P35" i="2"/>
  <c r="Q34" i="2"/>
  <c r="P34" i="2"/>
  <c r="Q33" i="2"/>
  <c r="P33" i="2"/>
  <c r="Q32" i="2"/>
  <c r="P32" i="2"/>
  <c r="Q31" i="2"/>
  <c r="P31" i="2"/>
  <c r="Q30" i="2"/>
  <c r="P30" i="2"/>
  <c r="Q29" i="2"/>
  <c r="P29" i="2"/>
  <c r="Q28" i="2"/>
  <c r="P28" i="2"/>
  <c r="Q27" i="2"/>
  <c r="P27" i="2"/>
  <c r="Q26" i="2"/>
  <c r="P26" i="2"/>
  <c r="Q25" i="2"/>
  <c r="P25" i="2"/>
  <c r="Q24" i="2"/>
  <c r="P24" i="2"/>
  <c r="Q23" i="2"/>
  <c r="P23" i="2"/>
  <c r="Q22" i="2"/>
  <c r="P22" i="2"/>
  <c r="Q21" i="2"/>
  <c r="P21" i="2"/>
  <c r="Q20" i="2"/>
  <c r="P20" i="2"/>
  <c r="Q19" i="2"/>
  <c r="P19" i="2"/>
  <c r="Q18" i="2"/>
  <c r="P18" i="2"/>
  <c r="Q17" i="2"/>
  <c r="P17" i="2"/>
  <c r="Q16" i="2"/>
  <c r="P16" i="2"/>
  <c r="Q15" i="2"/>
  <c r="P15" i="2"/>
  <c r="Q14" i="2"/>
  <c r="P14" i="2"/>
  <c r="Q13" i="2"/>
  <c r="H94" i="2"/>
  <c r="G94" i="2"/>
  <c r="H93" i="2"/>
  <c r="G93" i="2"/>
  <c r="H92" i="2"/>
  <c r="G92" i="2"/>
  <c r="H91" i="2"/>
  <c r="G91" i="2"/>
  <c r="H90" i="2"/>
  <c r="G90" i="2"/>
  <c r="H89" i="2"/>
  <c r="G89" i="2"/>
  <c r="H88" i="2"/>
  <c r="G88" i="2"/>
  <c r="H87" i="2"/>
  <c r="G87" i="2"/>
  <c r="H86" i="2"/>
  <c r="G86" i="2"/>
  <c r="H85" i="2"/>
  <c r="G85" i="2"/>
  <c r="H84" i="2"/>
  <c r="G84" i="2"/>
  <c r="H83" i="2"/>
  <c r="G83" i="2"/>
  <c r="H82" i="2"/>
  <c r="G82" i="2"/>
  <c r="H81" i="2"/>
  <c r="G81" i="2"/>
  <c r="H80" i="2"/>
  <c r="G80" i="2"/>
  <c r="H79" i="2"/>
  <c r="G79" i="2"/>
  <c r="H78" i="2"/>
  <c r="G78" i="2"/>
  <c r="H77" i="2"/>
  <c r="G77" i="2"/>
  <c r="H76" i="2"/>
  <c r="G76" i="2"/>
  <c r="H75" i="2"/>
  <c r="G75" i="2"/>
  <c r="H74" i="2"/>
  <c r="G74" i="2"/>
  <c r="H73" i="2"/>
  <c r="G73" i="2"/>
  <c r="H72" i="2"/>
  <c r="G72" i="2"/>
  <c r="H71" i="2"/>
  <c r="G71" i="2"/>
  <c r="H70" i="2"/>
  <c r="G70" i="2"/>
  <c r="H69" i="2"/>
  <c r="G69" i="2"/>
  <c r="H68" i="2"/>
  <c r="G68" i="2"/>
  <c r="H67" i="2"/>
  <c r="G67" i="2"/>
  <c r="H66" i="2"/>
  <c r="G66" i="2"/>
  <c r="H65" i="2"/>
  <c r="G65" i="2"/>
  <c r="H64" i="2"/>
  <c r="G64" i="2"/>
  <c r="H63" i="2"/>
  <c r="G63" i="2"/>
  <c r="H62" i="2"/>
  <c r="G62" i="2"/>
  <c r="H61" i="2"/>
  <c r="G61" i="2"/>
  <c r="H60" i="2"/>
  <c r="G60" i="2"/>
  <c r="H59" i="2"/>
  <c r="G59" i="2"/>
  <c r="H58" i="2"/>
  <c r="G58" i="2"/>
  <c r="H57" i="2"/>
  <c r="G57" i="2"/>
  <c r="H56" i="2"/>
  <c r="G56" i="2"/>
  <c r="H55" i="2"/>
  <c r="G55" i="2"/>
  <c r="H54" i="2"/>
  <c r="G54" i="2"/>
  <c r="H53" i="2"/>
  <c r="G53" i="2"/>
  <c r="H52" i="2"/>
  <c r="G52" i="2"/>
  <c r="H51" i="2"/>
  <c r="G51" i="2"/>
  <c r="H50" i="2"/>
  <c r="G50" i="2"/>
  <c r="H49" i="2"/>
  <c r="G49" i="2"/>
  <c r="H48" i="2"/>
  <c r="G48" i="2"/>
  <c r="H47" i="2"/>
  <c r="G47" i="2"/>
  <c r="H46" i="2"/>
  <c r="G46" i="2"/>
  <c r="H45" i="2"/>
  <c r="G45" i="2"/>
  <c r="H44" i="2"/>
  <c r="G44" i="2"/>
  <c r="H43" i="2"/>
  <c r="G43" i="2"/>
  <c r="H42" i="2"/>
  <c r="G42" i="2"/>
  <c r="H41" i="2"/>
  <c r="G41" i="2"/>
  <c r="H40" i="2"/>
  <c r="G40" i="2"/>
  <c r="H39" i="2"/>
  <c r="G39" i="2"/>
  <c r="H38" i="2"/>
  <c r="G38" i="2"/>
  <c r="H37" i="2"/>
  <c r="G37" i="2"/>
  <c r="H36" i="2"/>
  <c r="G36" i="2"/>
  <c r="H35" i="2"/>
  <c r="G35" i="2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H26" i="2"/>
  <c r="G26" i="2"/>
  <c r="H25" i="2"/>
  <c r="G25" i="2"/>
  <c r="H24" i="2"/>
  <c r="G24" i="2"/>
  <c r="H23" i="2"/>
  <c r="G23" i="2"/>
  <c r="H22" i="2"/>
  <c r="G22" i="2"/>
  <c r="H21" i="2"/>
  <c r="G21" i="2"/>
  <c r="H20" i="2"/>
  <c r="G20" i="2"/>
  <c r="H19" i="2"/>
  <c r="G19" i="2"/>
  <c r="H18" i="2"/>
  <c r="G18" i="2"/>
  <c r="H17" i="2"/>
  <c r="G17" i="2"/>
  <c r="H16" i="2"/>
  <c r="G16" i="2"/>
  <c r="H15" i="2"/>
  <c r="G15" i="2"/>
  <c r="H14" i="2"/>
  <c r="H13" i="2"/>
  <c r="G14" i="2"/>
  <c r="AK11" i="2"/>
  <c r="AC11" i="2"/>
  <c r="U11" i="2"/>
  <c r="L11" i="2"/>
  <c r="F3" i="2"/>
  <c r="D22" i="3"/>
  <c r="C3" i="3" a="1"/>
  <c r="AD11" i="4"/>
  <c r="AC11" i="4"/>
  <c r="AJ12" i="4"/>
  <c r="AJ7" i="4"/>
  <c r="AJ10" i="4"/>
  <c r="AD10" i="4"/>
  <c r="AJ8" i="4"/>
  <c r="AJ13" i="4"/>
  <c r="AD6" i="4"/>
  <c r="AC12" i="4"/>
  <c r="AC8" i="4"/>
  <c r="AD12" i="4"/>
  <c r="AD7" i="4"/>
  <c r="AC6" i="4"/>
  <c r="AJ9" i="4"/>
  <c r="AC10" i="4"/>
  <c r="AD8" i="4"/>
  <c r="AJ11" i="4"/>
  <c r="AJ14" i="4"/>
  <c r="B7" i="4"/>
  <c r="B13" i="4"/>
  <c r="AC7" i="4"/>
  <c r="AJ6" i="4"/>
  <c r="A13" i="4" l="1"/>
  <c r="A7" i="4"/>
  <c r="B10" i="4"/>
  <c r="A10" i="4" l="1"/>
  <c r="B8" i="4"/>
  <c r="B12" i="4"/>
  <c r="B6" i="4"/>
  <c r="B9" i="4"/>
  <c r="D36" i="4" a="1"/>
  <c r="A6" i="4" l="1"/>
  <c r="A8" i="4"/>
  <c r="A9" i="4"/>
  <c r="A12" i="4"/>
  <c r="AC13" i="4"/>
  <c r="AC9" i="4"/>
  <c r="AD9" i="4"/>
  <c r="B11" i="4"/>
  <c r="AD13" i="4"/>
  <c r="A11" i="4" l="1"/>
  <c r="AE9" i="4"/>
  <c r="C9" i="4" s="1"/>
  <c r="AE13" i="4"/>
  <c r="C13" i="4" s="1"/>
  <c r="AE7" i="4"/>
  <c r="C7" i="4" s="1"/>
  <c r="AE6" i="4"/>
  <c r="C6" i="4" s="1"/>
  <c r="AE12" i="4"/>
  <c r="C12" i="4" s="1"/>
  <c r="AE10" i="4"/>
  <c r="C10" i="4" s="1"/>
  <c r="AE11" i="4"/>
  <c r="C11" i="4" s="1"/>
  <c r="AE8" i="4"/>
  <c r="C8" i="4" s="1"/>
  <c r="I36" i="4"/>
  <c r="Q36" i="4"/>
  <c r="I37" i="4"/>
  <c r="Q37" i="4"/>
  <c r="I38" i="4"/>
  <c r="Q38" i="4"/>
  <c r="I39" i="4"/>
  <c r="Q39" i="4"/>
  <c r="I40" i="4"/>
  <c r="Q40" i="4"/>
  <c r="I41" i="4"/>
  <c r="Q41" i="4"/>
  <c r="L36" i="4"/>
  <c r="D38" i="4"/>
  <c r="D39" i="4"/>
  <c r="D40" i="4"/>
  <c r="D41" i="4"/>
  <c r="M37" i="4"/>
  <c r="E39" i="4"/>
  <c r="E40" i="4"/>
  <c r="F36" i="4"/>
  <c r="N36" i="4"/>
  <c r="F37" i="4"/>
  <c r="N37" i="4"/>
  <c r="F38" i="4"/>
  <c r="N38" i="4"/>
  <c r="F39" i="4"/>
  <c r="N39" i="4"/>
  <c r="F40" i="4"/>
  <c r="N40" i="4"/>
  <c r="N41" i="4"/>
  <c r="O40" i="4"/>
  <c r="H36" i="4"/>
  <c r="P36" i="4"/>
  <c r="H37" i="4"/>
  <c r="P37" i="4"/>
  <c r="H38" i="4"/>
  <c r="P38" i="4"/>
  <c r="H39" i="4"/>
  <c r="P39" i="4"/>
  <c r="H40" i="4"/>
  <c r="P41" i="4"/>
  <c r="J36" i="4"/>
  <c r="R36" i="4"/>
  <c r="J37" i="4"/>
  <c r="R37" i="4"/>
  <c r="J38" i="4"/>
  <c r="R38" i="4"/>
  <c r="J39" i="4"/>
  <c r="R39" i="4"/>
  <c r="J40" i="4"/>
  <c r="R40" i="4"/>
  <c r="J41" i="4"/>
  <c r="R41" i="4"/>
  <c r="D36" i="4"/>
  <c r="D37" i="4"/>
  <c r="L37" i="4"/>
  <c r="L38" i="4"/>
  <c r="L39" i="4"/>
  <c r="L40" i="4"/>
  <c r="L41" i="4"/>
  <c r="E36" i="4"/>
  <c r="M36" i="4"/>
  <c r="E37" i="4"/>
  <c r="E38" i="4"/>
  <c r="M38" i="4"/>
  <c r="M39" i="4"/>
  <c r="E41" i="4"/>
  <c r="M41" i="4"/>
  <c r="G36" i="4"/>
  <c r="O36" i="4"/>
  <c r="G37" i="4"/>
  <c r="O37" i="4"/>
  <c r="G38" i="4"/>
  <c r="O38" i="4"/>
  <c r="G39" i="4"/>
  <c r="G40" i="4"/>
  <c r="G41" i="4"/>
  <c r="P40" i="4"/>
  <c r="K36" i="4"/>
  <c r="S36" i="4"/>
  <c r="K37" i="4"/>
  <c r="S37" i="4"/>
  <c r="K38" i="4"/>
  <c r="S38" i="4"/>
  <c r="K39" i="4"/>
  <c r="S39" i="4"/>
  <c r="K40" i="4"/>
  <c r="S40" i="4"/>
  <c r="K41" i="4"/>
  <c r="S41" i="4"/>
  <c r="M40" i="4"/>
  <c r="F41" i="4"/>
  <c r="O39" i="4"/>
  <c r="O41" i="4"/>
  <c r="H41" i="4"/>
  <c r="L22" i="3"/>
  <c r="U22" i="3" s="1"/>
  <c r="AD22" i="3" s="1"/>
  <c r="C9" i="3"/>
  <c r="C17" i="3"/>
  <c r="C15" i="3"/>
  <c r="C10" i="3"/>
  <c r="AD21" i="3" s="1"/>
  <c r="C18" i="3"/>
  <c r="C5" i="3"/>
  <c r="C14" i="3"/>
  <c r="C8" i="3"/>
  <c r="C3" i="3"/>
  <c r="D21" i="3" s="1"/>
  <c r="C11" i="3"/>
  <c r="C4" i="3"/>
  <c r="L21" i="3" s="1"/>
  <c r="C12" i="3"/>
  <c r="C13" i="3"/>
  <c r="C6" i="3"/>
  <c r="C16" i="3"/>
  <c r="C7" i="3"/>
  <c r="J45" i="2"/>
  <c r="J55" i="2"/>
  <c r="J85" i="2"/>
  <c r="J61" i="2"/>
  <c r="J93" i="2"/>
  <c r="J37" i="2"/>
  <c r="J47" i="2"/>
  <c r="J53" i="2"/>
  <c r="J69" i="2"/>
  <c r="J87" i="2"/>
  <c r="J39" i="2"/>
  <c r="J79" i="2"/>
  <c r="J77" i="2"/>
  <c r="J38" i="2"/>
  <c r="J54" i="2"/>
  <c r="J70" i="2"/>
  <c r="J78" i="2"/>
  <c r="J34" i="2"/>
  <c r="J40" i="2"/>
  <c r="J43" i="2"/>
  <c r="J48" i="2"/>
  <c r="J51" i="2"/>
  <c r="J56" i="2"/>
  <c r="J59" i="2"/>
  <c r="J64" i="2"/>
  <c r="J67" i="2"/>
  <c r="J72" i="2"/>
  <c r="J73" i="2"/>
  <c r="J80" i="2"/>
  <c r="J83" i="2"/>
  <c r="J88" i="2"/>
  <c r="J90" i="2"/>
  <c r="J62" i="2"/>
  <c r="J46" i="2"/>
  <c r="J94" i="2"/>
  <c r="J63" i="2"/>
  <c r="J86" i="2"/>
  <c r="J71" i="2"/>
  <c r="J41" i="2"/>
  <c r="J81" i="2"/>
  <c r="J42" i="2"/>
  <c r="J58" i="2"/>
  <c r="J82" i="2"/>
  <c r="J65" i="2"/>
  <c r="J66" i="2"/>
  <c r="J35" i="2"/>
  <c r="J91" i="2"/>
  <c r="J36" i="2"/>
  <c r="J44" i="2"/>
  <c r="J52" i="2"/>
  <c r="J60" i="2"/>
  <c r="J68" i="2"/>
  <c r="J76" i="2"/>
  <c r="J84" i="2"/>
  <c r="J92" i="2"/>
  <c r="J49" i="2"/>
  <c r="J57" i="2"/>
  <c r="J89" i="2"/>
  <c r="J50" i="2"/>
  <c r="J74" i="2"/>
  <c r="J75" i="2"/>
  <c r="J33" i="2"/>
  <c r="I35" i="2"/>
  <c r="I43" i="2"/>
  <c r="I47" i="2"/>
  <c r="I51" i="2"/>
  <c r="I55" i="2"/>
  <c r="I59" i="2"/>
  <c r="I63" i="2"/>
  <c r="I67" i="2"/>
  <c r="I75" i="2"/>
  <c r="I87" i="2"/>
  <c r="I71" i="2"/>
  <c r="I50" i="2"/>
  <c r="I58" i="2"/>
  <c r="I66" i="2"/>
  <c r="I74" i="2"/>
  <c r="I82" i="2"/>
  <c r="I90" i="2"/>
  <c r="I34" i="2"/>
  <c r="I38" i="2"/>
  <c r="I42" i="2"/>
  <c r="I46" i="2"/>
  <c r="I54" i="2"/>
  <c r="I62" i="2"/>
  <c r="I70" i="2"/>
  <c r="I78" i="2"/>
  <c r="I86" i="2"/>
  <c r="I94" i="2"/>
  <c r="I39" i="2"/>
  <c r="I79" i="2"/>
  <c r="I83" i="2"/>
  <c r="I91" i="2"/>
  <c r="I33" i="2"/>
  <c r="I37" i="2"/>
  <c r="I41" i="2"/>
  <c r="I45" i="2"/>
  <c r="I49" i="2"/>
  <c r="I53" i="2"/>
  <c r="I57" i="2"/>
  <c r="I61" i="2"/>
  <c r="I65" i="2"/>
  <c r="I69" i="2"/>
  <c r="I73" i="2"/>
  <c r="I77" i="2"/>
  <c r="I81" i="2"/>
  <c r="I85" i="2"/>
  <c r="I89" i="2"/>
  <c r="I93" i="2"/>
  <c r="I36" i="2"/>
  <c r="I40" i="2"/>
  <c r="I44" i="2"/>
  <c r="I48" i="2"/>
  <c r="I52" i="2"/>
  <c r="I56" i="2"/>
  <c r="I60" i="2"/>
  <c r="I64" i="2"/>
  <c r="I68" i="2"/>
  <c r="I72" i="2"/>
  <c r="I76" i="2"/>
  <c r="I80" i="2"/>
  <c r="I84" i="2"/>
  <c r="I88" i="2"/>
  <c r="I92" i="2"/>
  <c r="B17" i="3"/>
  <c r="D23" i="3"/>
  <c r="B6" i="3"/>
  <c r="B4" i="3"/>
  <c r="B14" i="3"/>
  <c r="B9" i="3"/>
  <c r="B3" i="3"/>
  <c r="B8" i="3"/>
  <c r="B16" i="3"/>
  <c r="B5" i="3"/>
  <c r="B18" i="3"/>
  <c r="B15" i="3"/>
  <c r="B12" i="3"/>
  <c r="B13" i="3"/>
  <c r="B11" i="3"/>
  <c r="B10" i="3"/>
  <c r="B7" i="3"/>
  <c r="W12" i="4"/>
  <c r="W7" i="4"/>
  <c r="W9" i="4"/>
  <c r="J35" i="4"/>
  <c r="Q35" i="4"/>
  <c r="K35" i="4"/>
  <c r="W10" i="4"/>
  <c r="W6" i="4"/>
  <c r="W8" i="4"/>
  <c r="F35" i="4"/>
  <c r="M35" i="4"/>
  <c r="R35" i="4"/>
  <c r="G35" i="4"/>
  <c r="H35" i="4"/>
  <c r="P35" i="4"/>
  <c r="O35" i="4"/>
  <c r="L35" i="4"/>
  <c r="W13" i="4"/>
  <c r="I35" i="4"/>
  <c r="S35" i="4"/>
  <c r="W11" i="4"/>
  <c r="N35" i="4"/>
  <c r="I132" i="4" l="1"/>
  <c r="AB21" i="4" s="1"/>
  <c r="J132" i="4"/>
  <c r="AC21" i="4" s="1"/>
  <c r="K132" i="4"/>
  <c r="AD21" i="4" s="1"/>
  <c r="L132" i="4"/>
  <c r="AE21" i="4" s="1"/>
  <c r="G132" i="4"/>
  <c r="Z21" i="4" s="1"/>
  <c r="H132" i="4"/>
  <c r="AA21" i="4" s="1"/>
  <c r="L23" i="3"/>
  <c r="U23" i="3" s="1"/>
  <c r="AD23" i="3" s="1"/>
  <c r="D9" i="3"/>
  <c r="D15" i="3"/>
  <c r="D8" i="3"/>
  <c r="D11" i="3"/>
  <c r="D5" i="3"/>
  <c r="D17" i="3"/>
  <c r="D7" i="3"/>
  <c r="D3" i="3"/>
  <c r="D18" i="3"/>
  <c r="D12" i="3"/>
  <c r="D24" i="3"/>
  <c r="D13" i="3"/>
  <c r="D16" i="3"/>
  <c r="D6" i="3"/>
  <c r="D14" i="3"/>
  <c r="D4" i="3"/>
  <c r="D10" i="3"/>
  <c r="H48" i="4"/>
  <c r="I52" i="4"/>
  <c r="K52" i="4"/>
  <c r="E48" i="4"/>
  <c r="K48" i="4"/>
  <c r="Q48" i="4"/>
  <c r="M53" i="4"/>
  <c r="I53" i="4"/>
  <c r="H52" i="4"/>
  <c r="R52" i="4"/>
  <c r="Q47" i="4"/>
  <c r="G50" i="4"/>
  <c r="K53" i="4"/>
  <c r="T53" i="4"/>
  <c r="F47" i="4"/>
  <c r="S47" i="4"/>
  <c r="M50" i="4"/>
  <c r="S53" i="4"/>
  <c r="F50" i="4"/>
  <c r="L48" i="4"/>
  <c r="R49" i="4"/>
  <c r="U52" i="4"/>
  <c r="H47" i="4"/>
  <c r="T49" i="4"/>
  <c r="N50" i="4"/>
  <c r="E50" i="4"/>
  <c r="N52" i="4"/>
  <c r="L49" i="4"/>
  <c r="O49" i="4"/>
  <c r="J48" i="4"/>
  <c r="I47" i="4"/>
  <c r="U49" i="4"/>
  <c r="J49" i="4"/>
  <c r="I50" i="4"/>
  <c r="G49" i="4"/>
  <c r="T48" i="4"/>
  <c r="N47" i="4"/>
  <c r="G48" i="4"/>
  <c r="E52" i="4"/>
  <c r="R47" i="4"/>
  <c r="M48" i="4"/>
  <c r="J52" i="4"/>
  <c r="U50" i="4"/>
  <c r="K47" i="4"/>
  <c r="R48" i="4"/>
  <c r="E53" i="4"/>
  <c r="P50" i="4"/>
  <c r="F49" i="4"/>
  <c r="H53" i="4"/>
  <c r="E47" i="4"/>
  <c r="S50" i="4"/>
  <c r="P53" i="4"/>
  <c r="H49" i="4"/>
  <c r="N49" i="4"/>
  <c r="O52" i="4"/>
  <c r="F52" i="4"/>
  <c r="F48" i="4"/>
  <c r="S49" i="4"/>
  <c r="N53" i="4"/>
  <c r="Q50" i="4"/>
  <c r="J47" i="4"/>
  <c r="S52" i="4"/>
  <c r="O53" i="4"/>
  <c r="T50" i="4"/>
  <c r="L47" i="4"/>
  <c r="I49" i="4"/>
  <c r="T52" i="4"/>
  <c r="M49" i="4"/>
  <c r="R53" i="4"/>
  <c r="M47" i="4"/>
  <c r="Q49" i="4"/>
  <c r="J50" i="4"/>
  <c r="G47" i="4"/>
  <c r="G52" i="4"/>
  <c r="P52" i="4"/>
  <c r="L50" i="4"/>
  <c r="N48" i="4"/>
  <c r="H50" i="4"/>
  <c r="P47" i="4"/>
  <c r="G53" i="4"/>
  <c r="U48" i="4"/>
  <c r="F53" i="4"/>
  <c r="T47" i="4"/>
  <c r="U53" i="4"/>
  <c r="Q53" i="4"/>
  <c r="K49" i="4"/>
  <c r="L53" i="4"/>
  <c r="E49" i="4"/>
  <c r="L52" i="4"/>
  <c r="Q52" i="4"/>
  <c r="S48" i="4"/>
  <c r="U47" i="4"/>
  <c r="I48" i="4"/>
  <c r="P48" i="4"/>
  <c r="O48" i="4"/>
  <c r="M52" i="4"/>
  <c r="P49" i="4"/>
  <c r="R50" i="4"/>
  <c r="K50" i="4"/>
  <c r="O47" i="4"/>
  <c r="O50" i="4"/>
  <c r="J53" i="4"/>
  <c r="E33" i="4" l="1"/>
  <c r="J16" i="3"/>
  <c r="I16" i="3"/>
  <c r="H16" i="3"/>
  <c r="G16" i="3"/>
  <c r="F16" i="3"/>
  <c r="E16" i="3"/>
  <c r="L24" i="3"/>
  <c r="U24" i="3" s="1"/>
  <c r="AD24" i="3" s="1"/>
  <c r="I15" i="3"/>
  <c r="H15" i="3"/>
  <c r="F15" i="3"/>
  <c r="E15" i="3"/>
  <c r="J15" i="3"/>
  <c r="G15" i="3"/>
  <c r="G18" i="3"/>
  <c r="I18" i="3"/>
  <c r="E18" i="3"/>
  <c r="H18" i="3"/>
  <c r="J18" i="3"/>
  <c r="F18" i="3"/>
  <c r="E3" i="3"/>
  <c r="I3" i="3"/>
  <c r="H3" i="3"/>
  <c r="F3" i="3"/>
  <c r="G3" i="3"/>
  <c r="J3" i="3"/>
  <c r="G9" i="3"/>
  <c r="H9" i="3"/>
  <c r="I9" i="3"/>
  <c r="E9" i="3"/>
  <c r="F9" i="3"/>
  <c r="J9" i="3"/>
  <c r="E4" i="3"/>
  <c r="J4" i="3"/>
  <c r="F4" i="3"/>
  <c r="G4" i="3"/>
  <c r="H4" i="3"/>
  <c r="I4" i="3"/>
  <c r="E17" i="3"/>
  <c r="F17" i="3"/>
  <c r="J17" i="3"/>
  <c r="I17" i="3"/>
  <c r="H17" i="3"/>
  <c r="G17" i="3"/>
  <c r="E10" i="3"/>
  <c r="J10" i="3"/>
  <c r="F10" i="3"/>
  <c r="G10" i="3"/>
  <c r="I10" i="3"/>
  <c r="H10" i="3"/>
  <c r="F5" i="3"/>
  <c r="G5" i="3"/>
  <c r="H5" i="3"/>
  <c r="J5" i="3"/>
  <c r="I5" i="3"/>
  <c r="E5" i="3"/>
  <c r="G8" i="3"/>
  <c r="F8" i="3"/>
  <c r="H8" i="3"/>
  <c r="J8" i="3"/>
  <c r="E8" i="3"/>
  <c r="I8" i="3"/>
  <c r="F11" i="3"/>
  <c r="E11" i="3"/>
  <c r="J11" i="3"/>
  <c r="I11" i="3"/>
  <c r="H11" i="3"/>
  <c r="G11" i="3"/>
  <c r="F14" i="3"/>
  <c r="G14" i="3"/>
  <c r="J14" i="3"/>
  <c r="I14" i="3"/>
  <c r="H14" i="3"/>
  <c r="E14" i="3"/>
  <c r="I12" i="3"/>
  <c r="E12" i="3"/>
  <c r="F12" i="3"/>
  <c r="H12" i="3"/>
  <c r="J12" i="3"/>
  <c r="G12" i="3"/>
  <c r="G7" i="3"/>
  <c r="H7" i="3"/>
  <c r="I7" i="3"/>
  <c r="F7" i="3"/>
  <c r="J7" i="3"/>
  <c r="E7" i="3"/>
  <c r="I6" i="3"/>
  <c r="H6" i="3"/>
  <c r="E6" i="3"/>
  <c r="G6" i="3"/>
  <c r="J6" i="3"/>
  <c r="F6" i="3"/>
  <c r="H13" i="3"/>
  <c r="J13" i="3"/>
  <c r="F13" i="3"/>
  <c r="I13" i="3"/>
  <c r="E13" i="3"/>
  <c r="G13" i="3"/>
  <c r="V22" i="3"/>
  <c r="Z22" i="3"/>
  <c r="M24" i="3"/>
  <c r="AA22" i="3"/>
  <c r="F24" i="3"/>
  <c r="AA24" i="3"/>
  <c r="Y22" i="3"/>
  <c r="M23" i="3"/>
  <c r="E23" i="3"/>
  <c r="D25" i="3"/>
  <c r="D26" i="3" s="1"/>
  <c r="X22" i="3"/>
  <c r="W22" i="3"/>
  <c r="X23" i="3"/>
  <c r="R46" i="4"/>
  <c r="Q46" i="4"/>
  <c r="P51" i="4"/>
  <c r="J58" i="4"/>
  <c r="F51" i="4"/>
  <c r="U51" i="4"/>
  <c r="T51" i="4"/>
  <c r="E51" i="4"/>
  <c r="E46" i="4"/>
  <c r="P46" i="4"/>
  <c r="T46" i="4"/>
  <c r="U46" i="4"/>
  <c r="O51" i="4"/>
  <c r="N46" i="4"/>
  <c r="Q51" i="4"/>
  <c r="O46" i="4"/>
  <c r="L51" i="4"/>
  <c r="H46" i="4"/>
  <c r="S46" i="4"/>
  <c r="J46" i="4"/>
  <c r="R51" i="4"/>
  <c r="K51" i="4"/>
  <c r="H51" i="4"/>
  <c r="G46" i="4"/>
  <c r="L46" i="4"/>
  <c r="S51" i="4"/>
  <c r="G51" i="4"/>
  <c r="K46" i="4"/>
  <c r="F46" i="4"/>
  <c r="M51" i="4"/>
  <c r="M46" i="4"/>
  <c r="I46" i="4"/>
  <c r="N51" i="4"/>
  <c r="I51" i="4"/>
  <c r="J51" i="4"/>
  <c r="L25" i="3" l="1"/>
  <c r="L26" i="3"/>
  <c r="U26" i="3" s="1"/>
  <c r="N80" i="4"/>
  <c r="AI24" i="3"/>
  <c r="G24" i="3"/>
  <c r="Q22" i="3"/>
  <c r="I23" i="3"/>
  <c r="Y23" i="3"/>
  <c r="G22" i="3"/>
  <c r="I26" i="3"/>
  <c r="Z23" i="3"/>
  <c r="P24" i="3"/>
  <c r="H25" i="3"/>
  <c r="O25" i="3"/>
  <c r="Z24" i="3"/>
  <c r="AA23" i="3"/>
  <c r="R26" i="3"/>
  <c r="H26" i="3"/>
  <c r="N24" i="3"/>
  <c r="X26" i="3"/>
  <c r="O23" i="3"/>
  <c r="I22" i="3"/>
  <c r="V23" i="3"/>
  <c r="E26" i="3"/>
  <c r="J26" i="3"/>
  <c r="AG23" i="3"/>
  <c r="P25" i="3"/>
  <c r="AH22" i="3"/>
  <c r="G23" i="3"/>
  <c r="D27" i="3"/>
  <c r="J27" i="3" s="1"/>
  <c r="Z26" i="3"/>
  <c r="I24" i="3"/>
  <c r="F26" i="3"/>
  <c r="AJ23" i="3"/>
  <c r="R24" i="3"/>
  <c r="N25" i="3"/>
  <c r="P23" i="3"/>
  <c r="O24" i="3"/>
  <c r="AI22" i="3"/>
  <c r="AF23" i="3"/>
  <c r="P22" i="3"/>
  <c r="W24" i="3"/>
  <c r="E25" i="3"/>
  <c r="H24" i="3"/>
  <c r="F22" i="3"/>
  <c r="W23" i="3"/>
  <c r="J22" i="3"/>
  <c r="N23" i="3"/>
  <c r="O22" i="3"/>
  <c r="G27" i="3"/>
  <c r="P26" i="3"/>
  <c r="AE24" i="3"/>
  <c r="G25" i="3"/>
  <c r="G26" i="3"/>
  <c r="V26" i="3"/>
  <c r="AJ24" i="3"/>
  <c r="Q25" i="3"/>
  <c r="R22" i="3"/>
  <c r="AH24" i="3"/>
  <c r="AG22" i="3"/>
  <c r="N26" i="3"/>
  <c r="D28" i="3"/>
  <c r="F28" i="3"/>
  <c r="AF22" i="3"/>
  <c r="H22" i="3"/>
  <c r="M25" i="3"/>
  <c r="AF24" i="3"/>
  <c r="W26" i="3"/>
  <c r="H27" i="3"/>
  <c r="J24" i="3"/>
  <c r="AE23" i="3"/>
  <c r="F25" i="3"/>
  <c r="Y26" i="3"/>
  <c r="AG24" i="3"/>
  <c r="E22" i="3"/>
  <c r="E27" i="3"/>
  <c r="Q23" i="3"/>
  <c r="AH23" i="3"/>
  <c r="M26" i="3"/>
  <c r="O26" i="3"/>
  <c r="V24" i="3"/>
  <c r="R23" i="3"/>
  <c r="F27" i="3"/>
  <c r="E24" i="3"/>
  <c r="AI23" i="3"/>
  <c r="N22" i="3"/>
  <c r="Q26" i="3"/>
  <c r="F23" i="3"/>
  <c r="Y24" i="3"/>
  <c r="M22" i="3"/>
  <c r="H23" i="3"/>
  <c r="Q24" i="3"/>
  <c r="I27" i="3"/>
  <c r="J23" i="3"/>
  <c r="I25" i="3"/>
  <c r="D29" i="3"/>
  <c r="X24" i="3"/>
  <c r="R25" i="3"/>
  <c r="AA26" i="3"/>
  <c r="AE22" i="3"/>
  <c r="J25" i="3"/>
  <c r="AJ22" i="3"/>
  <c r="D30" i="3"/>
  <c r="H28" i="3"/>
  <c r="E28" i="3"/>
  <c r="G28" i="3"/>
  <c r="J28" i="3"/>
  <c r="I28" i="3"/>
  <c r="E29" i="3"/>
  <c r="F29" i="3"/>
  <c r="J29" i="3"/>
  <c r="H29" i="3"/>
  <c r="J30" i="3"/>
  <c r="G30" i="3"/>
  <c r="I30" i="3"/>
  <c r="F30" i="3"/>
  <c r="H30" i="3"/>
  <c r="E30" i="3"/>
  <c r="N61" i="4"/>
  <c r="N62" i="4"/>
  <c r="N59" i="4"/>
  <c r="N58" i="4"/>
  <c r="N63" i="4"/>
  <c r="N60" i="4"/>
  <c r="N64" i="4"/>
  <c r="N65" i="4"/>
  <c r="U25" i="3" l="1"/>
  <c r="S80" i="4"/>
  <c r="T80" i="4"/>
  <c r="U80" i="4"/>
  <c r="P80" i="4"/>
  <c r="O80" i="4"/>
  <c r="R80" i="4"/>
  <c r="K80" i="4"/>
  <c r="G80" i="4"/>
  <c r="J80" i="4"/>
  <c r="Q80" i="4"/>
  <c r="H80" i="4"/>
  <c r="F80" i="4"/>
  <c r="I80" i="4"/>
  <c r="L80" i="4"/>
  <c r="L28" i="3"/>
  <c r="U28" i="3" s="1"/>
  <c r="L27" i="3"/>
  <c r="AD26" i="3"/>
  <c r="M80" i="4"/>
  <c r="L30" i="3"/>
  <c r="L29" i="3"/>
  <c r="AE26" i="3"/>
  <c r="O30" i="3"/>
  <c r="X25" i="3"/>
  <c r="Q28" i="3"/>
  <c r="N27" i="3"/>
  <c r="N30" i="3"/>
  <c r="M28" i="3"/>
  <c r="AI26" i="3"/>
  <c r="M27" i="3"/>
  <c r="G29" i="3"/>
  <c r="AF26" i="3"/>
  <c r="Q30" i="3"/>
  <c r="R28" i="3"/>
  <c r="AJ26" i="3"/>
  <c r="O28" i="3"/>
  <c r="O27" i="3"/>
  <c r="P28" i="3"/>
  <c r="AA28" i="3"/>
  <c r="Z25" i="3"/>
  <c r="P30" i="3"/>
  <c r="R27" i="3"/>
  <c r="M30" i="3"/>
  <c r="Q29" i="3"/>
  <c r="N28" i="3"/>
  <c r="V25" i="3"/>
  <c r="X28" i="3"/>
  <c r="W28" i="3"/>
  <c r="AH26" i="3"/>
  <c r="D31" i="3"/>
  <c r="P27" i="3"/>
  <c r="I31" i="3"/>
  <c r="P29" i="3"/>
  <c r="N29" i="3"/>
  <c r="AA25" i="3"/>
  <c r="R29" i="3"/>
  <c r="Q27" i="3"/>
  <c r="R30" i="3"/>
  <c r="Y25" i="3"/>
  <c r="M29" i="3"/>
  <c r="V28" i="3"/>
  <c r="Y28" i="3"/>
  <c r="Z28" i="3"/>
  <c r="O29" i="3"/>
  <c r="I29" i="3"/>
  <c r="W25" i="3"/>
  <c r="AG26" i="3"/>
  <c r="G31" i="3"/>
  <c r="H31" i="3"/>
  <c r="J31" i="3"/>
  <c r="F31" i="3"/>
  <c r="K65" i="4"/>
  <c r="M61" i="4"/>
  <c r="U60" i="4"/>
  <c r="P59" i="4"/>
  <c r="L60" i="4"/>
  <c r="F60" i="4"/>
  <c r="Q60" i="4"/>
  <c r="H62" i="4"/>
  <c r="E65" i="4"/>
  <c r="R58" i="4"/>
  <c r="E62" i="4"/>
  <c r="I64" i="4"/>
  <c r="T64" i="4"/>
  <c r="H65" i="4"/>
  <c r="M58" i="4"/>
  <c r="U64" i="4"/>
  <c r="S61" i="4"/>
  <c r="E59" i="4"/>
  <c r="J63" i="4"/>
  <c r="K63" i="4"/>
  <c r="G65" i="4"/>
  <c r="F62" i="4"/>
  <c r="J65" i="4"/>
  <c r="Q64" i="4"/>
  <c r="M59" i="4"/>
  <c r="F64" i="4"/>
  <c r="S59" i="4"/>
  <c r="S65" i="4"/>
  <c r="Q61" i="4"/>
  <c r="U62" i="4"/>
  <c r="T65" i="4"/>
  <c r="Q63" i="4"/>
  <c r="K59" i="4"/>
  <c r="S58" i="4"/>
  <c r="I60" i="4"/>
  <c r="H59" i="4"/>
  <c r="O58" i="4"/>
  <c r="H63" i="4"/>
  <c r="E63" i="4"/>
  <c r="P58" i="4"/>
  <c r="P61" i="4"/>
  <c r="L65" i="4"/>
  <c r="J61" i="4"/>
  <c r="R63" i="4"/>
  <c r="J60" i="4"/>
  <c r="I65" i="4"/>
  <c r="E61" i="4"/>
  <c r="K61" i="4"/>
  <c r="F61" i="4"/>
  <c r="Q65" i="4"/>
  <c r="F65" i="4"/>
  <c r="R61" i="4"/>
  <c r="J64" i="4"/>
  <c r="G60" i="4"/>
  <c r="G59" i="4"/>
  <c r="T58" i="4"/>
  <c r="F63" i="4"/>
  <c r="H64" i="4"/>
  <c r="H60" i="4"/>
  <c r="O59" i="4"/>
  <c r="O61" i="4"/>
  <c r="L62" i="4"/>
  <c r="R64" i="4"/>
  <c r="T62" i="4"/>
  <c r="M60" i="4"/>
  <c r="K60" i="4"/>
  <c r="I58" i="4"/>
  <c r="I61" i="4"/>
  <c r="U65" i="4"/>
  <c r="P64" i="4"/>
  <c r="G64" i="4"/>
  <c r="G63" i="4"/>
  <c r="R62" i="4"/>
  <c r="S64" i="4"/>
  <c r="E60" i="4"/>
  <c r="J59" i="4"/>
  <c r="T63" i="4"/>
  <c r="S63" i="4"/>
  <c r="L58" i="4"/>
  <c r="P65" i="4"/>
  <c r="G62" i="4"/>
  <c r="I63" i="4"/>
  <c r="E64" i="4"/>
  <c r="I62" i="4"/>
  <c r="S62" i="4"/>
  <c r="Q62" i="4"/>
  <c r="U58" i="4"/>
  <c r="T59" i="4"/>
  <c r="U61" i="4"/>
  <c r="H58" i="4"/>
  <c r="S60" i="4"/>
  <c r="E58" i="4"/>
  <c r="J62" i="4"/>
  <c r="R59" i="4"/>
  <c r="L63" i="4"/>
  <c r="I59" i="4"/>
  <c r="P63" i="4"/>
  <c r="O65" i="4"/>
  <c r="K64" i="4"/>
  <c r="O60" i="4"/>
  <c r="F59" i="4"/>
  <c r="M64" i="4"/>
  <c r="T60" i="4"/>
  <c r="R60" i="4"/>
  <c r="U63" i="4"/>
  <c r="F58" i="4"/>
  <c r="M63" i="4"/>
  <c r="L61" i="4"/>
  <c r="R65" i="4"/>
  <c r="K62" i="4"/>
  <c r="Q58" i="4"/>
  <c r="U59" i="4"/>
  <c r="Q59" i="4"/>
  <c r="P60" i="4"/>
  <c r="M65" i="4"/>
  <c r="T61" i="4"/>
  <c r="M62" i="4"/>
  <c r="P62" i="4"/>
  <c r="L64" i="4"/>
  <c r="O64" i="4"/>
  <c r="G61" i="4"/>
  <c r="L59" i="4"/>
  <c r="O62" i="4"/>
  <c r="H61" i="4"/>
  <c r="G58" i="4"/>
  <c r="O63" i="4"/>
  <c r="AD25" i="3" l="1"/>
  <c r="U27" i="3"/>
  <c r="L31" i="3"/>
  <c r="U29" i="3"/>
  <c r="U30" i="3"/>
  <c r="AD28" i="3"/>
  <c r="Y30" i="3"/>
  <c r="V27" i="3"/>
  <c r="AE28" i="3"/>
  <c r="O31" i="3"/>
  <c r="AJ25" i="3"/>
  <c r="AH28" i="3"/>
  <c r="Y27" i="3"/>
  <c r="D32" i="3"/>
  <c r="G32" i="3" s="1"/>
  <c r="W27" i="3"/>
  <c r="H32" i="3"/>
  <c r="F32" i="3"/>
  <c r="AE25" i="3"/>
  <c r="AF28" i="3"/>
  <c r="E32" i="3"/>
  <c r="W30" i="3"/>
  <c r="Z30" i="3"/>
  <c r="AJ28" i="3"/>
  <c r="AG28" i="3"/>
  <c r="Z29" i="3"/>
  <c r="AA30" i="3"/>
  <c r="AG25" i="3"/>
  <c r="M31" i="3"/>
  <c r="Y29" i="3"/>
  <c r="AA27" i="3"/>
  <c r="P31" i="3"/>
  <c r="I32" i="3"/>
  <c r="AI25" i="3"/>
  <c r="E31" i="3"/>
  <c r="X29" i="3"/>
  <c r="Z27" i="3"/>
  <c r="X30" i="3"/>
  <c r="V29" i="3"/>
  <c r="R31" i="3"/>
  <c r="AH25" i="3"/>
  <c r="X27" i="3"/>
  <c r="AA29" i="3"/>
  <c r="AF25" i="3"/>
  <c r="Q31" i="3"/>
  <c r="V30" i="3"/>
  <c r="W29" i="3"/>
  <c r="N31" i="3"/>
  <c r="AI28" i="3"/>
  <c r="AD27" i="3" l="1"/>
  <c r="L32" i="3"/>
  <c r="AD30" i="3"/>
  <c r="AD29" i="3"/>
  <c r="U31" i="3"/>
  <c r="Q32" i="3"/>
  <c r="AG27" i="3"/>
  <c r="O32" i="3"/>
  <c r="AG30" i="3"/>
  <c r="J32" i="3"/>
  <c r="AG29" i="3"/>
  <c r="N32" i="3"/>
  <c r="AJ29" i="3"/>
  <c r="AH29" i="3"/>
  <c r="AJ27" i="3"/>
  <c r="AA31" i="3"/>
  <c r="AE27" i="3"/>
  <c r="R32" i="3"/>
  <c r="AI27" i="3"/>
  <c r="X31" i="3"/>
  <c r="V31" i="3"/>
  <c r="AI29" i="3"/>
  <c r="D33" i="3"/>
  <c r="H33" i="3" s="1"/>
  <c r="E33" i="3"/>
  <c r="AF27" i="3"/>
  <c r="AE29" i="3"/>
  <c r="AI30" i="3"/>
  <c r="I33" i="3"/>
  <c r="F33" i="3"/>
  <c r="P32" i="3"/>
  <c r="AJ30" i="3"/>
  <c r="AH30" i="3"/>
  <c r="Y31" i="3"/>
  <c r="AE30" i="3"/>
  <c r="W31" i="3"/>
  <c r="AH27" i="3"/>
  <c r="G33" i="3"/>
  <c r="Z31" i="3"/>
  <c r="AF29" i="3"/>
  <c r="M32" i="3"/>
  <c r="AF30" i="3"/>
  <c r="L33" i="3" l="1"/>
  <c r="AD31" i="3"/>
  <c r="U32" i="3"/>
  <c r="R33" i="3"/>
  <c r="W32" i="3"/>
  <c r="AJ31" i="3"/>
  <c r="AA32" i="3"/>
  <c r="Z32" i="3"/>
  <c r="D34" i="3"/>
  <c r="I34" i="3"/>
  <c r="AF31" i="3"/>
  <c r="AG31" i="3"/>
  <c r="O33" i="3"/>
  <c r="AH31" i="3"/>
  <c r="X32" i="3"/>
  <c r="Y32" i="3"/>
  <c r="J33" i="3"/>
  <c r="J34" i="3"/>
  <c r="AE31" i="3"/>
  <c r="V32" i="3"/>
  <c r="Q33" i="3"/>
  <c r="P33" i="3"/>
  <c r="N33" i="3"/>
  <c r="AI31" i="3"/>
  <c r="H34" i="3"/>
  <c r="M33" i="3"/>
  <c r="F34" i="3"/>
  <c r="E34" i="3"/>
  <c r="G34" i="3"/>
  <c r="L34" i="3" l="1"/>
  <c r="AD32" i="3"/>
  <c r="U33" i="3"/>
  <c r="M34" i="3"/>
  <c r="Y33" i="3"/>
  <c r="AJ32" i="3"/>
  <c r="Q34" i="3"/>
  <c r="R34" i="3"/>
  <c r="Z33" i="3"/>
  <c r="AI32" i="3"/>
  <c r="AH32" i="3"/>
  <c r="W33" i="3"/>
  <c r="V33" i="3"/>
  <c r="AE32" i="3"/>
  <c r="O34" i="3"/>
  <c r="AF32" i="3"/>
  <c r="P34" i="3"/>
  <c r="N34" i="3"/>
  <c r="AG32" i="3"/>
  <c r="X33" i="3"/>
  <c r="AA33" i="3"/>
  <c r="D35" i="3"/>
  <c r="E35" i="3"/>
  <c r="J35" i="3"/>
  <c r="H35" i="3"/>
  <c r="I35" i="3"/>
  <c r="G35" i="3"/>
  <c r="L35" i="3" l="1"/>
  <c r="AD33" i="3"/>
  <c r="U34" i="3"/>
  <c r="AA34" i="3"/>
  <c r="W34" i="3"/>
  <c r="M35" i="3"/>
  <c r="Z34" i="3"/>
  <c r="F35" i="3"/>
  <c r="AH33" i="3"/>
  <c r="AJ33" i="3"/>
  <c r="Q35" i="3"/>
  <c r="O35" i="3"/>
  <c r="D36" i="3"/>
  <c r="R35" i="3"/>
  <c r="AE33" i="3"/>
  <c r="AG33" i="3"/>
  <c r="P35" i="3"/>
  <c r="X34" i="3"/>
  <c r="AI33" i="3"/>
  <c r="N35" i="3"/>
  <c r="J36" i="3"/>
  <c r="Y34" i="3"/>
  <c r="AF33" i="3"/>
  <c r="G36" i="3"/>
  <c r="V34" i="3"/>
  <c r="I36" i="3"/>
  <c r="H36" i="3"/>
  <c r="F36" i="3"/>
  <c r="E36" i="3"/>
  <c r="L36" i="3" l="1"/>
  <c r="AD34" i="3"/>
  <c r="U35" i="3"/>
  <c r="X35" i="3"/>
  <c r="AI34" i="3"/>
  <c r="AG34" i="3"/>
  <c r="AA35" i="3"/>
  <c r="AH34" i="3"/>
  <c r="M36" i="3"/>
  <c r="R36" i="3"/>
  <c r="V35" i="3"/>
  <c r="Y35" i="3"/>
  <c r="AE34" i="3"/>
  <c r="N36" i="3"/>
  <c r="W35" i="3"/>
  <c r="O36" i="3"/>
  <c r="D37" i="3"/>
  <c r="P36" i="3"/>
  <c r="AJ34" i="3"/>
  <c r="Z35" i="3"/>
  <c r="Q36" i="3"/>
  <c r="AF34" i="3"/>
  <c r="G37" i="3"/>
  <c r="I37" i="3"/>
  <c r="F37" i="3"/>
  <c r="H37" i="3"/>
  <c r="E37" i="3"/>
  <c r="J37" i="3"/>
  <c r="L37" i="3" l="1"/>
  <c r="AD35" i="3"/>
  <c r="U36" i="3"/>
  <c r="V36" i="3"/>
  <c r="AI35" i="3"/>
  <c r="P37" i="3"/>
  <c r="X36" i="3"/>
  <c r="D38" i="3"/>
  <c r="H38" i="3" s="1"/>
  <c r="F38" i="3"/>
  <c r="AJ35" i="3"/>
  <c r="AG35" i="3"/>
  <c r="AF35" i="3"/>
  <c r="AH35" i="3"/>
  <c r="I38" i="3"/>
  <c r="M37" i="3"/>
  <c r="O37" i="3"/>
  <c r="J38" i="3"/>
  <c r="R37" i="3"/>
  <c r="N37" i="3"/>
  <c r="Y36" i="3"/>
  <c r="Z36" i="3"/>
  <c r="Q37" i="3"/>
  <c r="AE35" i="3"/>
  <c r="W36" i="3"/>
  <c r="G38" i="3"/>
  <c r="AA36" i="3"/>
  <c r="E38" i="3"/>
  <c r="L38" i="3" l="1"/>
  <c r="U37" i="3"/>
  <c r="AD36" i="3"/>
  <c r="O38" i="3"/>
  <c r="AH36" i="3"/>
  <c r="M38" i="3"/>
  <c r="Z37" i="3"/>
  <c r="AA37" i="3"/>
  <c r="V37" i="3"/>
  <c r="N38" i="3"/>
  <c r="Q38" i="3"/>
  <c r="AE36" i="3"/>
  <c r="AG36" i="3"/>
  <c r="X37" i="3"/>
  <c r="D39" i="3"/>
  <c r="AJ36" i="3"/>
  <c r="P38" i="3"/>
  <c r="AF36" i="3"/>
  <c r="W37" i="3"/>
  <c r="R38" i="3"/>
  <c r="J39" i="3"/>
  <c r="E39" i="3"/>
  <c r="AI36" i="3"/>
  <c r="Y37" i="3"/>
  <c r="G39" i="3"/>
  <c r="F39" i="3"/>
  <c r="I39" i="3"/>
  <c r="H39" i="3"/>
  <c r="L39" i="3" l="1"/>
  <c r="AD37" i="3"/>
  <c r="U38" i="3"/>
  <c r="AE37" i="3"/>
  <c r="V38" i="3"/>
  <c r="AF37" i="3"/>
  <c r="D40" i="3"/>
  <c r="Q39" i="3"/>
  <c r="Y38" i="3"/>
  <c r="R39" i="3"/>
  <c r="I40" i="3"/>
  <c r="AH37" i="3"/>
  <c r="Z38" i="3"/>
  <c r="P39" i="3"/>
  <c r="N39" i="3"/>
  <c r="J40" i="3"/>
  <c r="M39" i="3"/>
  <c r="AA38" i="3"/>
  <c r="AI37" i="3"/>
  <c r="W38" i="3"/>
  <c r="AG37" i="3"/>
  <c r="X38" i="3"/>
  <c r="AJ37" i="3"/>
  <c r="O39" i="3"/>
  <c r="E40" i="3"/>
  <c r="F40" i="3"/>
  <c r="H40" i="3"/>
  <c r="L40" i="3" l="1"/>
  <c r="AD38" i="3"/>
  <c r="U39" i="3"/>
  <c r="N40" i="3"/>
  <c r="D41" i="3"/>
  <c r="P40" i="3"/>
  <c r="J41" i="3"/>
  <c r="AI38" i="3"/>
  <c r="R40" i="3"/>
  <c r="AH38" i="3"/>
  <c r="G40" i="3"/>
  <c r="V39" i="3"/>
  <c r="G41" i="3"/>
  <c r="O40" i="3"/>
  <c r="M40" i="3"/>
  <c r="Z39" i="3"/>
  <c r="H41" i="3"/>
  <c r="F41" i="3"/>
  <c r="AG38" i="3"/>
  <c r="W39" i="3"/>
  <c r="AA39" i="3"/>
  <c r="Y39" i="3"/>
  <c r="I41" i="3"/>
  <c r="Q40" i="3"/>
  <c r="AE38" i="3"/>
  <c r="X39" i="3"/>
  <c r="AJ38" i="3"/>
  <c r="AF38" i="3"/>
  <c r="L41" i="3" l="1"/>
  <c r="AD39" i="3"/>
  <c r="U40" i="3"/>
  <c r="AI39" i="3"/>
  <c r="Y40" i="3"/>
  <c r="AE39" i="3"/>
  <c r="V40" i="3"/>
  <c r="X40" i="3"/>
  <c r="W40" i="3"/>
  <c r="AJ39" i="3"/>
  <c r="Z40" i="3"/>
  <c r="O41" i="3"/>
  <c r="N41" i="3"/>
  <c r="P41" i="3"/>
  <c r="E41" i="3"/>
  <c r="AF39" i="3"/>
  <c r="D42" i="3"/>
  <c r="AA40" i="3"/>
  <c r="Q41" i="3"/>
  <c r="R41" i="3"/>
  <c r="AH39" i="3"/>
  <c r="AG39" i="3"/>
  <c r="M41" i="3"/>
  <c r="I42" i="3"/>
  <c r="E42" i="3"/>
  <c r="J42" i="3"/>
  <c r="L42" i="3" l="1"/>
  <c r="AD40" i="3"/>
  <c r="U41" i="3"/>
  <c r="F42" i="3"/>
  <c r="N42" i="3"/>
  <c r="D43" i="3"/>
  <c r="J43" i="3"/>
  <c r="E43" i="3"/>
  <c r="F43" i="3"/>
  <c r="AG40" i="3"/>
  <c r="R42" i="3"/>
  <c r="I43" i="3"/>
  <c r="AJ40" i="3"/>
  <c r="Q42" i="3"/>
  <c r="AF40" i="3"/>
  <c r="H42" i="3"/>
  <c r="AA41" i="3"/>
  <c r="V41" i="3"/>
  <c r="H43" i="3"/>
  <c r="O42" i="3"/>
  <c r="W41" i="3"/>
  <c r="AH40" i="3"/>
  <c r="M42" i="3"/>
  <c r="G43" i="3"/>
  <c r="AI40" i="3"/>
  <c r="AE40" i="3"/>
  <c r="G42" i="3"/>
  <c r="X41" i="3"/>
  <c r="Y41" i="3"/>
  <c r="Z41" i="3"/>
  <c r="P42" i="3"/>
  <c r="L43" i="3" l="1"/>
  <c r="AD41" i="3"/>
  <c r="U42" i="3"/>
  <c r="N43" i="3"/>
  <c r="X42" i="3"/>
  <c r="AH41" i="3"/>
  <c r="AI41" i="3"/>
  <c r="Y42" i="3"/>
  <c r="AA42" i="3"/>
  <c r="P43" i="3"/>
  <c r="O43" i="3"/>
  <c r="R43" i="3"/>
  <c r="Z42" i="3"/>
  <c r="AG41" i="3"/>
  <c r="D44" i="3"/>
  <c r="Q43" i="3"/>
  <c r="AF41" i="3"/>
  <c r="W42" i="3"/>
  <c r="E44" i="3"/>
  <c r="I44" i="3"/>
  <c r="AE41" i="3"/>
  <c r="M43" i="3"/>
  <c r="V42" i="3"/>
  <c r="H44" i="3"/>
  <c r="G44" i="3"/>
  <c r="AJ41" i="3"/>
  <c r="F44" i="3"/>
  <c r="L44" i="3" l="1"/>
  <c r="AD42" i="3"/>
  <c r="U43" i="3"/>
  <c r="J44" i="3"/>
  <c r="Q44" i="3"/>
  <c r="AJ42" i="3"/>
  <c r="M44" i="3"/>
  <c r="AF42" i="3"/>
  <c r="Z43" i="3"/>
  <c r="V43" i="3"/>
  <c r="Y43" i="3"/>
  <c r="R44" i="3"/>
  <c r="W43" i="3"/>
  <c r="AE42" i="3"/>
  <c r="AA43" i="3"/>
  <c r="AI42" i="3"/>
  <c r="AH42" i="3"/>
  <c r="P44" i="3"/>
  <c r="X43" i="3"/>
  <c r="N44" i="3"/>
  <c r="D45" i="3"/>
  <c r="AG42" i="3"/>
  <c r="H45" i="3"/>
  <c r="O44" i="3"/>
  <c r="E45" i="3"/>
  <c r="J45" i="3"/>
  <c r="G45" i="3"/>
  <c r="L45" i="3" l="1"/>
  <c r="AD43" i="3"/>
  <c r="U44" i="3"/>
  <c r="F45" i="3"/>
  <c r="D46" i="3"/>
  <c r="AA44" i="3"/>
  <c r="G46" i="3"/>
  <c r="AF43" i="3"/>
  <c r="R45" i="3"/>
  <c r="P45" i="3"/>
  <c r="W44" i="3"/>
  <c r="X44" i="3"/>
  <c r="F46" i="3"/>
  <c r="M45" i="3"/>
  <c r="AG43" i="3"/>
  <c r="I46" i="3"/>
  <c r="V44" i="3"/>
  <c r="H46" i="3"/>
  <c r="O45" i="3"/>
  <c r="AE43" i="3"/>
  <c r="AJ43" i="3"/>
  <c r="N45" i="3"/>
  <c r="Y44" i="3"/>
  <c r="AH43" i="3"/>
  <c r="AI43" i="3"/>
  <c r="Z44" i="3"/>
  <c r="I45" i="3"/>
  <c r="Q45" i="3"/>
  <c r="E46" i="3"/>
  <c r="L46" i="3" l="1"/>
  <c r="AD44" i="3"/>
  <c r="U45" i="3"/>
  <c r="Z45" i="3"/>
  <c r="AG44" i="3"/>
  <c r="Q46" i="3"/>
  <c r="O46" i="3"/>
  <c r="P46" i="3"/>
  <c r="AH44" i="3"/>
  <c r="R46" i="3"/>
  <c r="M46" i="3"/>
  <c r="V45" i="3"/>
  <c r="J46" i="3"/>
  <c r="X45" i="3"/>
  <c r="AE44" i="3"/>
  <c r="AJ44" i="3"/>
  <c r="N46" i="3"/>
  <c r="W45" i="3"/>
  <c r="D47" i="3"/>
  <c r="J47" i="3"/>
  <c r="AF44" i="3"/>
  <c r="Y45" i="3"/>
  <c r="AA45" i="3"/>
  <c r="G47" i="3"/>
  <c r="AI44" i="3"/>
  <c r="I47" i="3"/>
  <c r="H47" i="3"/>
  <c r="F47" i="3"/>
  <c r="L47" i="3" l="1"/>
  <c r="AD45" i="3"/>
  <c r="U46" i="3"/>
  <c r="AH45" i="3"/>
  <c r="AI45" i="3"/>
  <c r="M47" i="3"/>
  <c r="AF45" i="3"/>
  <c r="Y46" i="3"/>
  <c r="O47" i="3"/>
  <c r="AG45" i="3"/>
  <c r="Q47" i="3"/>
  <c r="Z46" i="3"/>
  <c r="AJ45" i="3"/>
  <c r="AE45" i="3"/>
  <c r="N47" i="3"/>
  <c r="P47" i="3"/>
  <c r="W46" i="3"/>
  <c r="R47" i="3"/>
  <c r="D48" i="3"/>
  <c r="E47" i="3"/>
  <c r="AA46" i="3"/>
  <c r="V46" i="3"/>
  <c r="J48" i="3"/>
  <c r="X46" i="3"/>
  <c r="F48" i="3"/>
  <c r="H48" i="3"/>
  <c r="G48" i="3"/>
  <c r="I48" i="3"/>
  <c r="L48" i="3" l="1"/>
  <c r="AD46" i="3"/>
  <c r="U47" i="3"/>
  <c r="V47" i="3"/>
  <c r="R48" i="3"/>
  <c r="AH46" i="3"/>
  <c r="AA47" i="3"/>
  <c r="M48" i="3"/>
  <c r="Y47" i="3"/>
  <c r="AE46" i="3"/>
  <c r="Q48" i="3"/>
  <c r="AF46" i="3"/>
  <c r="X47" i="3"/>
  <c r="AG46" i="3"/>
  <c r="AJ46" i="3"/>
  <c r="AI46" i="3"/>
  <c r="E48" i="3"/>
  <c r="O48" i="3"/>
  <c r="N48" i="3"/>
  <c r="Z47" i="3"/>
  <c r="D49" i="3"/>
  <c r="W47" i="3"/>
  <c r="P48" i="3"/>
  <c r="I49" i="3"/>
  <c r="F49" i="3"/>
  <c r="E49" i="3"/>
  <c r="H49" i="3"/>
  <c r="G49" i="3"/>
  <c r="J49" i="3"/>
  <c r="L49" i="3" l="1"/>
  <c r="AD47" i="3"/>
  <c r="U48" i="3"/>
  <c r="P49" i="3"/>
  <c r="Y48" i="3"/>
  <c r="V48" i="3"/>
  <c r="Q49" i="3"/>
  <c r="Z48" i="3"/>
  <c r="AG47" i="3"/>
  <c r="X48" i="3"/>
  <c r="W48" i="3"/>
  <c r="D50" i="3"/>
  <c r="N49" i="3"/>
  <c r="AH47" i="3"/>
  <c r="AJ47" i="3"/>
  <c r="AE47" i="3"/>
  <c r="AA48" i="3"/>
  <c r="AI47" i="3"/>
  <c r="R49" i="3"/>
  <c r="AF47" i="3"/>
  <c r="O49" i="3"/>
  <c r="M49" i="3"/>
  <c r="H50" i="3"/>
  <c r="J50" i="3"/>
  <c r="F50" i="3"/>
  <c r="I50" i="3"/>
  <c r="E50" i="3"/>
  <c r="L50" i="3" l="1"/>
  <c r="AD48" i="3"/>
  <c r="U49" i="3"/>
  <c r="O50" i="3"/>
  <c r="V49" i="3"/>
  <c r="Y49" i="3"/>
  <c r="Q50" i="3"/>
  <c r="AG48" i="3"/>
  <c r="AH48" i="3"/>
  <c r="D51" i="3"/>
  <c r="AE48" i="3"/>
  <c r="F51" i="3"/>
  <c r="M50" i="3"/>
  <c r="P50" i="3"/>
  <c r="AA49" i="3"/>
  <c r="G50" i="3"/>
  <c r="Z49" i="3"/>
  <c r="N50" i="3"/>
  <c r="W49" i="3"/>
  <c r="AI48" i="3"/>
  <c r="R50" i="3"/>
  <c r="AJ48" i="3"/>
  <c r="X49" i="3"/>
  <c r="AF48" i="3"/>
  <c r="E51" i="3"/>
  <c r="H51" i="3"/>
  <c r="I51" i="3"/>
  <c r="G51" i="3"/>
  <c r="L51" i="3" l="1"/>
  <c r="U50" i="3"/>
  <c r="AD49" i="3"/>
  <c r="J51" i="3"/>
  <c r="Y50" i="3"/>
  <c r="X50" i="3"/>
  <c r="N51" i="3"/>
  <c r="O51" i="3"/>
  <c r="AJ49" i="3"/>
  <c r="Q51" i="3"/>
  <c r="AA50" i="3"/>
  <c r="V50" i="3"/>
  <c r="AH49" i="3"/>
  <c r="Z50" i="3"/>
  <c r="M51" i="3"/>
  <c r="AF49" i="3"/>
  <c r="W50" i="3"/>
  <c r="D52" i="3"/>
  <c r="AG49" i="3"/>
  <c r="R51" i="3"/>
  <c r="P51" i="3"/>
  <c r="AE49" i="3"/>
  <c r="AI49" i="3"/>
  <c r="F52" i="3"/>
  <c r="J52" i="3"/>
  <c r="G52" i="3"/>
  <c r="I52" i="3"/>
  <c r="H52" i="3"/>
  <c r="L52" i="3" l="1"/>
  <c r="AD50" i="3"/>
  <c r="U51" i="3"/>
  <c r="AE50" i="3"/>
  <c r="N52" i="3"/>
  <c r="R52" i="3"/>
  <c r="D53" i="3"/>
  <c r="J53" i="3"/>
  <c r="AA51" i="3"/>
  <c r="P52" i="3"/>
  <c r="M52" i="3"/>
  <c r="O52" i="3"/>
  <c r="AH50" i="3"/>
  <c r="Q52" i="3"/>
  <c r="Z51" i="3"/>
  <c r="E52" i="3"/>
  <c r="AJ50" i="3"/>
  <c r="AI50" i="3"/>
  <c r="E53" i="3"/>
  <c r="W51" i="3"/>
  <c r="AF50" i="3"/>
  <c r="V51" i="3"/>
  <c r="G53" i="3"/>
  <c r="AG50" i="3"/>
  <c r="H53" i="3"/>
  <c r="Y51" i="3"/>
  <c r="X51" i="3"/>
  <c r="F53" i="3"/>
  <c r="L53" i="3" l="1"/>
  <c r="AD51" i="3"/>
  <c r="U52" i="3"/>
  <c r="AI51" i="3"/>
  <c r="W52" i="3"/>
  <c r="AA52" i="3"/>
  <c r="R53" i="3"/>
  <c r="V52" i="3"/>
  <c r="Z52" i="3"/>
  <c r="I53" i="3"/>
  <c r="N53" i="3"/>
  <c r="AF51" i="3"/>
  <c r="AH51" i="3"/>
  <c r="D54" i="3"/>
  <c r="P53" i="3"/>
  <c r="H54" i="3"/>
  <c r="AJ51" i="3"/>
  <c r="AG51" i="3"/>
  <c r="Q53" i="3"/>
  <c r="AE51" i="3"/>
  <c r="Y52" i="3"/>
  <c r="M53" i="3"/>
  <c r="O53" i="3"/>
  <c r="X52" i="3"/>
  <c r="I54" i="3"/>
  <c r="F54" i="3"/>
  <c r="E54" i="3"/>
  <c r="G54" i="3"/>
  <c r="J54" i="3"/>
  <c r="L54" i="3" l="1"/>
  <c r="U53" i="3"/>
  <c r="AD52" i="3"/>
  <c r="Z53" i="3"/>
  <c r="AJ52" i="3"/>
  <c r="R54" i="3"/>
  <c r="AH52" i="3"/>
  <c r="AA53" i="3"/>
  <c r="X53" i="3"/>
  <c r="N54" i="3"/>
  <c r="AI52" i="3"/>
  <c r="Q54" i="3"/>
  <c r="M54" i="3"/>
  <c r="W53" i="3"/>
  <c r="AG52" i="3"/>
  <c r="Y53" i="3"/>
  <c r="AE52" i="3"/>
  <c r="D55" i="3"/>
  <c r="V53" i="3"/>
  <c r="P54" i="3"/>
  <c r="AF52" i="3"/>
  <c r="O54" i="3"/>
  <c r="G55" i="3"/>
  <c r="F55" i="3"/>
  <c r="J55" i="3"/>
  <c r="E55" i="3"/>
  <c r="H55" i="3"/>
  <c r="L55" i="3" l="1"/>
  <c r="AD53" i="3"/>
  <c r="U54" i="3"/>
  <c r="N55" i="3"/>
  <c r="AA54" i="3"/>
  <c r="O55" i="3"/>
  <c r="AE53" i="3"/>
  <c r="AG53" i="3"/>
  <c r="Z54" i="3"/>
  <c r="P55" i="3"/>
  <c r="Y54" i="3"/>
  <c r="I55" i="3"/>
  <c r="X54" i="3"/>
  <c r="M55" i="3"/>
  <c r="W54" i="3"/>
  <c r="R55" i="3"/>
  <c r="AJ53" i="3"/>
  <c r="AH53" i="3"/>
  <c r="Q55" i="3"/>
  <c r="V54" i="3"/>
  <c r="AI53" i="3"/>
  <c r="AF53" i="3"/>
  <c r="D56" i="3"/>
  <c r="F56" i="3"/>
  <c r="J56" i="3"/>
  <c r="G56" i="3"/>
  <c r="I56" i="3"/>
  <c r="L56" i="3" l="1"/>
  <c r="AD54" i="3"/>
  <c r="U55" i="3"/>
  <c r="W55" i="3"/>
  <c r="R56" i="3"/>
  <c r="H56" i="3"/>
  <c r="O56" i="3"/>
  <c r="N56" i="3"/>
  <c r="Y55" i="3"/>
  <c r="AG54" i="3"/>
  <c r="AF54" i="3"/>
  <c r="Q56" i="3"/>
  <c r="V55" i="3"/>
  <c r="Z55" i="3"/>
  <c r="AE54" i="3"/>
  <c r="M56" i="3"/>
  <c r="AA55" i="3"/>
  <c r="X55" i="3"/>
  <c r="E56" i="3"/>
  <c r="AH54" i="3"/>
  <c r="D57" i="3"/>
  <c r="I57" i="3"/>
  <c r="AI54" i="3"/>
  <c r="P56" i="3"/>
  <c r="AJ54" i="3"/>
  <c r="J57" i="3"/>
  <c r="G57" i="3"/>
  <c r="E57" i="3"/>
  <c r="H57" i="3"/>
  <c r="L57" i="3" l="1"/>
  <c r="AD55" i="3"/>
  <c r="U56" i="3"/>
  <c r="AG55" i="3"/>
  <c r="V56" i="3"/>
  <c r="Q57" i="3"/>
  <c r="Y56" i="3"/>
  <c r="AA56" i="3"/>
  <c r="N57" i="3"/>
  <c r="R57" i="3"/>
  <c r="D58" i="3"/>
  <c r="AH55" i="3"/>
  <c r="F58" i="3"/>
  <c r="Z56" i="3"/>
  <c r="E58" i="3"/>
  <c r="F57" i="3"/>
  <c r="W56" i="3"/>
  <c r="X56" i="3"/>
  <c r="M57" i="3"/>
  <c r="AE55" i="3"/>
  <c r="P57" i="3"/>
  <c r="AJ55" i="3"/>
  <c r="AF55" i="3"/>
  <c r="O57" i="3"/>
  <c r="AI55" i="3"/>
  <c r="H58" i="3"/>
  <c r="J58" i="3"/>
  <c r="I58" i="3"/>
  <c r="L58" i="3" l="1"/>
  <c r="AD56" i="3"/>
  <c r="U57" i="3"/>
  <c r="N58" i="3"/>
  <c r="G58" i="3"/>
  <c r="R58" i="3"/>
  <c r="AH56" i="3"/>
  <c r="AI56" i="3"/>
  <c r="O58" i="3"/>
  <c r="AA57" i="3"/>
  <c r="AE56" i="3"/>
  <c r="X57" i="3"/>
  <c r="AG56" i="3"/>
  <c r="P58" i="3"/>
  <c r="AJ56" i="3"/>
  <c r="W57" i="3"/>
  <c r="Z57" i="3"/>
  <c r="Q58" i="3"/>
  <c r="D59" i="3"/>
  <c r="V57" i="3"/>
  <c r="M58" i="3"/>
  <c r="Y57" i="3"/>
  <c r="AF56" i="3"/>
  <c r="I59" i="3"/>
  <c r="F59" i="3"/>
  <c r="E59" i="3"/>
  <c r="G59" i="3"/>
  <c r="J59" i="3"/>
  <c r="H59" i="3"/>
  <c r="L59" i="3" l="1"/>
  <c r="U58" i="3"/>
  <c r="AD57" i="3"/>
  <c r="AA58" i="3"/>
  <c r="AE57" i="3"/>
  <c r="P59" i="3"/>
  <c r="AG57" i="3"/>
  <c r="O59" i="3"/>
  <c r="AH57" i="3"/>
  <c r="W58" i="3"/>
  <c r="Z58" i="3"/>
  <c r="Q59" i="3"/>
  <c r="AI57" i="3"/>
  <c r="M59" i="3"/>
  <c r="AJ57" i="3"/>
  <c r="V58" i="3"/>
  <c r="D60" i="3"/>
  <c r="N59" i="3"/>
  <c r="AF57" i="3"/>
  <c r="R59" i="3"/>
  <c r="H60" i="3"/>
  <c r="Y58" i="3"/>
  <c r="X58" i="3"/>
  <c r="E60" i="3"/>
  <c r="G60" i="3"/>
  <c r="F60" i="3"/>
  <c r="J60" i="3"/>
  <c r="I60" i="3"/>
  <c r="L60" i="3" l="1"/>
  <c r="U59" i="3"/>
  <c r="AD58" i="3"/>
  <c r="Z59" i="3"/>
  <c r="AJ58" i="3"/>
  <c r="P60" i="3"/>
  <c r="AE58" i="3"/>
  <c r="N60" i="3"/>
  <c r="X59" i="3"/>
  <c r="Q60" i="3"/>
  <c r="O60" i="3"/>
  <c r="D61" i="3"/>
  <c r="AF58" i="3"/>
  <c r="F61" i="3"/>
  <c r="AA59" i="3"/>
  <c r="M60" i="3"/>
  <c r="W59" i="3"/>
  <c r="I61" i="3"/>
  <c r="Y59" i="3"/>
  <c r="J61" i="3"/>
  <c r="V59" i="3"/>
  <c r="AH58" i="3"/>
  <c r="R60" i="3"/>
  <c r="AG58" i="3"/>
  <c r="H61" i="3"/>
  <c r="AI58" i="3"/>
  <c r="G61" i="3"/>
  <c r="E61" i="3"/>
  <c r="L61" i="3" l="1"/>
  <c r="AD59" i="3"/>
  <c r="U60" i="3"/>
  <c r="AF59" i="3"/>
  <c r="P61" i="3"/>
  <c r="M61" i="3"/>
  <c r="V60" i="3"/>
  <c r="Z60" i="3"/>
  <c r="Q61" i="3"/>
  <c r="O61" i="3"/>
  <c r="AE59" i="3"/>
  <c r="Y60" i="3"/>
  <c r="N61" i="3"/>
  <c r="W60" i="3"/>
  <c r="AH59" i="3"/>
  <c r="AG59" i="3"/>
  <c r="D62" i="3"/>
  <c r="H62" i="3"/>
  <c r="AJ59" i="3"/>
  <c r="R61" i="3"/>
  <c r="I62" i="3"/>
  <c r="AI59" i="3"/>
  <c r="AA60" i="3"/>
  <c r="X60" i="3"/>
  <c r="F62" i="3"/>
  <c r="J62" i="3"/>
  <c r="E62" i="3"/>
  <c r="L62" i="3" l="1"/>
  <c r="AD60" i="3"/>
  <c r="U61" i="3"/>
  <c r="N62" i="3"/>
  <c r="V61" i="3"/>
  <c r="X61" i="3"/>
  <c r="AF60" i="3"/>
  <c r="Q62" i="3"/>
  <c r="Z61" i="3"/>
  <c r="R62" i="3"/>
  <c r="AA61" i="3"/>
  <c r="AH60" i="3"/>
  <c r="O62" i="3"/>
  <c r="P62" i="3"/>
  <c r="AI60" i="3"/>
  <c r="W61" i="3"/>
  <c r="M62" i="3"/>
  <c r="D63" i="3"/>
  <c r="F63" i="3"/>
  <c r="G62" i="3"/>
  <c r="AJ60" i="3"/>
  <c r="Y61" i="3"/>
  <c r="AE60" i="3"/>
  <c r="AG60" i="3"/>
  <c r="J63" i="3"/>
  <c r="E63" i="3"/>
  <c r="I63" i="3"/>
  <c r="H63" i="3"/>
  <c r="G63" i="3"/>
  <c r="L63" i="3" l="1"/>
  <c r="AD61" i="3"/>
  <c r="U62" i="3"/>
  <c r="Y62" i="3"/>
  <c r="M63" i="3"/>
  <c r="AA62" i="3"/>
  <c r="P63" i="3"/>
  <c r="AF61" i="3"/>
  <c r="V62" i="3"/>
  <c r="AJ61" i="3"/>
  <c r="Z62" i="3"/>
  <c r="O63" i="3"/>
  <c r="X62" i="3"/>
  <c r="R63" i="3"/>
  <c r="Q63" i="3"/>
  <c r="AH61" i="3"/>
  <c r="AG61" i="3"/>
  <c r="D64" i="3"/>
  <c r="F64" i="3"/>
  <c r="AE61" i="3"/>
  <c r="W62" i="3"/>
  <c r="N63" i="3"/>
  <c r="AI61" i="3"/>
  <c r="G64" i="3"/>
  <c r="E64" i="3"/>
  <c r="H64" i="3"/>
  <c r="I64" i="3"/>
  <c r="L64" i="3" l="1"/>
  <c r="U63" i="3"/>
  <c r="AD62" i="3"/>
  <c r="J64" i="3"/>
  <c r="M64" i="3"/>
  <c r="Y63" i="3"/>
  <c r="AE62" i="3"/>
  <c r="Q64" i="3"/>
  <c r="V63" i="3"/>
  <c r="Z63" i="3"/>
  <c r="O64" i="3"/>
  <c r="AA63" i="3"/>
  <c r="N64" i="3"/>
  <c r="AI62" i="3"/>
  <c r="AG62" i="3"/>
  <c r="AH62" i="3"/>
  <c r="W63" i="3"/>
  <c r="D65" i="3"/>
  <c r="X63" i="3"/>
  <c r="R64" i="3"/>
  <c r="AJ62" i="3"/>
  <c r="AF62" i="3"/>
  <c r="E65" i="3"/>
  <c r="G65" i="3"/>
  <c r="P64" i="3"/>
  <c r="F65" i="3"/>
  <c r="I65" i="3"/>
  <c r="L65" i="3" l="1"/>
  <c r="AD63" i="3"/>
  <c r="U64" i="3"/>
  <c r="H65" i="3"/>
  <c r="Z64" i="3"/>
  <c r="V64" i="3"/>
  <c r="AH63" i="3"/>
  <c r="AF63" i="3"/>
  <c r="AA64" i="3"/>
  <c r="AG63" i="3"/>
  <c r="D66" i="3"/>
  <c r="M65" i="3"/>
  <c r="Q65" i="3"/>
  <c r="J65" i="3"/>
  <c r="F66" i="3"/>
  <c r="P65" i="3"/>
  <c r="AE63" i="3"/>
  <c r="X64" i="3"/>
  <c r="R65" i="3"/>
  <c r="AJ63" i="3"/>
  <c r="W64" i="3"/>
  <c r="Y64" i="3"/>
  <c r="O65" i="3"/>
  <c r="N65" i="3"/>
  <c r="H66" i="3"/>
  <c r="I66" i="3"/>
  <c r="AI63" i="3"/>
  <c r="E66" i="3"/>
  <c r="J66" i="3"/>
  <c r="L66" i="3" l="1"/>
  <c r="AD64" i="3"/>
  <c r="U65" i="3"/>
  <c r="Q66" i="3"/>
  <c r="G66" i="3"/>
  <c r="R66" i="3"/>
  <c r="N66" i="3"/>
  <c r="Y65" i="3"/>
  <c r="X65" i="3"/>
  <c r="M66" i="3"/>
  <c r="AA65" i="3"/>
  <c r="Z65" i="3"/>
  <c r="AG64" i="3"/>
  <c r="O66" i="3"/>
  <c r="AJ64" i="3"/>
  <c r="P66" i="3"/>
  <c r="D67" i="3"/>
  <c r="AI64" i="3"/>
  <c r="AH64" i="3"/>
  <c r="AF64" i="3"/>
  <c r="AE64" i="3"/>
  <c r="V65" i="3"/>
  <c r="H67" i="3"/>
  <c r="W65" i="3"/>
  <c r="E67" i="3"/>
  <c r="J67" i="3"/>
  <c r="I67" i="3"/>
  <c r="F67" i="3"/>
  <c r="G67" i="3"/>
  <c r="L67" i="3" l="1"/>
  <c r="AD65" i="3"/>
  <c r="U66" i="3"/>
  <c r="AG65" i="3"/>
  <c r="O67" i="3"/>
  <c r="AE65" i="3"/>
  <c r="R67" i="3"/>
  <c r="N67" i="3"/>
  <c r="V66" i="3"/>
  <c r="W66" i="3"/>
  <c r="P67" i="3"/>
  <c r="Q67" i="3"/>
  <c r="M67" i="3"/>
  <c r="AH65" i="3"/>
  <c r="AJ65" i="3"/>
  <c r="AI65" i="3"/>
  <c r="AA66" i="3"/>
  <c r="AF65" i="3"/>
  <c r="X66" i="3"/>
  <c r="Y66" i="3"/>
  <c r="Z66" i="3"/>
  <c r="D68" i="3"/>
  <c r="E68" i="3"/>
  <c r="G68" i="3"/>
  <c r="H68" i="3"/>
  <c r="I68" i="3"/>
  <c r="J68" i="3"/>
  <c r="L68" i="3" l="1"/>
  <c r="AD66" i="3"/>
  <c r="U67" i="3"/>
  <c r="O68" i="3"/>
  <c r="Q68" i="3"/>
  <c r="R68" i="3"/>
  <c r="N68" i="3"/>
  <c r="P68" i="3"/>
  <c r="AI66" i="3"/>
  <c r="AF66" i="3"/>
  <c r="AA67" i="3"/>
  <c r="Y67" i="3"/>
  <c r="M68" i="3"/>
  <c r="F68" i="3"/>
  <c r="Z67" i="3"/>
  <c r="W67" i="3"/>
  <c r="X67" i="3"/>
  <c r="AG66" i="3"/>
  <c r="AE66" i="3"/>
  <c r="AH66" i="3"/>
  <c r="V67" i="3"/>
  <c r="AJ66" i="3"/>
  <c r="U68" i="3" l="1"/>
  <c r="AD67" i="3"/>
  <c r="X68" i="3"/>
  <c r="AH67" i="3"/>
  <c r="AI67" i="3"/>
  <c r="AA68" i="3"/>
  <c r="AJ67" i="3"/>
  <c r="V68" i="3"/>
  <c r="AE67" i="3"/>
  <c r="W68" i="3"/>
  <c r="Y68" i="3"/>
  <c r="AF67" i="3"/>
  <c r="AG67" i="3"/>
  <c r="Z68" i="3"/>
  <c r="AD68" i="3" l="1"/>
  <c r="AE68" i="3"/>
  <c r="AI68" i="3"/>
  <c r="AG68" i="3"/>
  <c r="AJ68" i="3"/>
  <c r="AF68" i="3"/>
  <c r="AH68" i="3"/>
  <c r="I74" i="4"/>
  <c r="Q76" i="4"/>
  <c r="N77" i="4"/>
  <c r="Q75" i="4"/>
  <c r="G71" i="4"/>
  <c r="U76" i="4"/>
  <c r="M77" i="4"/>
  <c r="O71" i="4"/>
  <c r="I77" i="4"/>
  <c r="S77" i="4"/>
  <c r="H75" i="4"/>
  <c r="I75" i="4"/>
  <c r="S74" i="4"/>
  <c r="M70" i="4"/>
  <c r="L76" i="4"/>
  <c r="O73" i="4"/>
  <c r="N76" i="4"/>
  <c r="L73" i="4"/>
  <c r="U71" i="4"/>
  <c r="I73" i="4"/>
  <c r="L77" i="4"/>
  <c r="J77" i="4"/>
  <c r="K76" i="4"/>
  <c r="F75" i="4"/>
  <c r="S70" i="4"/>
  <c r="K71" i="4"/>
  <c r="H71" i="4"/>
  <c r="F73" i="4"/>
  <c r="E73" i="4"/>
  <c r="P73" i="4"/>
  <c r="I71" i="4"/>
  <c r="J72" i="4"/>
  <c r="H70" i="4"/>
  <c r="E74" i="4"/>
  <c r="O74" i="4"/>
  <c r="K73" i="4"/>
  <c r="L70" i="4"/>
  <c r="E76" i="4"/>
  <c r="F77" i="4"/>
  <c r="T72" i="4"/>
  <c r="I72" i="4"/>
  <c r="R76" i="4"/>
  <c r="N72" i="4"/>
  <c r="T70" i="4"/>
  <c r="M73" i="4"/>
  <c r="R73" i="4"/>
  <c r="M71" i="4"/>
  <c r="N71" i="4"/>
  <c r="G72" i="4"/>
  <c r="T75" i="4"/>
  <c r="L71" i="4"/>
  <c r="S73" i="4"/>
  <c r="G75" i="4"/>
  <c r="F74" i="4"/>
  <c r="Q71" i="4"/>
  <c r="J75" i="4"/>
  <c r="K77" i="4"/>
  <c r="G70" i="4"/>
  <c r="O77" i="4"/>
  <c r="U77" i="4"/>
  <c r="L75" i="4"/>
  <c r="P77" i="4"/>
  <c r="G73" i="4"/>
  <c r="T74" i="4"/>
  <c r="O70" i="4"/>
  <c r="O76" i="4"/>
  <c r="R75" i="4"/>
  <c r="S71" i="4"/>
  <c r="U75" i="4"/>
  <c r="M75" i="4"/>
  <c r="S75" i="4"/>
  <c r="N75" i="4"/>
  <c r="U74" i="4"/>
  <c r="R74" i="4"/>
  <c r="S72" i="4"/>
  <c r="H73" i="4"/>
  <c r="E77" i="4"/>
  <c r="E72" i="4"/>
  <c r="J70" i="4"/>
  <c r="G76" i="4"/>
  <c r="Q70" i="4"/>
  <c r="T73" i="4"/>
  <c r="R77" i="4"/>
  <c r="T77" i="4"/>
  <c r="H77" i="4"/>
  <c r="M74" i="4"/>
  <c r="T71" i="4"/>
  <c r="L72" i="4"/>
  <c r="H72" i="4"/>
  <c r="P75" i="4"/>
  <c r="N74" i="4"/>
  <c r="U73" i="4"/>
  <c r="Q77" i="4"/>
  <c r="L74" i="4"/>
  <c r="J76" i="4"/>
  <c r="P71" i="4"/>
  <c r="P70" i="4"/>
  <c r="H76" i="4"/>
  <c r="K72" i="4"/>
  <c r="J71" i="4"/>
  <c r="P72" i="4"/>
  <c r="M72" i="4"/>
  <c r="N73" i="4"/>
  <c r="F72" i="4"/>
  <c r="F76" i="4"/>
  <c r="G74" i="4"/>
  <c r="E70" i="4"/>
  <c r="M76" i="4"/>
  <c r="U70" i="4"/>
  <c r="F71" i="4"/>
  <c r="P74" i="4"/>
  <c r="U72" i="4"/>
  <c r="E71" i="4"/>
  <c r="K74" i="4"/>
  <c r="I76" i="4"/>
  <c r="G77" i="4"/>
  <c r="R72" i="4"/>
  <c r="N70" i="4"/>
  <c r="K70" i="4"/>
  <c r="Q74" i="4"/>
  <c r="E75" i="4"/>
  <c r="Q73" i="4"/>
  <c r="O72" i="4"/>
  <c r="F70" i="4"/>
  <c r="H74" i="4"/>
  <c r="AJ16" i="4"/>
  <c r="Q72" i="4"/>
  <c r="O75" i="4"/>
  <c r="S76" i="4"/>
  <c r="K75" i="4"/>
  <c r="J74" i="4"/>
  <c r="P76" i="4"/>
  <c r="I70" i="4"/>
  <c r="J73" i="4"/>
  <c r="R71" i="4"/>
  <c r="T76" i="4"/>
  <c r="R70" i="4"/>
  <c r="AB7" i="4"/>
  <c r="AB8" i="4"/>
  <c r="AB11" i="4"/>
  <c r="AB12" i="4"/>
  <c r="AB13" i="4"/>
  <c r="AB10" i="4"/>
  <c r="J110" i="4" l="1"/>
  <c r="R112" i="4"/>
  <c r="N116" i="4"/>
  <c r="E110" i="4"/>
  <c r="H115" i="4"/>
  <c r="Q110" i="4"/>
  <c r="M116" i="4"/>
  <c r="R109" i="4"/>
  <c r="L116" i="4"/>
  <c r="M111" i="4"/>
  <c r="Q112" i="4"/>
  <c r="F115" i="4"/>
  <c r="J115" i="4"/>
  <c r="O109" i="4"/>
  <c r="F111" i="4"/>
  <c r="N109" i="4"/>
  <c r="M109" i="4"/>
  <c r="T113" i="4"/>
  <c r="I113" i="4"/>
  <c r="G111" i="4"/>
  <c r="U111" i="4"/>
  <c r="I114" i="4"/>
  <c r="E114" i="4"/>
  <c r="N114" i="4"/>
  <c r="N112" i="4"/>
  <c r="O112" i="4"/>
  <c r="N110" i="4"/>
  <c r="Q115" i="4"/>
  <c r="T111" i="4"/>
  <c r="S109" i="4"/>
  <c r="S112" i="4"/>
  <c r="N111" i="4"/>
  <c r="J114" i="4"/>
  <c r="H113" i="4"/>
  <c r="G112" i="4"/>
  <c r="M110" i="4"/>
  <c r="H112" i="4"/>
  <c r="R113" i="4"/>
  <c r="P115" i="4"/>
  <c r="S111" i="4"/>
  <c r="U115" i="4"/>
  <c r="I115" i="4"/>
  <c r="F113" i="4"/>
  <c r="T110" i="4"/>
  <c r="M113" i="4"/>
  <c r="H114" i="4"/>
  <c r="G116" i="4"/>
  <c r="J116" i="4"/>
  <c r="P116" i="4"/>
  <c r="L112" i="4"/>
  <c r="H111" i="4"/>
  <c r="O113" i="4"/>
  <c r="T114" i="4"/>
  <c r="J109" i="4"/>
  <c r="E111" i="4"/>
  <c r="K111" i="4"/>
  <c r="H110" i="4"/>
  <c r="L114" i="4"/>
  <c r="I110" i="4"/>
  <c r="P113" i="4"/>
  <c r="F109" i="4"/>
  <c r="E112" i="4"/>
  <c r="U109" i="4"/>
  <c r="K113" i="4"/>
  <c r="E109" i="4"/>
  <c r="J111" i="4"/>
  <c r="F112" i="4"/>
  <c r="R110" i="4"/>
  <c r="S115" i="4"/>
  <c r="Q116" i="4"/>
  <c r="E115" i="4"/>
  <c r="P112" i="4"/>
  <c r="O116" i="4"/>
  <c r="I116" i="4"/>
  <c r="S116" i="4"/>
  <c r="M115" i="4"/>
  <c r="S113" i="4"/>
  <c r="K109" i="4"/>
  <c r="U110" i="4"/>
  <c r="T109" i="4"/>
  <c r="Q111" i="4"/>
  <c r="Q114" i="4"/>
  <c r="G109" i="4"/>
  <c r="U112" i="4"/>
  <c r="R115" i="4"/>
  <c r="I112" i="4"/>
  <c r="U116" i="4"/>
  <c r="R111" i="4"/>
  <c r="J113" i="4"/>
  <c r="N113" i="4"/>
  <c r="R116" i="4"/>
  <c r="O115" i="4"/>
  <c r="U114" i="4"/>
  <c r="E116" i="4"/>
  <c r="E113" i="4"/>
  <c r="S114" i="4"/>
  <c r="O110" i="4"/>
  <c r="S110" i="4"/>
  <c r="G113" i="4"/>
  <c r="P110" i="4"/>
  <c r="N115" i="4"/>
  <c r="L115" i="4"/>
  <c r="T116" i="4"/>
  <c r="T115" i="4"/>
  <c r="P114" i="4"/>
  <c r="I111" i="4"/>
  <c r="L113" i="4"/>
  <c r="U113" i="4"/>
  <c r="L110" i="4"/>
  <c r="M114" i="4"/>
  <c r="G110" i="4"/>
  <c r="K110" i="4"/>
  <c r="Q109" i="4"/>
  <c r="M112" i="4"/>
  <c r="F114" i="4"/>
  <c r="P111" i="4"/>
  <c r="J112" i="4"/>
  <c r="T112" i="4"/>
  <c r="I109" i="4"/>
  <c r="K116" i="4"/>
  <c r="H116" i="4"/>
  <c r="L109" i="4"/>
  <c r="O111" i="4"/>
  <c r="O114" i="4"/>
  <c r="K114" i="4"/>
  <c r="P109" i="4"/>
  <c r="Q113" i="4"/>
  <c r="G114" i="4"/>
  <c r="K112" i="4"/>
  <c r="K115" i="4"/>
  <c r="R114" i="4"/>
  <c r="G115" i="4"/>
  <c r="L111" i="4"/>
  <c r="H109" i="4"/>
  <c r="F110" i="4"/>
  <c r="F116" i="4"/>
  <c r="T96" i="4"/>
  <c r="L96" i="4"/>
  <c r="I96" i="4"/>
  <c r="P96" i="4"/>
  <c r="E96" i="4"/>
  <c r="S96" i="4"/>
  <c r="K96" i="4"/>
  <c r="R96" i="4"/>
  <c r="J96" i="4"/>
  <c r="H96" i="4"/>
  <c r="O96" i="4"/>
  <c r="N96" i="4"/>
  <c r="Q96" i="4"/>
  <c r="G96" i="4"/>
  <c r="U96" i="4"/>
  <c r="M96" i="4"/>
  <c r="N102" i="4"/>
  <c r="J102" i="4"/>
  <c r="I102" i="4"/>
  <c r="U102" i="4"/>
  <c r="M102" i="4"/>
  <c r="E102" i="4"/>
  <c r="T102" i="4"/>
  <c r="L102" i="4"/>
  <c r="S102" i="4"/>
  <c r="K102" i="4"/>
  <c r="R102" i="4"/>
  <c r="H102" i="4"/>
  <c r="Q102" i="4"/>
  <c r="P102" i="4"/>
  <c r="O102" i="4"/>
  <c r="G102" i="4"/>
  <c r="O101" i="4"/>
  <c r="G101" i="4"/>
  <c r="K101" i="4"/>
  <c r="J101" i="4"/>
  <c r="Q101" i="4"/>
  <c r="N101" i="4"/>
  <c r="U101" i="4"/>
  <c r="M101" i="4"/>
  <c r="E101" i="4"/>
  <c r="T101" i="4"/>
  <c r="L101" i="4"/>
  <c r="S101" i="4"/>
  <c r="R101" i="4"/>
  <c r="I101" i="4"/>
  <c r="P101" i="4"/>
  <c r="H101" i="4"/>
  <c r="U103" i="4"/>
  <c r="M103" i="4"/>
  <c r="E103" i="4"/>
  <c r="I103" i="4"/>
  <c r="H103" i="4"/>
  <c r="G103" i="4"/>
  <c r="T103" i="4"/>
  <c r="L103" i="4"/>
  <c r="S103" i="4"/>
  <c r="K103" i="4"/>
  <c r="R103" i="4"/>
  <c r="J103" i="4"/>
  <c r="Q103" i="4"/>
  <c r="P103" i="4"/>
  <c r="O103" i="4"/>
  <c r="N103" i="4"/>
  <c r="P100" i="4"/>
  <c r="H100" i="4"/>
  <c r="J100" i="4"/>
  <c r="O100" i="4"/>
  <c r="G100" i="4"/>
  <c r="N100" i="4"/>
  <c r="U100" i="4"/>
  <c r="M100" i="4"/>
  <c r="E100" i="4"/>
  <c r="T100" i="4"/>
  <c r="K100" i="4"/>
  <c r="R100" i="4"/>
  <c r="L100" i="4"/>
  <c r="S100" i="4"/>
  <c r="Q100" i="4"/>
  <c r="I100" i="4"/>
  <c r="Q99" i="4"/>
  <c r="I99" i="4"/>
  <c r="U99" i="4"/>
  <c r="T99" i="4"/>
  <c r="P99" i="4"/>
  <c r="H99" i="4"/>
  <c r="O99" i="4"/>
  <c r="G99" i="4"/>
  <c r="N99" i="4"/>
  <c r="M99" i="4"/>
  <c r="K99" i="4"/>
  <c r="E99" i="4"/>
  <c r="L99" i="4"/>
  <c r="S99" i="4"/>
  <c r="R99" i="4"/>
  <c r="J99" i="4"/>
  <c r="S97" i="4"/>
  <c r="K97" i="4"/>
  <c r="P97" i="4"/>
  <c r="M97" i="4"/>
  <c r="R97" i="4"/>
  <c r="J97" i="4"/>
  <c r="Q97" i="4"/>
  <c r="I97" i="4"/>
  <c r="H97" i="4"/>
  <c r="O97" i="4"/>
  <c r="N97" i="4"/>
  <c r="U97" i="4"/>
  <c r="G97" i="4"/>
  <c r="E97" i="4"/>
  <c r="T97" i="4"/>
  <c r="L97" i="4"/>
  <c r="R98" i="4"/>
  <c r="J98" i="4"/>
  <c r="N98" i="4"/>
  <c r="M98" i="4"/>
  <c r="T98" i="4"/>
  <c r="Q98" i="4"/>
  <c r="I98" i="4"/>
  <c r="P98" i="4"/>
  <c r="H98" i="4"/>
  <c r="O98" i="4"/>
  <c r="G98" i="4"/>
  <c r="U98" i="4"/>
  <c r="E98" i="4"/>
  <c r="L98" i="4"/>
  <c r="S98" i="4"/>
  <c r="K98" i="4"/>
  <c r="F96" i="4"/>
  <c r="F102" i="4"/>
  <c r="F101" i="4"/>
  <c r="F103" i="4"/>
  <c r="F100" i="4"/>
  <c r="F99" i="4"/>
  <c r="F97" i="4"/>
  <c r="F98" i="4"/>
  <c r="V99" i="4"/>
  <c r="E123" i="4"/>
  <c r="G123" i="4"/>
  <c r="O123" i="4"/>
  <c r="AB6" i="4"/>
  <c r="J123" i="4"/>
  <c r="Q123" i="4"/>
  <c r="F123" i="4"/>
  <c r="T123" i="4"/>
  <c r="V100" i="4"/>
  <c r="U123" i="4"/>
  <c r="R123" i="4"/>
  <c r="AB9" i="4"/>
  <c r="N123" i="4"/>
  <c r="P124" i="4"/>
  <c r="V101" i="4"/>
  <c r="V97" i="4"/>
  <c r="M121" i="4"/>
  <c r="L123" i="4"/>
  <c r="G124" i="4"/>
  <c r="O124" i="4"/>
  <c r="H124" i="4"/>
  <c r="N124" i="4"/>
  <c r="N121" i="4"/>
  <c r="E121" i="4"/>
  <c r="O121" i="4"/>
  <c r="L125" i="4"/>
  <c r="L121" i="4"/>
  <c r="S124" i="4"/>
  <c r="J124" i="4"/>
  <c r="P123" i="4"/>
  <c r="K124" i="4"/>
  <c r="S121" i="4"/>
  <c r="V96" i="4"/>
  <c r="Q121" i="4"/>
  <c r="F124" i="4"/>
  <c r="V98" i="4"/>
  <c r="G121" i="4"/>
  <c r="E125" i="4"/>
  <c r="I123" i="4"/>
  <c r="S123" i="4"/>
  <c r="K123" i="4"/>
  <c r="M123" i="4"/>
  <c r="I124" i="4"/>
  <c r="L124" i="4"/>
  <c r="E124" i="4"/>
  <c r="R124" i="4"/>
  <c r="Q124" i="4"/>
  <c r="T124" i="4"/>
  <c r="M124" i="4"/>
  <c r="J125" i="4"/>
  <c r="M125" i="4"/>
  <c r="T125" i="4"/>
  <c r="P125" i="4"/>
  <c r="H125" i="4"/>
  <c r="S125" i="4"/>
  <c r="U125" i="4"/>
  <c r="N125" i="4"/>
  <c r="I125" i="4"/>
  <c r="F125" i="4"/>
  <c r="K125" i="4"/>
  <c r="O125" i="4"/>
  <c r="G125" i="4"/>
  <c r="Q125" i="4"/>
  <c r="R125" i="4"/>
  <c r="J121" i="4"/>
  <c r="P121" i="4"/>
  <c r="F121" i="4"/>
  <c r="I121" i="4"/>
  <c r="H121" i="4"/>
  <c r="K121" i="4"/>
  <c r="U121" i="4"/>
  <c r="R121" i="4"/>
  <c r="T121" i="4"/>
  <c r="G120" i="4"/>
  <c r="K120" i="4"/>
  <c r="Q120" i="4"/>
  <c r="O120" i="4"/>
  <c r="P120" i="4"/>
  <c r="R120" i="4"/>
  <c r="F120" i="4"/>
  <c r="M120" i="4"/>
  <c r="U120" i="4"/>
  <c r="T120" i="4"/>
  <c r="J120" i="4"/>
  <c r="N120" i="4"/>
  <c r="S120" i="4"/>
  <c r="L120" i="4"/>
  <c r="I120" i="4"/>
  <c r="E120" i="4"/>
  <c r="H120" i="4"/>
  <c r="I122" i="4"/>
  <c r="L122" i="4"/>
  <c r="N122" i="4"/>
  <c r="O122" i="4"/>
  <c r="U122" i="4"/>
  <c r="K122" i="4"/>
  <c r="R122" i="4"/>
  <c r="Q122" i="4"/>
  <c r="H122" i="4"/>
  <c r="P122" i="4"/>
  <c r="T122" i="4"/>
  <c r="F122" i="4"/>
  <c r="J122" i="4"/>
  <c r="M122" i="4"/>
  <c r="E122" i="4"/>
  <c r="G122" i="4"/>
  <c r="S122" i="4"/>
  <c r="G128" i="4"/>
  <c r="L128" i="4"/>
  <c r="M128" i="4"/>
  <c r="N128" i="4"/>
  <c r="I128" i="4"/>
  <c r="O128" i="4"/>
  <c r="E128" i="4"/>
  <c r="F128" i="4"/>
  <c r="J128" i="4"/>
  <c r="P128" i="4"/>
  <c r="G138" i="4"/>
  <c r="I136" i="4"/>
  <c r="K138" i="4"/>
  <c r="J136" i="4"/>
  <c r="T128" i="4"/>
  <c r="S128" i="4"/>
  <c r="H138" i="4"/>
  <c r="J138" i="4"/>
  <c r="Q128" i="4"/>
  <c r="K128" i="4"/>
  <c r="R128" i="4"/>
  <c r="U124" i="4"/>
  <c r="U128" i="4" s="1"/>
  <c r="H123" i="4"/>
  <c r="H128" i="4" s="1"/>
  <c r="I134" i="4"/>
  <c r="H134" i="4"/>
  <c r="L134" i="4"/>
  <c r="G134" i="4"/>
  <c r="K134" i="4"/>
  <c r="J134" i="4"/>
  <c r="L138" i="4"/>
  <c r="G136" i="4"/>
  <c r="I138" i="4"/>
  <c r="L136" i="4"/>
  <c r="K136" i="4"/>
  <c r="H136" i="4"/>
  <c r="G135" i="4"/>
  <c r="J137" i="4"/>
  <c r="L135" i="4"/>
  <c r="H137" i="4"/>
  <c r="J135" i="4"/>
  <c r="H135" i="4"/>
  <c r="I137" i="4"/>
  <c r="L137" i="4"/>
  <c r="G137" i="4"/>
  <c r="I135" i="4"/>
  <c r="K135" i="4"/>
  <c r="K137" i="4"/>
  <c r="AD26" i="4" l="1"/>
  <c r="AD24" i="4"/>
  <c r="AB24" i="4"/>
  <c r="Z26" i="4"/>
  <c r="AE26" i="4"/>
  <c r="AB26" i="4"/>
  <c r="AA24" i="4"/>
  <c r="AC24" i="4"/>
  <c r="AA26" i="4"/>
  <c r="AE24" i="4"/>
  <c r="AC26" i="4"/>
  <c r="Z24" i="4"/>
  <c r="AA25" i="4"/>
  <c r="AA32" i="4" s="1"/>
  <c r="AD25" i="4"/>
  <c r="AA35" i="4" s="1"/>
  <c r="AE25" i="4"/>
  <c r="AA36" i="4" s="1"/>
  <c r="AB27" i="4"/>
  <c r="AC33" i="4" s="1"/>
  <c r="Z25" i="4"/>
  <c r="AA31" i="4" s="1"/>
  <c r="AE27" i="4"/>
  <c r="AC36" i="4" s="1"/>
  <c r="AC23" i="4"/>
  <c r="Y34" i="4" s="1"/>
  <c r="AD23" i="4"/>
  <c r="Y35" i="4" s="1"/>
  <c r="Z23" i="4"/>
  <c r="Y31" i="4" s="1"/>
  <c r="AE23" i="4"/>
  <c r="Y36" i="4" s="1"/>
  <c r="AA23" i="4"/>
  <c r="Y32" i="4" s="1"/>
  <c r="AB23" i="4"/>
  <c r="Y33" i="4" s="1"/>
  <c r="AC27" i="4"/>
  <c r="AC34" i="4" s="1"/>
  <c r="AA27" i="4"/>
  <c r="AC32" i="4" s="1"/>
  <c r="AC25" i="4"/>
  <c r="AA34" i="4" s="1"/>
  <c r="AD27" i="4"/>
  <c r="AC35" i="4" s="1"/>
  <c r="AB25" i="4"/>
  <c r="AA33" i="4" s="1"/>
  <c r="Z27" i="4"/>
  <c r="AC31" i="4" s="1"/>
  <c r="AB42" i="4"/>
  <c r="Q87" i="4"/>
  <c r="P89" i="4"/>
  <c r="I84" i="4"/>
  <c r="F83" i="4"/>
  <c r="K82" i="4"/>
  <c r="O87" i="4"/>
  <c r="O88" i="4"/>
  <c r="U87" i="4"/>
  <c r="F89" i="4"/>
  <c r="Q83" i="4"/>
  <c r="S85" i="4"/>
  <c r="R82" i="4"/>
  <c r="G87" i="4"/>
  <c r="L86" i="4"/>
  <c r="S89" i="4"/>
  <c r="S86" i="4"/>
  <c r="I87" i="4"/>
  <c r="O82" i="4"/>
  <c r="E89" i="4"/>
  <c r="S83" i="4"/>
  <c r="O86" i="4"/>
  <c r="L89" i="4"/>
  <c r="I89" i="4"/>
  <c r="I83" i="4"/>
  <c r="N87" i="4"/>
  <c r="U84" i="4"/>
  <c r="R83" i="4"/>
  <c r="N85" i="4"/>
  <c r="P85" i="4"/>
  <c r="T89" i="4"/>
  <c r="L83" i="4"/>
  <c r="U86" i="4"/>
  <c r="G88" i="4"/>
  <c r="T86" i="4"/>
  <c r="M89" i="4"/>
  <c r="F85" i="4"/>
  <c r="M83" i="4"/>
  <c r="Q82" i="4"/>
  <c r="T88" i="4"/>
  <c r="E82" i="4"/>
  <c r="U82" i="4"/>
  <c r="R89" i="4"/>
  <c r="E85" i="4"/>
  <c r="S82" i="4"/>
  <c r="P86" i="4"/>
  <c r="G82" i="4"/>
  <c r="M86" i="4"/>
  <c r="G86" i="4"/>
  <c r="H83" i="4"/>
  <c r="F88" i="4"/>
  <c r="K87" i="4"/>
  <c r="U85" i="4"/>
  <c r="L82" i="4"/>
  <c r="Q89" i="4"/>
  <c r="G85" i="4"/>
  <c r="H84" i="4"/>
  <c r="H87" i="4"/>
  <c r="Q85" i="4"/>
  <c r="P82" i="4"/>
  <c r="M84" i="4"/>
  <c r="T87" i="4"/>
  <c r="U83" i="4"/>
  <c r="J83" i="4"/>
  <c r="J85" i="4"/>
  <c r="I86" i="4"/>
  <c r="U88" i="4"/>
  <c r="E86" i="4"/>
  <c r="H89" i="4"/>
  <c r="J88" i="4"/>
  <c r="T82" i="4"/>
  <c r="J82" i="4"/>
  <c r="P84" i="4"/>
  <c r="T85" i="4"/>
  <c r="F82" i="4"/>
  <c r="M85" i="4"/>
  <c r="J86" i="4"/>
  <c r="Q86" i="4"/>
  <c r="J84" i="4"/>
  <c r="E87" i="4"/>
  <c r="J89" i="4"/>
  <c r="Q88" i="4"/>
  <c r="K86" i="4"/>
  <c r="K89" i="4"/>
  <c r="K85" i="4"/>
  <c r="I85" i="4"/>
  <c r="M87" i="4"/>
  <c r="K83" i="4"/>
  <c r="M88" i="4"/>
  <c r="K88" i="4"/>
  <c r="H82" i="4"/>
  <c r="S84" i="4"/>
  <c r="O84" i="4"/>
  <c r="S88" i="4"/>
  <c r="T83" i="4"/>
  <c r="N83" i="4"/>
  <c r="H88" i="4"/>
  <c r="N82" i="4"/>
  <c r="T84" i="4"/>
  <c r="N84" i="4"/>
  <c r="L87" i="4"/>
  <c r="R86" i="4"/>
  <c r="P88" i="4"/>
  <c r="P83" i="4"/>
  <c r="E84" i="4"/>
  <c r="N86" i="4"/>
  <c r="O89" i="4"/>
  <c r="R84" i="4"/>
  <c r="O85" i="4"/>
  <c r="M82" i="4"/>
  <c r="E83" i="4"/>
  <c r="S87" i="4"/>
  <c r="Q84" i="4"/>
  <c r="I88" i="4"/>
  <c r="H85" i="4"/>
  <c r="G89" i="4"/>
  <c r="F84" i="4"/>
  <c r="N89" i="4"/>
  <c r="H86" i="4"/>
  <c r="F86" i="4"/>
  <c r="I82" i="4"/>
  <c r="R88" i="4"/>
  <c r="G84" i="4"/>
  <c r="P87" i="4"/>
  <c r="L88" i="4"/>
  <c r="K84" i="4"/>
  <c r="J87" i="4"/>
  <c r="N88" i="4"/>
  <c r="F87" i="4"/>
  <c r="O83" i="4"/>
  <c r="G83" i="4"/>
  <c r="L85" i="4"/>
  <c r="R87" i="4"/>
  <c r="U89" i="4"/>
  <c r="E88" i="4"/>
  <c r="R85" i="4"/>
  <c r="L84" i="4"/>
</calcChain>
</file>

<file path=xl/sharedStrings.xml><?xml version="1.0" encoding="utf-8"?>
<sst xmlns="http://schemas.openxmlformats.org/spreadsheetml/2006/main" count="375" uniqueCount="166">
  <si>
    <t>LAV7 Comdty</t>
  </si>
  <si>
    <t>LAF18 Comdty</t>
  </si>
  <si>
    <t>LAHM18 Comdty</t>
  </si>
  <si>
    <t>From</t>
  </si>
  <si>
    <t>to</t>
  </si>
  <si>
    <t>Date</t>
  </si>
  <si>
    <t>PX_LAST</t>
  </si>
  <si>
    <t>PX_HIGH</t>
  </si>
  <si>
    <t>PX_LOW</t>
  </si>
  <si>
    <t>#N/A N/A</t>
  </si>
  <si>
    <t>LAX17 Comdty</t>
  </si>
  <si>
    <t>LAZ17 Comdty</t>
  </si>
  <si>
    <t>LAH18 Comdty</t>
  </si>
  <si>
    <t>Return</t>
  </si>
  <si>
    <t>H/L</t>
  </si>
  <si>
    <t>LMAHDS03 Comdty</t>
  </si>
  <si>
    <t>10d Puts</t>
  </si>
  <si>
    <t>25d Puts</t>
  </si>
  <si>
    <t>Zero Delta</t>
  </si>
  <si>
    <t>25d Calls</t>
  </si>
  <si>
    <t>10d Calls</t>
  </si>
  <si>
    <t>ATM</t>
  </si>
  <si>
    <t>D</t>
  </si>
  <si>
    <t>C</t>
  </si>
  <si>
    <t>E</t>
  </si>
  <si>
    <t>P</t>
  </si>
  <si>
    <t>O</t>
  </si>
  <si>
    <t>R</t>
  </si>
  <si>
    <t>LA</t>
  </si>
  <si>
    <t>today</t>
  </si>
  <si>
    <t>June</t>
  </si>
  <si>
    <t>GCZ7C 1300 Comdty</t>
  </si>
  <si>
    <t>PX_BID</t>
  </si>
  <si>
    <t>spot</t>
  </si>
  <si>
    <t>ASK</t>
  </si>
  <si>
    <t>BID</t>
  </si>
  <si>
    <t>Asset</t>
  </si>
  <si>
    <t>GC</t>
  </si>
  <si>
    <t>Ref wanted</t>
  </si>
  <si>
    <t>USD_XAU</t>
  </si>
  <si>
    <t>Fut. Price</t>
  </si>
  <si>
    <t>Expiry</t>
  </si>
  <si>
    <t>Rates</t>
  </si>
  <si>
    <t>1M</t>
  </si>
  <si>
    <t>2M</t>
  </si>
  <si>
    <t>3M</t>
  </si>
  <si>
    <t>6M</t>
  </si>
  <si>
    <t>1W</t>
  </si>
  <si>
    <t>USSWF Curncy</t>
  </si>
  <si>
    <t>USSW1 Curncy</t>
  </si>
  <si>
    <t>USSW2 Curncy</t>
  </si>
  <si>
    <t>USSW3 Curncy</t>
  </si>
  <si>
    <t>1Y</t>
  </si>
  <si>
    <t>2Y</t>
  </si>
  <si>
    <t>3Y</t>
  </si>
  <si>
    <t>USSWA Curncy</t>
  </si>
  <si>
    <t>USSWB Curncy</t>
  </si>
  <si>
    <t>9M</t>
  </si>
  <si>
    <t>USSWI Curncy</t>
  </si>
  <si>
    <t>USRG1Z Index</t>
  </si>
  <si>
    <t>USSWC Curncy</t>
  </si>
  <si>
    <t>USD Rate</t>
  </si>
  <si>
    <t>USD_CBK</t>
  </si>
  <si>
    <t>K</t>
  </si>
  <si>
    <t>XAU</t>
  </si>
  <si>
    <t>Fut Price</t>
  </si>
  <si>
    <t>Month</t>
  </si>
  <si>
    <t>Month Code</t>
  </si>
  <si>
    <t>January</t>
  </si>
  <si>
    <t>F</t>
  </si>
  <si>
    <t>February</t>
  </si>
  <si>
    <t>G</t>
  </si>
  <si>
    <t>March</t>
  </si>
  <si>
    <t>H</t>
  </si>
  <si>
    <t>April</t>
  </si>
  <si>
    <t>J</t>
  </si>
  <si>
    <t>May</t>
  </si>
  <si>
    <t>M</t>
  </si>
  <si>
    <t>July</t>
  </si>
  <si>
    <t>N</t>
  </si>
  <si>
    <t>August</t>
  </si>
  <si>
    <t>Q</t>
  </si>
  <si>
    <t>September</t>
  </si>
  <si>
    <t>U</t>
  </si>
  <si>
    <t>October</t>
  </si>
  <si>
    <t>V</t>
  </si>
  <si>
    <t>November</t>
  </si>
  <si>
    <t>X</t>
  </si>
  <si>
    <t>December</t>
  </si>
  <si>
    <t>Z</t>
  </si>
  <si>
    <t>Option UL</t>
  </si>
  <si>
    <t>----</t>
  </si>
  <si>
    <t>SI</t>
  </si>
  <si>
    <t>Fut. Exp. Code</t>
  </si>
  <si>
    <t>Fut. Expiry</t>
  </si>
  <si>
    <t>Call / Put</t>
  </si>
  <si>
    <t>Model</t>
  </si>
  <si>
    <t>Delta</t>
  </si>
  <si>
    <t>DEC 171206</t>
  </si>
  <si>
    <t>EZ7 Comdty</t>
  </si>
  <si>
    <t>JAN 180103</t>
  </si>
  <si>
    <t>EF8 Comdty</t>
  </si>
  <si>
    <t>FEB 180207</t>
  </si>
  <si>
    <t>EG8 Comdty</t>
  </si>
  <si>
    <t>MAR 180307</t>
  </si>
  <si>
    <t>EH8 Comdty</t>
  </si>
  <si>
    <t>APR 180404</t>
  </si>
  <si>
    <t>EJ8 Comdty</t>
  </si>
  <si>
    <t>MAY 180502</t>
  </si>
  <si>
    <t>EK8 Comdty</t>
  </si>
  <si>
    <t>JUN 180606</t>
  </si>
  <si>
    <t>EM8 Comdty</t>
  </si>
  <si>
    <t>JUL 180704</t>
  </si>
  <si>
    <t>EN8 Comdty</t>
  </si>
  <si>
    <t>AUG 180801</t>
  </si>
  <si>
    <t>EQ8 Comdty</t>
  </si>
  <si>
    <t>SEP 180905</t>
  </si>
  <si>
    <t>EU8 Comdty</t>
  </si>
  <si>
    <t>OCT 181003</t>
  </si>
  <si>
    <t>EV8 Comdty</t>
  </si>
  <si>
    <t>NOV 181107</t>
  </si>
  <si>
    <t>EX8 Comdty</t>
  </si>
  <si>
    <t>DEC 181205</t>
  </si>
  <si>
    <t>EZ8 Comdty</t>
  </si>
  <si>
    <t>JUN 190605</t>
  </si>
  <si>
    <t>EM9 Comdty</t>
  </si>
  <si>
    <t>DEC 191204</t>
  </si>
  <si>
    <t>EZ9 Comdty</t>
  </si>
  <si>
    <t>DEC 201202</t>
  </si>
  <si>
    <t>EZ0 Comdty</t>
  </si>
  <si>
    <t>Market Implied Mid</t>
  </si>
  <si>
    <t>Mid House</t>
  </si>
  <si>
    <t/>
  </si>
  <si>
    <t>1B</t>
  </si>
  <si>
    <t>RR</t>
  </si>
  <si>
    <t>BF</t>
  </si>
  <si>
    <t>Graphs</t>
  </si>
  <si>
    <t xml:space="preserve">RR = </t>
  </si>
  <si>
    <t>C - P</t>
  </si>
  <si>
    <t xml:space="preserve">BF = </t>
  </si>
  <si>
    <t>(C + P) - 2*ATM</t>
  </si>
  <si>
    <t>Tenor</t>
  </si>
  <si>
    <t>C1</t>
  </si>
  <si>
    <t>C2</t>
  </si>
  <si>
    <t>C3</t>
  </si>
  <si>
    <t>C4</t>
  </si>
  <si>
    <t>G18</t>
  </si>
  <si>
    <t>Expiries</t>
  </si>
  <si>
    <t>Active future</t>
  </si>
  <si>
    <t>Price</t>
  </si>
  <si>
    <t>Vol Offer</t>
  </si>
  <si>
    <t>Vol Bid</t>
  </si>
  <si>
    <t>1) find contract per option</t>
  </si>
  <si>
    <t>J8</t>
  </si>
  <si>
    <t>2) create C/P matrix</t>
  </si>
  <si>
    <t>3) use newton-raphson https://quant.stackexchange.com/questions/11397/estimate-implied-volatility-using-newton-raphson-in-python</t>
  </si>
  <si>
    <t>GCJ8</t>
  </si>
  <si>
    <t>H18</t>
  </si>
  <si>
    <t>J18</t>
  </si>
  <si>
    <t>=atmblackvol("XAU",F35:S35)</t>
  </si>
  <si>
    <t>=RRBlackVol("XAU",F35:S35)</t>
  </si>
  <si>
    <t>=BFBlackVol("XAU",F35:S35)</t>
  </si>
  <si>
    <t>=MultiMarket("XAU",F35:S35)</t>
  </si>
  <si>
    <t>=VolMatrix("XAU",F35:S35)</t>
  </si>
  <si>
    <t>=FIRModelFromMktData("XAU",F35:S35)</t>
  </si>
  <si>
    <t>=ABVModel("XAU",F35:S35)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</si>
</sst>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dd\-mmm\-yy_)"/>
    <numFmt numFmtId="165" formatCode="General_)"/>
    <numFmt numFmtId="166" formatCode="&quot;\&quot;#,##0.00;[Red]&quot;\&quot;\-#,##0.00"/>
    <numFmt numFmtId="167" formatCode="&quot;\&quot;#,##0;[Red]&quot;\&quot;\-#,##0"/>
    <numFmt numFmtId="168" formatCode="_-* #,##0\ _F_-;\-* #,##0\ _F_-;_-* &quot;-&quot;\ _F_-;_-@_-"/>
    <numFmt numFmtId="169" formatCode="_-* #,##0.00\ _F_-;\-* #,##0.00\ _F_-;_-* &quot;-&quot;??\ _F_-;_-@_-"/>
    <numFmt numFmtId="170" formatCode="_-* #,##0\ &quot;F&quot;_-;\-* #,##0\ &quot;F&quot;_-;_-* &quot;-&quot;\ &quot;F&quot;_-;_-@_-"/>
    <numFmt numFmtId="171" formatCode="_-* #,##0.00\ &quot;F&quot;_-;\-* #,##0.00\ &quot;F&quot;_-;_-* &quot;-&quot;??\ &quot;F&quot;_-;_-@_-"/>
    <numFmt numFmtId="172" formatCode="_-[$€-2]* #,##0.00_-;\-[$€-2]* #,##0.00_-;_-[$€-2]* &quot;-&quot;??_-"/>
    <numFmt numFmtId="173" formatCode="0.0000"/>
  </numFmts>
  <fonts count="34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8"/>
      <name val="Arial MT"/>
    </font>
    <font>
      <sz val="11"/>
      <name val="Times New Roman"/>
      <family val="1"/>
    </font>
    <font>
      <sz val="9"/>
      <color indexed="8"/>
      <name val="Times New Roman"/>
      <family val="1"/>
    </font>
    <font>
      <sz val="12"/>
      <name val="Arial"/>
      <family val="2"/>
    </font>
    <font>
      <sz val="8"/>
      <color indexed="12"/>
      <name val="Arial MT"/>
    </font>
    <font>
      <sz val="11"/>
      <name val="ＭＳ Ｐゴシック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i/>
      <sz val="8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color rgb="FFFFFFFF"/>
      <name val="Arial"/>
      <family val="2"/>
    </font>
    <font>
      <sz val="10"/>
      <color rgb="FF333333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i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5DB0F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2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ACACA"/>
      </left>
      <right style="medium">
        <color rgb="FFCACACA"/>
      </right>
      <top style="medium">
        <color rgb="FFCACACA"/>
      </top>
      <bottom style="medium">
        <color rgb="FFCACACA"/>
      </bottom>
      <diagonal/>
    </border>
    <border>
      <left style="medium">
        <color rgb="FFCACACA"/>
      </left>
      <right/>
      <top style="medium">
        <color rgb="FFCACACA"/>
      </top>
      <bottom style="medium">
        <color rgb="FFCACACA"/>
      </bottom>
      <diagonal/>
    </border>
    <border>
      <left/>
      <right style="medium">
        <color rgb="FFCACACA"/>
      </right>
      <top style="medium">
        <color rgb="FFCACACA"/>
      </top>
      <bottom style="medium">
        <color rgb="FFCACACA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61">
    <xf numFmtId="0" fontId="0" fillId="0" borderId="0"/>
    <xf numFmtId="0" fontId="2" fillId="0" borderId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4" borderId="0" applyNumberFormat="0" applyBorder="0" applyAlignment="0" applyProtection="0"/>
    <xf numFmtId="0" fontId="11" fillId="6" borderId="0" applyNumberFormat="0" applyBorder="0" applyAlignment="0" applyProtection="0"/>
    <xf numFmtId="0" fontId="11" fillId="3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6" borderId="0" applyNumberFormat="0" applyBorder="0" applyAlignment="0" applyProtection="0"/>
    <xf numFmtId="0" fontId="11" fillId="4" borderId="0" applyNumberFormat="0" applyBorder="0" applyAlignment="0" applyProtection="0"/>
    <xf numFmtId="0" fontId="12" fillId="6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8" borderId="0" applyNumberFormat="0" applyBorder="0" applyAlignment="0" applyProtection="0"/>
    <xf numFmtId="0" fontId="12" fillId="6" borderId="0" applyNumberFormat="0" applyBorder="0" applyAlignment="0" applyProtection="0"/>
    <xf numFmtId="0" fontId="12" fillId="3" borderId="0" applyNumberFormat="0" applyBorder="0" applyAlignment="0" applyProtection="0"/>
    <xf numFmtId="0" fontId="12" fillId="11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1" applyNumberFormat="0" applyAlignment="0" applyProtection="0"/>
    <xf numFmtId="0" fontId="15" fillId="17" borderId="2" applyNumberFormat="0" applyAlignment="0" applyProtection="0"/>
    <xf numFmtId="43" fontId="2" fillId="0" borderId="0" applyFont="0" applyFill="0" applyBorder="0" applyAlignment="0" applyProtection="0"/>
    <xf numFmtId="164" fontId="5" fillId="0" borderId="0"/>
    <xf numFmtId="0" fontId="16" fillId="0" borderId="0" applyNumberFormat="0" applyFill="0" applyBorder="0" applyAlignment="0" applyProtection="0"/>
    <xf numFmtId="2" fontId="6" fillId="0" borderId="3">
      <alignment horizontal="center"/>
    </xf>
    <xf numFmtId="0" fontId="17" fillId="6" borderId="0" applyNumberFormat="0" applyBorder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20" fillId="0" borderId="6" applyNumberFormat="0" applyFill="0" applyAlignment="0" applyProtection="0"/>
    <xf numFmtId="0" fontId="20" fillId="0" borderId="0" applyNumberFormat="0" applyFill="0" applyBorder="0" applyAlignment="0" applyProtection="0"/>
    <xf numFmtId="37" fontId="7" fillId="18" borderId="0" applyNumberFormat="0" applyBorder="0" applyAlignment="0">
      <protection locked="0"/>
    </xf>
    <xf numFmtId="0" fontId="21" fillId="0" borderId="7" applyNumberFormat="0" applyFill="0" applyAlignment="0" applyProtection="0"/>
    <xf numFmtId="168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70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0" fontId="22" fillId="7" borderId="0" applyNumberFormat="0" applyBorder="0" applyAlignment="0" applyProtection="0"/>
    <xf numFmtId="0" fontId="4" fillId="4" borderId="8" applyNumberFormat="0" applyFont="0" applyAlignment="0" applyProtection="0"/>
    <xf numFmtId="0" fontId="23" fillId="16" borderId="9" applyNumberFormat="0" applyAlignment="0" applyProtection="0"/>
    <xf numFmtId="9" fontId="2" fillId="0" borderId="0" applyFont="0" applyFill="0" applyBorder="0" applyAlignment="0" applyProtection="0"/>
    <xf numFmtId="165" fontId="9" fillId="0" borderId="0">
      <alignment horizontal="left"/>
    </xf>
    <xf numFmtId="0" fontId="24" fillId="0" borderId="10" applyNumberFormat="0" applyFill="0" applyAlignment="0" applyProtection="0"/>
    <xf numFmtId="0" fontId="21" fillId="0" borderId="0" applyNumberFormat="0" applyFill="0" applyBorder="0" applyAlignment="0" applyProtection="0"/>
    <xf numFmtId="40" fontId="10" fillId="0" borderId="0" applyFont="0" applyFill="0" applyBorder="0" applyAlignment="0" applyProtection="0"/>
    <xf numFmtId="38" fontId="10" fillId="0" borderId="0" applyFont="0" applyFill="0" applyBorder="0" applyAlignment="0" applyProtection="0"/>
    <xf numFmtId="0" fontId="10" fillId="0" borderId="0"/>
    <xf numFmtId="166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2" fillId="0" borderId="0"/>
    <xf numFmtId="172" fontId="2" fillId="0" borderId="0" applyFont="0" applyFill="0" applyBorder="0" applyAlignment="0" applyProtection="0"/>
    <xf numFmtId="0" fontId="31" fillId="0" borderId="0"/>
    <xf numFmtId="0" fontId="30" fillId="0" borderId="0"/>
    <xf numFmtId="9" fontId="30" fillId="0" borderId="0" applyFont="0" applyFill="0" applyBorder="0" applyAlignment="0" applyProtection="0"/>
  </cellStyleXfs>
  <cellXfs count="162">
    <xf numFmtId="0" fontId="0" fillId="0" borderId="0" xfId="0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0" fontId="3" fillId="19" borderId="11" xfId="1" applyFont="1" applyFill="1" applyBorder="1"/>
    <xf numFmtId="0" fontId="3" fillId="19" borderId="11" xfId="1" applyFont="1" applyFill="1" applyBorder="1" applyAlignment="1">
      <alignment horizontal="center"/>
    </xf>
    <xf numFmtId="0" fontId="3" fillId="19" borderId="13" xfId="1" applyFont="1" applyFill="1" applyBorder="1"/>
    <xf numFmtId="0" fontId="3" fillId="19" borderId="12" xfId="1" applyFont="1" applyFill="1" applyBorder="1"/>
    <xf numFmtId="0" fontId="3" fillId="19" borderId="12" xfId="1" applyFont="1" applyFill="1" applyBorder="1" applyAlignment="1">
      <alignment horizontal="center"/>
    </xf>
    <xf numFmtId="0" fontId="3" fillId="19" borderId="13" xfId="1" applyFont="1" applyFill="1" applyBorder="1" applyAlignment="1">
      <alignment horizontal="center"/>
    </xf>
    <xf numFmtId="0" fontId="1" fillId="0" borderId="0" xfId="0" applyFont="1"/>
    <xf numFmtId="0" fontId="0" fillId="0" borderId="11" xfId="0" applyBorder="1"/>
    <xf numFmtId="0" fontId="0" fillId="20" borderId="12" xfId="0" applyFill="1" applyBorder="1"/>
    <xf numFmtId="0" fontId="0" fillId="0" borderId="15" xfId="0" applyBorder="1"/>
    <xf numFmtId="0" fontId="0" fillId="20" borderId="16" xfId="0" applyFill="1" applyBorder="1"/>
    <xf numFmtId="0" fontId="0" fillId="0" borderId="11" xfId="0" applyBorder="1" applyAlignment="1">
      <alignment horizontal="center"/>
    </xf>
    <xf numFmtId="0" fontId="0" fillId="20" borderId="13" xfId="0" applyFill="1" applyBorder="1"/>
    <xf numFmtId="17" fontId="0" fillId="20" borderId="17" xfId="0" applyNumberFormat="1" applyFill="1" applyBorder="1"/>
    <xf numFmtId="17" fontId="0" fillId="20" borderId="15" xfId="0" applyNumberFormat="1" applyFill="1" applyBorder="1"/>
    <xf numFmtId="0" fontId="0" fillId="21" borderId="11" xfId="0" applyFill="1" applyBorder="1"/>
    <xf numFmtId="17" fontId="0" fillId="20" borderId="11" xfId="0" applyNumberFormat="1" applyFill="1" applyBorder="1"/>
    <xf numFmtId="0" fontId="0" fillId="21" borderId="17" xfId="0" applyFill="1" applyBorder="1"/>
    <xf numFmtId="0" fontId="0" fillId="21" borderId="15" xfId="0" applyFill="1" applyBorder="1"/>
    <xf numFmtId="0" fontId="0" fillId="21" borderId="13" xfId="0" applyFill="1" applyBorder="1"/>
    <xf numFmtId="0" fontId="0" fillId="21" borderId="12" xfId="0" applyFill="1" applyBorder="1"/>
    <xf numFmtId="17" fontId="0" fillId="21" borderId="17" xfId="0" applyNumberFormat="1" applyFill="1" applyBorder="1"/>
    <xf numFmtId="17" fontId="0" fillId="21" borderId="15" xfId="0" applyNumberFormat="1" applyFill="1" applyBorder="1"/>
    <xf numFmtId="17" fontId="0" fillId="21" borderId="11" xfId="0" applyNumberFormat="1" applyFill="1" applyBorder="1"/>
    <xf numFmtId="0" fontId="0" fillId="0" borderId="20" xfId="0" applyBorder="1"/>
    <xf numFmtId="0" fontId="0" fillId="20" borderId="21" xfId="0" applyFill="1" applyBorder="1"/>
    <xf numFmtId="0" fontId="0" fillId="0" borderId="14" xfId="0" applyBorder="1"/>
    <xf numFmtId="0" fontId="0" fillId="0" borderId="13" xfId="0" applyBorder="1"/>
    <xf numFmtId="0" fontId="0" fillId="0" borderId="12" xfId="0" applyBorder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0" fillId="21" borderId="0" xfId="0" applyFill="1" applyBorder="1"/>
    <xf numFmtId="0" fontId="0" fillId="21" borderId="18" xfId="0" applyFill="1" applyBorder="1"/>
    <xf numFmtId="0" fontId="0" fillId="21" borderId="19" xfId="0" applyFill="1" applyBorder="1"/>
    <xf numFmtId="0" fontId="0" fillId="21" borderId="16" xfId="0" applyFill="1" applyBorder="1"/>
    <xf numFmtId="0" fontId="0" fillId="0" borderId="22" xfId="0" applyBorder="1"/>
    <xf numFmtId="10" fontId="0" fillId="0" borderId="11" xfId="0" applyNumberFormat="1" applyBorder="1"/>
    <xf numFmtId="10" fontId="0" fillId="0" borderId="13" xfId="0" applyNumberFormat="1" applyBorder="1"/>
    <xf numFmtId="10" fontId="0" fillId="0" borderId="12" xfId="0" applyNumberFormat="1" applyBorder="1"/>
    <xf numFmtId="10" fontId="0" fillId="0" borderId="17" xfId="0" applyNumberFormat="1" applyBorder="1"/>
    <xf numFmtId="10" fontId="0" fillId="0" borderId="0" xfId="0" applyNumberFormat="1" applyBorder="1"/>
    <xf numFmtId="10" fontId="0" fillId="0" borderId="18" xfId="0" applyNumberFormat="1" applyBorder="1"/>
    <xf numFmtId="10" fontId="0" fillId="0" borderId="15" xfId="0" applyNumberFormat="1" applyBorder="1"/>
    <xf numFmtId="10" fontId="0" fillId="0" borderId="19" xfId="0" applyNumberFormat="1" applyBorder="1"/>
    <xf numFmtId="10" fontId="0" fillId="0" borderId="16" xfId="0" applyNumberFormat="1" applyBorder="1"/>
    <xf numFmtId="10" fontId="0" fillId="0" borderId="22" xfId="0" applyNumberFormat="1" applyBorder="1"/>
    <xf numFmtId="10" fontId="0" fillId="0" borderId="23" xfId="0" applyNumberFormat="1" applyBorder="1"/>
    <xf numFmtId="10" fontId="0" fillId="0" borderId="24" xfId="0" applyNumberFormat="1" applyBorder="1"/>
    <xf numFmtId="14" fontId="25" fillId="0" borderId="0" xfId="0" applyNumberFormat="1" applyFont="1"/>
    <xf numFmtId="14" fontId="0" fillId="21" borderId="11" xfId="0" applyNumberFormat="1" applyFill="1" applyBorder="1"/>
    <xf numFmtId="14" fontId="0" fillId="21" borderId="17" xfId="0" applyNumberFormat="1" applyFill="1" applyBorder="1"/>
    <xf numFmtId="14" fontId="0" fillId="21" borderId="15" xfId="0" applyNumberFormat="1" applyFill="1" applyBorder="1"/>
    <xf numFmtId="14" fontId="0" fillId="21" borderId="12" xfId="0" applyNumberFormat="1" applyFill="1" applyBorder="1"/>
    <xf numFmtId="14" fontId="0" fillId="21" borderId="18" xfId="0" applyNumberFormat="1" applyFill="1" applyBorder="1"/>
    <xf numFmtId="0" fontId="0" fillId="0" borderId="19" xfId="0" applyBorder="1"/>
    <xf numFmtId="14" fontId="0" fillId="21" borderId="16" xfId="0" applyNumberFormat="1" applyFill="1" applyBorder="1"/>
    <xf numFmtId="0" fontId="0" fillId="0" borderId="2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4" fontId="0" fillId="0" borderId="0" xfId="0" applyNumberFormat="1"/>
    <xf numFmtId="0" fontId="28" fillId="22" borderId="26" xfId="0" applyFont="1" applyFill="1" applyBorder="1" applyAlignment="1">
      <alignment horizontal="center" vertical="center" wrapText="1"/>
    </xf>
    <xf numFmtId="0" fontId="29" fillId="0" borderId="26" xfId="0" applyFont="1" applyBorder="1" applyAlignment="1">
      <alignment vertical="top" wrapText="1"/>
    </xf>
    <xf numFmtId="0" fontId="29" fillId="0" borderId="26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21" borderId="22" xfId="0" applyFill="1" applyBorder="1" applyAlignment="1">
      <alignment horizontal="center"/>
    </xf>
    <xf numFmtId="4" fontId="0" fillId="21" borderId="22" xfId="0" applyNumberFormat="1" applyFill="1" applyBorder="1"/>
    <xf numFmtId="4" fontId="0" fillId="21" borderId="23" xfId="0" applyNumberFormat="1" applyFill="1" applyBorder="1"/>
    <xf numFmtId="4" fontId="0" fillId="21" borderId="24" xfId="0" applyNumberFormat="1" applyFill="1" applyBorder="1"/>
    <xf numFmtId="0" fontId="0" fillId="21" borderId="14" xfId="0" applyFill="1" applyBorder="1"/>
    <xf numFmtId="0" fontId="0" fillId="21" borderId="23" xfId="0" applyFill="1" applyBorder="1"/>
    <xf numFmtId="0" fontId="0" fillId="21" borderId="24" xfId="0" applyFill="1" applyBorder="1"/>
    <xf numFmtId="0" fontId="27" fillId="0" borderId="0" xfId="0" applyFont="1" applyFill="1" applyBorder="1"/>
    <xf numFmtId="17" fontId="0" fillId="21" borderId="22" xfId="0" applyNumberFormat="1" applyFill="1" applyBorder="1"/>
    <xf numFmtId="17" fontId="0" fillId="21" borderId="23" xfId="0" applyNumberFormat="1" applyFill="1" applyBorder="1"/>
    <xf numFmtId="17" fontId="0" fillId="21" borderId="24" xfId="0" applyNumberFormat="1" applyFill="1" applyBorder="1"/>
    <xf numFmtId="0" fontId="0" fillId="0" borderId="23" xfId="0" applyBorder="1" applyAlignment="1">
      <alignment horizontal="center"/>
    </xf>
    <xf numFmtId="0" fontId="0" fillId="21" borderId="14" xfId="0" applyFill="1" applyBorder="1" applyAlignment="1">
      <alignment horizontal="center"/>
    </xf>
    <xf numFmtId="0" fontId="0" fillId="21" borderId="21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0" fontId="0" fillId="21" borderId="0" xfId="0" applyFill="1" applyAlignment="1">
      <alignment horizontal="center"/>
    </xf>
    <xf numFmtId="0" fontId="0" fillId="21" borderId="12" xfId="0" applyFill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0" fillId="0" borderId="18" xfId="0" applyNumberFormat="1" applyBorder="1" applyAlignment="1">
      <alignment horizontal="center"/>
    </xf>
    <xf numFmtId="10" fontId="0" fillId="0" borderId="19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73" fontId="0" fillId="0" borderId="0" xfId="0" applyNumberFormat="1"/>
    <xf numFmtId="11" fontId="0" fillId="0" borderId="0" xfId="0" applyNumberFormat="1"/>
    <xf numFmtId="0" fontId="27" fillId="0" borderId="0" xfId="0" applyFont="1"/>
    <xf numFmtId="0" fontId="0" fillId="0" borderId="16" xfId="0" applyBorder="1"/>
    <xf numFmtId="10" fontId="0" fillId="0" borderId="0" xfId="0" applyNumberFormat="1" applyFill="1" applyBorder="1" applyAlignment="1">
      <alignment horizontal="center"/>
    </xf>
    <xf numFmtId="0" fontId="0" fillId="0" borderId="13" xfId="0" quotePrefix="1" applyBorder="1"/>
    <xf numFmtId="17" fontId="0" fillId="0" borderId="0" xfId="0" applyNumberFormat="1"/>
    <xf numFmtId="10" fontId="0" fillId="21" borderId="0" xfId="0" applyNumberFormat="1" applyFill="1"/>
    <xf numFmtId="14" fontId="0" fillId="0" borderId="11" xfId="0" applyNumberFormat="1" applyBorder="1"/>
    <xf numFmtId="14" fontId="0" fillId="0" borderId="13" xfId="0" applyNumberFormat="1" applyBorder="1"/>
    <xf numFmtId="14" fontId="0" fillId="0" borderId="12" xfId="0" applyNumberFormat="1" applyBorder="1"/>
    <xf numFmtId="0" fontId="0" fillId="0" borderId="21" xfId="0" applyBorder="1"/>
    <xf numFmtId="0" fontId="0" fillId="0" borderId="25" xfId="0" applyBorder="1"/>
    <xf numFmtId="10" fontId="0" fillId="21" borderId="17" xfId="0" applyNumberFormat="1" applyFill="1" applyBorder="1"/>
    <xf numFmtId="10" fontId="0" fillId="21" borderId="0" xfId="0" applyNumberFormat="1" applyFill="1" applyBorder="1"/>
    <xf numFmtId="10" fontId="0" fillId="21" borderId="18" xfId="0" applyNumberFormat="1" applyFill="1" applyBorder="1"/>
    <xf numFmtId="14" fontId="0" fillId="0" borderId="17" xfId="0" applyNumberFormat="1" applyBorder="1"/>
    <xf numFmtId="14" fontId="0" fillId="0" borderId="15" xfId="0" applyNumberFormat="1" applyBorder="1"/>
    <xf numFmtId="14" fontId="0" fillId="0" borderId="22" xfId="0" applyNumberFormat="1" applyBorder="1"/>
    <xf numFmtId="10" fontId="0" fillId="21" borderId="23" xfId="0" applyNumberFormat="1" applyFill="1" applyBorder="1"/>
    <xf numFmtId="14" fontId="0" fillId="0" borderId="0" xfId="0" applyNumberFormat="1" applyBorder="1"/>
    <xf numFmtId="14" fontId="0" fillId="0" borderId="11" xfId="0" applyNumberFormat="1" applyBorder="1" applyAlignment="1">
      <alignment horizontal="center"/>
    </xf>
    <xf numFmtId="14" fontId="0" fillId="0" borderId="13" xfId="0" applyNumberFormat="1" applyBorder="1" applyAlignment="1">
      <alignment horizontal="center"/>
    </xf>
    <xf numFmtId="14" fontId="0" fillId="0" borderId="12" xfId="0" applyNumberFormat="1" applyBorder="1" applyAlignment="1">
      <alignment horizontal="center"/>
    </xf>
    <xf numFmtId="10" fontId="0" fillId="21" borderId="17" xfId="0" applyNumberFormat="1" applyFill="1" applyBorder="1" applyAlignment="1">
      <alignment horizontal="center"/>
    </xf>
    <xf numFmtId="10" fontId="0" fillId="21" borderId="0" xfId="0" applyNumberFormat="1" applyFill="1" applyBorder="1" applyAlignment="1">
      <alignment horizontal="center"/>
    </xf>
    <xf numFmtId="10" fontId="0" fillId="21" borderId="18" xfId="0" applyNumberFormat="1" applyFill="1" applyBorder="1" applyAlignment="1">
      <alignment horizontal="center"/>
    </xf>
    <xf numFmtId="0" fontId="0" fillId="23" borderId="0" xfId="0" applyFill="1"/>
    <xf numFmtId="0" fontId="32" fillId="24" borderId="31" xfId="0" applyFont="1" applyFill="1" applyBorder="1" applyAlignment="1">
      <alignment horizontal="center"/>
    </xf>
    <xf numFmtId="9" fontId="32" fillId="24" borderId="32" xfId="0" applyNumberFormat="1" applyFont="1" applyFill="1" applyBorder="1" applyAlignment="1">
      <alignment horizontal="center"/>
    </xf>
    <xf numFmtId="9" fontId="32" fillId="24" borderId="33" xfId="0" applyNumberFormat="1" applyFont="1" applyFill="1" applyBorder="1" applyAlignment="1">
      <alignment horizontal="center"/>
    </xf>
    <xf numFmtId="10" fontId="2" fillId="25" borderId="19" xfId="60" applyNumberFormat="1" applyFont="1" applyFill="1" applyBorder="1" applyAlignment="1">
      <alignment horizontal="center"/>
    </xf>
    <xf numFmtId="10" fontId="2" fillId="25" borderId="34" xfId="60" applyNumberFormat="1" applyFont="1" applyFill="1" applyBorder="1" applyAlignment="1">
      <alignment horizontal="center"/>
    </xf>
    <xf numFmtId="10" fontId="2" fillId="25" borderId="35" xfId="60" applyNumberFormat="1" applyFont="1" applyFill="1" applyBorder="1" applyAlignment="1">
      <alignment horizontal="center"/>
    </xf>
    <xf numFmtId="10" fontId="2" fillId="25" borderId="36" xfId="60" applyNumberFormat="1" applyFont="1" applyFill="1" applyBorder="1" applyAlignment="1">
      <alignment horizontal="center"/>
    </xf>
    <xf numFmtId="10" fontId="2" fillId="25" borderId="37" xfId="60" applyNumberFormat="1" applyFont="1" applyFill="1" applyBorder="1" applyAlignment="1">
      <alignment horizontal="center"/>
    </xf>
    <xf numFmtId="0" fontId="32" fillId="24" borderId="38" xfId="0" applyFont="1" applyFill="1" applyBorder="1" applyAlignment="1">
      <alignment horizontal="center"/>
    </xf>
    <xf numFmtId="0" fontId="4" fillId="19" borderId="39" xfId="0" applyFont="1" applyFill="1" applyBorder="1" applyAlignment="1">
      <alignment horizontal="center"/>
    </xf>
    <xf numFmtId="0" fontId="4" fillId="19" borderId="23" xfId="0" applyFont="1" applyFill="1" applyBorder="1" applyAlignment="1">
      <alignment horizontal="center"/>
    </xf>
    <xf numFmtId="0" fontId="4" fillId="19" borderId="24" xfId="0" applyFont="1" applyFill="1" applyBorder="1" applyAlignment="1">
      <alignment horizontal="center"/>
    </xf>
    <xf numFmtId="14" fontId="0" fillId="0" borderId="0" xfId="0" applyNumberFormat="1"/>
    <xf numFmtId="14" fontId="0" fillId="0" borderId="0" xfId="0" quotePrefix="1" applyNumberFormat="1"/>
    <xf numFmtId="14" fontId="0" fillId="0" borderId="23" xfId="0" applyNumberFormat="1" applyBorder="1"/>
    <xf numFmtId="14" fontId="0" fillId="0" borderId="24" xfId="0" applyNumberFormat="1" applyBorder="1"/>
    <xf numFmtId="0" fontId="0" fillId="0" borderId="23" xfId="0" applyBorder="1"/>
    <xf numFmtId="0" fontId="0" fillId="0" borderId="24" xfId="0" applyBorder="1"/>
    <xf numFmtId="0" fontId="0" fillId="20" borderId="0" xfId="0" applyFill="1" applyBorder="1"/>
    <xf numFmtId="0" fontId="0" fillId="20" borderId="19" xfId="0" applyFill="1" applyBorder="1"/>
    <xf numFmtId="0" fontId="0" fillId="20" borderId="20" xfId="0" applyFill="1" applyBorder="1"/>
    <xf numFmtId="0" fontId="0" fillId="20" borderId="25" xfId="0" applyFill="1" applyBorder="1"/>
    <xf numFmtId="14" fontId="0" fillId="0" borderId="18" xfId="0" applyNumberFormat="1" applyBorder="1"/>
    <xf numFmtId="4" fontId="0" fillId="0" borderId="0" xfId="0" applyNumberFormat="1" applyBorder="1"/>
    <xf numFmtId="4" fontId="0" fillId="0" borderId="18" xfId="0" applyNumberFormat="1" applyBorder="1"/>
    <xf numFmtId="14" fontId="0" fillId="21" borderId="23" xfId="0" applyNumberFormat="1" applyFill="1" applyBorder="1"/>
    <xf numFmtId="0" fontId="33" fillId="0" borderId="14" xfId="0" applyFont="1" applyBorder="1" applyAlignment="1">
      <alignment horizontal="center"/>
    </xf>
    <xf numFmtId="0" fontId="0" fillId="20" borderId="14" xfId="0" applyFill="1" applyBorder="1"/>
    <xf numFmtId="2" fontId="0" fillId="0" borderId="0" xfId="0" applyNumberFormat="1"/>
    <xf numFmtId="14" fontId="0" fillId="0" borderId="16" xfId="0" applyNumberFormat="1" applyBorder="1"/>
    <xf numFmtId="14" fontId="0" fillId="21" borderId="24" xfId="0" applyNumberFormat="1" applyFill="1" applyBorder="1"/>
    <xf numFmtId="0" fontId="0" fillId="21" borderId="21" xfId="0" applyFill="1" applyBorder="1"/>
    <xf numFmtId="14" fontId="2" fillId="20" borderId="25" xfId="0" applyNumberFormat="1" applyFont="1" applyFill="1" applyBorder="1"/>
    <xf numFmtId="9" fontId="32" fillId="24" borderId="29" xfId="0" applyNumberFormat="1" applyFont="1" applyFill="1" applyBorder="1" applyAlignment="1">
      <alignment horizontal="center"/>
    </xf>
    <xf numFmtId="9" fontId="32" fillId="24" borderId="30" xfId="0" applyNumberFormat="1" applyFont="1" applyFill="1" applyBorder="1" applyAlignment="1">
      <alignment horizontal="center"/>
    </xf>
    <xf numFmtId="0" fontId="28" fillId="22" borderId="27" xfId="0" applyFont="1" applyFill="1" applyBorder="1" applyAlignment="1">
      <alignment horizontal="center" vertical="center" wrapText="1"/>
    </xf>
    <xf numFmtId="0" fontId="28" fillId="22" borderId="28" xfId="0" applyFont="1" applyFill="1" applyBorder="1" applyAlignment="1">
      <alignment horizontal="center" vertical="center" wrapText="1"/>
    </xf>
    <xf numFmtId="0" fontId="0" fillId="0" borderId="0" xfId="0" quotePrefix="1"/>
  </cellXfs>
  <cellStyles count="61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Date" xfId="30"/>
    <cellStyle name="Euro" xfId="57"/>
    <cellStyle name="Explanatory Text 2" xfId="31"/>
    <cellStyle name="font1" xfId="32"/>
    <cellStyle name="Good 2" xfId="33"/>
    <cellStyle name="Heading 1 2" xfId="34"/>
    <cellStyle name="Heading 2 2" xfId="35"/>
    <cellStyle name="Heading 3 2" xfId="36"/>
    <cellStyle name="Heading 4 2" xfId="37"/>
    <cellStyle name="input 2" xfId="38"/>
    <cellStyle name="Linked Cell 2" xfId="39"/>
    <cellStyle name="Milliers [0]_book_indice" xfId="40"/>
    <cellStyle name="Milliers_book_indice" xfId="41"/>
    <cellStyle name="Monétaire [0]_book_indice" xfId="42"/>
    <cellStyle name="Monétaire_book_indice" xfId="43"/>
    <cellStyle name="Neutral 2" xfId="44"/>
    <cellStyle name="Normal" xfId="0" builtinId="0"/>
    <cellStyle name="Normal 2" xfId="56"/>
    <cellStyle name="Normal 3" xfId="1"/>
    <cellStyle name="Normal 3 2" xfId="59"/>
    <cellStyle name="Normal 4" xfId="58"/>
    <cellStyle name="Note 2" xfId="45"/>
    <cellStyle name="Output 2" xfId="46"/>
    <cellStyle name="Percent" xfId="60" builtinId="5"/>
    <cellStyle name="Percent 2" xfId="47"/>
    <cellStyle name="Title 2" xfId="48"/>
    <cellStyle name="Total 2" xfId="49"/>
    <cellStyle name="Warning Text 2" xfId="50"/>
    <cellStyle name="桁区切り [0.00]_Available_Names" xfId="51"/>
    <cellStyle name="桁区切り_Available_Names" xfId="52"/>
    <cellStyle name="標準_Available_Names" xfId="53"/>
    <cellStyle name="通貨 [0.00]_Available_Names" xfId="54"/>
    <cellStyle name="通貨_Available_Names" xfId="5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b">
        <v>0</v>
        <stp/>
        <stp>##V3_BDHV12</stp>
        <stp>LAEF8 Comdty</stp>
        <stp>Last Trade</stp>
        <stp>13/11/2017</stp>
        <stp>13/11/2017</stp>
        <stp>[BBG Class FINAL.xlsm]Ali vol!R43C7</stp>
        <tr r="G43" s="3"/>
      </tp>
      <tp t="b">
        <v>0</v>
        <stp/>
        <stp>##V3_BDHV12</stp>
        <stp>LADF8 Comdty</stp>
        <stp>Last Trade</stp>
        <stp>14/11/2017</stp>
        <stp>14/11/2017</stp>
        <stp>[BBG Class FINAL.xlsm]Ali vol!R42C5</stp>
        <tr r="E42" s="3"/>
      </tp>
      <tp t="b">
        <v>0</v>
        <stp/>
        <stp>##V3_BDHV12</stp>
        <stp>LAOF8 Comdty</stp>
        <stp>Last Trade</stp>
        <stp>17/11/2017</stp>
        <stp>17/11/2017</stp>
        <stp>[BBG Class FINAL.xlsm]Ali vol!R39C9</stp>
        <tr r="I39" s="3"/>
      </tp>
      <tp t="b">
        <v>0</v>
        <stp/>
        <stp>##V3_BDHV12</stp>
        <stp>LACF8 Comdty</stp>
        <stp>Last Trade</stp>
        <stp>12/10/2017</stp>
        <stp>12/10/2017</stp>
        <stp>[BBG Class FINAL.xlsm]Ali vol!R65C6</stp>
        <tr r="F65" s="3"/>
      </tp>
      <tp t="b">
        <v>0</v>
        <stp/>
        <stp>##V3_BDHV12</stp>
        <stp>LADF8 Comdty</stp>
        <stp>Last Trade</stp>
        <stp>17/10/2017</stp>
        <stp>17/10/2017</stp>
        <stp>[BBG Class FINAL.xlsm]Ali vol!R62C5</stp>
        <tr r="E62" s="3"/>
      </tp>
      <tp t="b">
        <v>0</v>
        <stp/>
        <stp>##V3_BDHV12</stp>
        <stp>LAEF8 Comdty</stp>
        <stp>Last Trade</stp>
        <stp>16/10/2017</stp>
        <stp>16/10/2017</stp>
        <stp>[BBG Class FINAL.xlsm]Ali vol!R63C7</stp>
        <tr r="G63" s="3"/>
      </tp>
      <tp t="b">
        <v>0</v>
        <stp/>
        <stp>##V3_BDHV12</stp>
        <stp>LACF8 Comdty</stp>
        <stp>Last Trade</stp>
        <stp>09/11/2017</stp>
        <stp>09/11/2017</stp>
        <stp>[BBG Class FINAL.xlsm]Ali vol!R45C6</stp>
        <tr r="F45" s="3"/>
      </tp>
      <tp t="b">
        <v>0</v>
        <stp/>
        <stp>##V3_BDHV12</stp>
        <stp>LAOF8 Comdty</stp>
        <stp>Last Trade</stp>
        <stp>03/11/2017</stp>
        <stp>03/11/2017</stp>
        <stp>[BBG Class FINAL.xlsm]Ali vol!R49C9</stp>
        <tr r="I49" s="3"/>
      </tp>
      <tp t="b">
        <v>0</v>
        <stp/>
        <stp>##V3_BDHV12</stp>
        <stp>LACF8 Comdty</stp>
        <stp>Last Trade</stp>
        <stp>07/12/2017</stp>
        <stp>07/12/2017</stp>
        <stp>[BBG Class FINAL.xlsm]Ali vol!R25C6</stp>
        <tr r="F25" s="3"/>
      </tp>
      <tp t="b">
        <v>0</v>
        <stp/>
        <stp>##V3_BDHV12</stp>
        <stp>LACF8 Comdty</stp>
        <stp>Last Trade</stp>
        <stp>26/10/2017</stp>
        <stp>26/10/2017</stp>
        <stp>[BBG Class FINAL.xlsm]Ali vol!R55C6</stp>
        <tr r="F55" s="3"/>
      </tp>
      <tp t="b">
        <v>0</v>
        <stp/>
        <stp>##V3_BDHV12</stp>
        <stp>LAOF8 Comdty</stp>
        <stp>Last Trade</stp>
        <stp>20/10/2017</stp>
        <stp>20/10/2017</stp>
        <stp>[BBG Class FINAL.xlsm]Ali vol!R59C9</stp>
        <tr r="I59" s="3"/>
      </tp>
      <tp t="b">
        <v>0</v>
        <stp/>
        <stp>##V3_BDHV12</stp>
        <stp>LAOF8 Comdty</stp>
        <stp>Last Trade</stp>
        <stp>01/12/2017</stp>
        <stp>01/12/2017</stp>
        <stp>[BBG Class FINAL.xlsm]Ali vol!R29C9</stp>
        <tr r="I29" s="3"/>
      </tp>
      <tp t="b">
        <v>0</v>
        <stp/>
        <stp>##V3_BDHV12</stp>
        <stp>LADF8 Comdty</stp>
        <stp>Last Trade</stp>
        <stp>31/10/2017</stp>
        <stp>31/10/2017</stp>
        <stp>[BBG Class FINAL.xlsm]Ali vol!R52C5</stp>
        <tr r="E52" s="3"/>
      </tp>
      <tp t="b">
        <v>0</v>
        <stp/>
        <stp>##V3_BDHV12</stp>
        <stp>LACF8 Comdty</stp>
        <stp>Last Trade</stp>
        <stp>23/11/2017</stp>
        <stp>23/11/2017</stp>
        <stp>[BBG Class FINAL.xlsm]Ali vol!R35C6</stp>
        <tr r="F35" s="3"/>
      </tp>
      <tp t="b">
        <v>0</v>
        <stp/>
        <stp>##V3_BDHV12</stp>
        <stp>LAEF8 Comdty</stp>
        <stp>Last Trade</stp>
        <stp>11/12/2017</stp>
        <stp>11/12/2017</stp>
        <stp>[BBG Class FINAL.xlsm]Ali vol!R23C7</stp>
        <tr r="G23" s="3"/>
      </tp>
      <tp t="b">
        <v>0</v>
        <stp/>
        <stp>##V3_BDHV12</stp>
        <stp>LADF8 Comdty</stp>
        <stp>Last Trade</stp>
        <stp>12/12/2017</stp>
        <stp>12/12/2017</stp>
        <stp>[BBG Class FINAL.xlsm]Ali vol!R22C5</stp>
        <tr r="E22" s="3"/>
      </tp>
      <tp t="b">
        <v>0</v>
        <stp/>
        <stp>##V3_BDHV12</stp>
        <stp>LAEF8 Comdty</stp>
        <stp>Last Trade</stp>
        <stp>30/10/2017</stp>
        <stp>30/10/2017</stp>
        <stp>[BBG Class FINAL.xlsm]Ali vol!R53C7</stp>
        <tr r="G53" s="3"/>
      </tp>
      <tp t="b">
        <v>0</v>
        <stp/>
        <stp>##V3_BDHV12</stp>
        <stp>LAEF8 Comdty</stp>
        <stp>Last Trade</stp>
        <stp>27/11/2017</stp>
        <stp>27/11/2017</stp>
        <stp>[BBG Class FINAL.xlsm]Ali vol!R33C7</stp>
        <tr r="G33" s="3"/>
      </tp>
      <tp t="b">
        <v>0</v>
        <stp/>
        <stp>##V3_BDHV12</stp>
        <stp>LADF8 Comdty</stp>
        <stp>Last Trade</stp>
        <stp>28/11/2017</stp>
        <stp>28/11/2017</stp>
        <stp>[BBG Class FINAL.xlsm]Ali vol!R32C5</stp>
        <tr r="E32" s="3"/>
      </tp>
      <tp t="b">
        <v>0</v>
        <stp/>
        <stp>##V3_BDHV12</stp>
        <stp>LADF8 Comdty</stp>
        <stp>Last Trade</stp>
        <stp>13/11/2017</stp>
        <stp>13/11/2017</stp>
        <stp>[BBG Class FINAL.xlsm]Ali vol!R43C5</stp>
        <tr r="E43" s="3"/>
      </tp>
      <tp t="b">
        <v>0</v>
        <stp/>
        <stp>##V3_BDHV12</stp>
        <stp>LACF8 Comdty</stp>
        <stp>Last Trade</stp>
        <stp>10/11/2017</stp>
        <stp>10/11/2017</stp>
        <stp>[BBG Class FINAL.xlsm]Ali vol!R44C6</stp>
        <tr r="F44" s="3"/>
      </tp>
      <tp t="b">
        <v>0</v>
        <stp/>
        <stp>##V3_BDHV12</stp>
        <stp>LAEF8 Comdty</stp>
        <stp>Last Trade</stp>
        <stp>14/11/2017</stp>
        <stp>14/11/2017</stp>
        <stp>[BBG Class FINAL.xlsm]Ali vol!R42C7</stp>
        <tr r="G42" s="3"/>
      </tp>
      <tp t="b">
        <v>0</v>
        <stp/>
        <stp>##V3_BDHV12</stp>
        <stp>LAOF8 Comdty</stp>
        <stp>Last Trade</stp>
        <stp>09/10/2017</stp>
        <stp>09/10/2017</stp>
        <stp>[BBG Class FINAL.xlsm]Ali vol!R68C9</stp>
        <tr r="I68" s="3"/>
      </tp>
      <tp t="b">
        <v>0</v>
        <stp/>
        <stp>##V3_BDHV12</stp>
        <stp>LACF8 Comdty</stp>
        <stp>Last Trade</stp>
        <stp>13/10/2017</stp>
        <stp>13/10/2017</stp>
        <stp>[BBG Class FINAL.xlsm]Ali vol!R64C6</stp>
        <tr r="F64" s="3"/>
      </tp>
      <tp t="b">
        <v>0</v>
        <stp/>
        <stp>##V3_BDHV12</stp>
        <stp>LADF8 Comdty</stp>
        <stp>Last Trade</stp>
        <stp>16/10/2017</stp>
        <stp>16/10/2017</stp>
        <stp>[BBG Class FINAL.xlsm]Ali vol!R63C5</stp>
        <tr r="E63" s="3"/>
      </tp>
      <tp t="b">
        <v>0</v>
        <stp/>
        <stp>##V3_BDHV12</stp>
        <stp>LAEF8 Comdty</stp>
        <stp>Last Trade</stp>
        <stp>17/10/2017</stp>
        <stp>17/10/2017</stp>
        <stp>[BBG Class FINAL.xlsm]Ali vol!R62C7</stp>
        <tr r="G62" s="3"/>
      </tp>
      <tp t="b">
        <v>0</v>
        <stp/>
        <stp>##V3_BDHV12</stp>
        <stp>LAOF8 Comdty</stp>
        <stp>Last Trade</stp>
        <stp>06/11/2017</stp>
        <stp>06/11/2017</stp>
        <stp>[BBG Class FINAL.xlsm]Ali vol!R48C9</stp>
        <tr r="I48" s="3"/>
      </tp>
      <tp t="b">
        <v>0</v>
        <stp/>
        <stp>##V3_BDHV12</stp>
        <stp>LACF8 Comdty</stp>
        <stp>Last Trade</stp>
        <stp>27/10/2017</stp>
        <stp>27/10/2017</stp>
        <stp>[BBG Class FINAL.xlsm]Ali vol!R54C6</stp>
        <tr r="F54" s="3"/>
      </tp>
      <tp t="b">
        <v>0</v>
        <stp/>
        <stp>##V3_BDHV12</stp>
        <stp>LAOF8 Comdty</stp>
        <stp>Last Trade</stp>
        <stp>04/12/2017</stp>
        <stp>04/12/2017</stp>
        <stp>[BBG Class FINAL.xlsm]Ali vol!R28C9</stp>
        <tr r="I28" s="3"/>
      </tp>
      <tp t="b">
        <v>0</v>
        <stp/>
        <stp>##V3_BDHV12</stp>
        <stp>LACF8 Comdty</stp>
        <stp>Last Trade</stp>
        <stp>08/12/2017</stp>
        <stp>08/12/2017</stp>
        <stp>[BBG Class FINAL.xlsm]Ali vol!R24C6</stp>
        <tr r="F24" s="3"/>
      </tp>
      <tp t="b">
        <v>0</v>
        <stp/>
        <stp>##V3_BDHV12</stp>
        <stp>LAOF8 Comdty</stp>
        <stp>Last Trade</stp>
        <stp>23/10/2017</stp>
        <stp>23/10/2017</stp>
        <stp>[BBG Class FINAL.xlsm]Ali vol!R58C9</stp>
        <tr r="I58" s="3"/>
      </tp>
      <tp t="b">
        <v>0</v>
        <stp/>
        <stp>##V3_BDHV12</stp>
        <stp>LADF8 Comdty</stp>
        <stp>Last Trade</stp>
        <stp>11/12/2017</stp>
        <stp>11/12/2017</stp>
        <stp>[BBG Class FINAL.xlsm]Ali vol!R23C5</stp>
        <tr r="E23" s="3"/>
      </tp>
      <tp t="b">
        <v>0</v>
        <stp/>
        <stp>##V3_BDHV12</stp>
        <stp>LAEF8 Comdty</stp>
        <stp>Last Trade</stp>
        <stp>12/12/2017</stp>
        <stp>12/12/2017</stp>
        <stp>[BBG Class FINAL.xlsm]Ali vol!R22C7</stp>
        <tr r="G22" s="3"/>
      </tp>
      <tp t="b">
        <v>0</v>
        <stp/>
        <stp>##V3_BDHV12</stp>
        <stp>LADF8 Comdty</stp>
        <stp>Last Trade</stp>
        <stp>30/10/2017</stp>
        <stp>30/10/2017</stp>
        <stp>[BBG Class FINAL.xlsm]Ali vol!R53C5</stp>
        <tr r="E53" s="3"/>
      </tp>
      <tp t="b">
        <v>0</v>
        <stp/>
        <stp>##V3_BDHV12</stp>
        <stp>LAEF8 Comdty</stp>
        <stp>Last Trade</stp>
        <stp>31/10/2017</stp>
        <stp>31/10/2017</stp>
        <stp>[BBG Class FINAL.xlsm]Ali vol!R52C7</stp>
        <tr r="G52" s="3"/>
      </tp>
      <tp t="b">
        <v>0</v>
        <stp/>
        <stp>##V3_BDHV12</stp>
        <stp>LACF8 Comdty</stp>
        <stp>Last Trade</stp>
        <stp>24/11/2017</stp>
        <stp>24/11/2017</stp>
        <stp>[BBG Class FINAL.xlsm]Ali vol!R34C6</stp>
        <tr r="F34" s="3"/>
      </tp>
      <tp t="b">
        <v>0</v>
        <stp/>
        <stp>##V3_BDHV12</stp>
        <stp>LADF8 Comdty</stp>
        <stp>Last Trade</stp>
        <stp>27/11/2017</stp>
        <stp>27/11/2017</stp>
        <stp>[BBG Class FINAL.xlsm]Ali vol!R33C5</stp>
        <tr r="E33" s="3"/>
      </tp>
      <tp t="b">
        <v>0</v>
        <stp/>
        <stp>##V3_BDHV12</stp>
        <stp>LAEF8 Comdty</stp>
        <stp>Last Trade</stp>
        <stp>28/11/2017</stp>
        <stp>28/11/2017</stp>
        <stp>[BBG Class FINAL.xlsm]Ali vol!R32C7</stp>
        <tr r="G32" s="3"/>
      </tp>
      <tp t="b">
        <v>0</v>
        <stp/>
        <stp>##V3_BDHV12</stp>
        <stp>LAOF8 Comdty</stp>
        <stp>Last Trade</stp>
        <stp>20/11/2017</stp>
        <stp>20/11/2017</stp>
        <stp>[BBG Class FINAL.xlsm]Ali vol!R38C9</stp>
        <tr r="I38" s="3"/>
      </tp>
      <tp t="b">
        <v>0</v>
        <stp/>
        <stp>##V3_BDHV12</stp>
        <stp>LADF8 Comdty</stp>
        <stp>Last Trade</stp>
        <stp>16/11/2017</stp>
        <stp>16/11/2017</stp>
        <stp>[BBG Class FINAL.xlsm]Ali vol!R40C5</stp>
        <tr r="E40" s="3"/>
      </tp>
      <tp t="b">
        <v>0</v>
        <stp/>
        <stp>##V3_BDHV12</stp>
        <stp>LAEF8 Comdty</stp>
        <stp>Last Trade</stp>
        <stp>15/11/2017</stp>
        <stp>15/11/2017</stp>
        <stp>[BBG Class FINAL.xlsm]Ali vol!R41C7</stp>
        <tr r="G41" s="3"/>
      </tp>
      <tp t="b">
        <v>0</v>
        <stp/>
        <stp>##V3_BDHV12</stp>
        <stp>LACF8 Comdty</stp>
        <stp>Last Trade</stp>
        <stp>10/10/2017</stp>
        <stp>10/10/2017</stp>
        <stp>[BBG Class FINAL.xlsm]Ali vol!R67C6</stp>
        <tr r="F67" s="3"/>
      </tp>
      <tp t="b">
        <v>0</v>
        <stp/>
        <stp>##V3_BDHV12</stp>
        <stp>LAEF8 Comdty</stp>
        <stp>Last Trade</stp>
        <stp>01/11/2017</stp>
        <stp>01/11/2017</stp>
        <stp>[BBG Class FINAL.xlsm]Ali vol!R51C7</stp>
        <tr r="G51" s="3"/>
      </tp>
      <tp t="b">
        <v>0</v>
        <stp/>
        <stp>##V3_BDHV12</stp>
        <stp>LADF8 Comdty</stp>
        <stp>Last Trade</stp>
        <stp>02/11/2017</stp>
        <stp>02/11/2017</stp>
        <stp>[BBG Class FINAL.xlsm]Ali vol!R50C5</stp>
        <tr r="E50" s="3"/>
      </tp>
      <tp t="b">
        <v>0</v>
        <stp/>
        <stp>##V3_BDHV12</stp>
        <stp>LACF8 Comdty</stp>
        <stp>Last Trade</stp>
        <stp>07/11/2017</stp>
        <stp>07/11/2017</stp>
        <stp>[BBG Class FINAL.xlsm]Ali vol!R47C6</stp>
        <tr r="F47" s="3"/>
      </tp>
      <tp t="b">
        <v>0</v>
        <stp/>
        <stp>##V3_BDHV12</stp>
        <stp>LAEF8 Comdty</stp>
        <stp>Last Trade</stp>
        <stp>18/10/2017</stp>
        <stp>18/10/2017</stp>
        <stp>[BBG Class FINAL.xlsm]Ali vol!R61C7</stp>
        <tr r="G61" s="3"/>
      </tp>
      <tp t="b">
        <v>0</v>
        <stp/>
        <stp>##V3_BDHV12</stp>
        <stp>LADF8 Comdty</stp>
        <stp>Last Trade</stp>
        <stp>19/10/2017</stp>
        <stp>19/10/2017</stp>
        <stp>[BBG Class FINAL.xlsm]Ali vol!R60C5</stp>
        <tr r="E60" s="3"/>
      </tp>
      <tp t="b">
        <v>0</v>
        <stp/>
        <stp>##V3_BDHV12</stp>
        <stp>LADF8 Comdty</stp>
        <stp>Last Trade</stp>
        <stp>30/11/2017</stp>
        <stp>30/11/2017</stp>
        <stp>[BBG Class FINAL.xlsm]Ali vol!R30C5</stp>
        <tr r="E30" s="3"/>
      </tp>
      <tp t="b">
        <v>0</v>
        <stp/>
        <stp>##V3_BDHV12</stp>
        <stp>LACF8 Comdty</stp>
        <stp>Last Trade</stp>
        <stp>05/12/2017</stp>
        <stp>05/12/2017</stp>
        <stp>[BBG Class FINAL.xlsm]Ali vol!R27C6</stp>
        <tr r="F27" s="3"/>
      </tp>
      <tp t="b">
        <v>0</v>
        <stp/>
        <stp>##V3_BDHV12</stp>
        <stp>LACF8 Comdty</stp>
        <stp>Last Trade</stp>
        <stp>24/10/2017</stp>
        <stp>24/10/2017</stp>
        <stp>[BBG Class FINAL.xlsm]Ali vol!R57C6</stp>
        <tr r="F57" s="3"/>
      </tp>
      <tp t="b">
        <v>0</v>
        <stp/>
        <stp>##V3_BDHV12</stp>
        <stp>LACF8 Comdty</stp>
        <stp>Last Trade</stp>
        <stp>21/11/2017</stp>
        <stp>21/11/2017</stp>
        <stp>[BBG Class FINAL.xlsm]Ali vol!R37C6</stp>
        <tr r="F37" s="3"/>
      </tp>
      <tp t="b">
        <v>0</v>
        <stp/>
        <stp>##V3_BDHV12</stp>
        <stp>LAEF8 Comdty</stp>
        <stp>Last Trade</stp>
        <stp>29/11/2017</stp>
        <stp>29/11/2017</stp>
        <stp>[BBG Class FINAL.xlsm]Ali vol!R31C7</stp>
        <tr r="G31" s="3"/>
      </tp>
      <tp t="b">
        <v>0</v>
        <stp/>
        <stp>##V3_BDHV12</stp>
        <stp>LAEF8 Comdty</stp>
        <stp>Last Trade</stp>
        <stp>16/11/2017</stp>
        <stp>16/11/2017</stp>
        <stp>[BBG Class FINAL.xlsm]Ali vol!R40C7</stp>
        <tr r="G40" s="3"/>
      </tp>
      <tp t="b">
        <v>0</v>
        <stp/>
        <stp>##V3_BDHV12</stp>
        <stp>LADF8 Comdty</stp>
        <stp>Last Trade</stp>
        <stp>15/11/2017</stp>
        <stp>15/11/2017</stp>
        <stp>[BBG Class FINAL.xlsm]Ali vol!R41C5</stp>
        <tr r="E41" s="3"/>
      </tp>
      <tp t="b">
        <v>0</v>
        <stp/>
        <stp>##V3_BDHV12</stp>
        <stp>LACF8 Comdty</stp>
        <stp>Last Trade</stp>
        <stp>11/10/2017</stp>
        <stp>11/10/2017</stp>
        <stp>[BBG Class FINAL.xlsm]Ali vol!R66C6</stp>
        <tr r="F66" s="3"/>
      </tp>
      <tp t="b">
        <v>0</v>
        <stp/>
        <stp>##V3_BDHV12</stp>
        <stp>LADF8 Comdty</stp>
        <stp>Last Trade</stp>
        <stp>01/11/2017</stp>
        <stp>01/11/2017</stp>
        <stp>[BBG Class FINAL.xlsm]Ali vol!R51C5</stp>
        <tr r="E51" s="3"/>
      </tp>
      <tp t="b">
        <v>0</v>
        <stp/>
        <stp>##V3_BDHV12</stp>
        <stp>LAEF8 Comdty</stp>
        <stp>Last Trade</stp>
        <stp>02/11/2017</stp>
        <stp>02/11/2017</stp>
        <stp>[BBG Class FINAL.xlsm]Ali vol!R50C7</stp>
        <tr r="G50" s="3"/>
      </tp>
      <tp t="b">
        <v>0</v>
        <stp/>
        <stp>##V3_BDHV12</stp>
        <stp>LAEF8 Comdty</stp>
        <stp>Last Trade</stp>
        <stp>19/10/2017</stp>
        <stp>19/10/2017</stp>
        <stp>[BBG Class FINAL.xlsm]Ali vol!R60C7</stp>
        <tr r="G60" s="3"/>
      </tp>
      <tp t="b">
        <v>0</v>
        <stp/>
        <stp>##V3_BDHV12</stp>
        <stp>LACF8 Comdty</stp>
        <stp>Last Trade</stp>
        <stp>08/11/2017</stp>
        <stp>08/11/2017</stp>
        <stp>[BBG Class FINAL.xlsm]Ali vol!R46C6</stp>
        <tr r="F46" s="3"/>
      </tp>
      <tp t="b">
        <v>0</v>
        <stp/>
        <stp>##V3_BDHV12</stp>
        <stp>LADF8 Comdty</stp>
        <stp>Last Trade</stp>
        <stp>18/10/2017</stp>
        <stp>18/10/2017</stp>
        <stp>[BBG Class FINAL.xlsm]Ali vol!R61C5</stp>
        <tr r="E61" s="3"/>
      </tp>
      <tp t="b">
        <v>0</v>
        <stp/>
        <stp>##V3_BDHV12</stp>
        <stp>LAEF8 Comdty</stp>
        <stp>Last Trade</stp>
        <stp>30/11/2017</stp>
        <stp>30/11/2017</stp>
        <stp>[BBG Class FINAL.xlsm]Ali vol!R30C7</stp>
        <tr r="G30" s="3"/>
      </tp>
      <tp t="b">
        <v>0</v>
        <stp/>
        <stp>##V3_BDHV12</stp>
        <stp>LACF8 Comdty</stp>
        <stp>Last Trade</stp>
        <stp>06/12/2017</stp>
        <stp>06/12/2017</stp>
        <stp>[BBG Class FINAL.xlsm]Ali vol!R26C6</stp>
        <tr r="F26" s="3"/>
      </tp>
      <tp t="b">
        <v>0</v>
        <stp/>
        <stp>##V3_BDHV12</stp>
        <stp>LACF8 Comdty</stp>
        <stp>Last Trade</stp>
        <stp>25/10/2017</stp>
        <stp>25/10/2017</stp>
        <stp>[BBG Class FINAL.xlsm]Ali vol!R56C6</stp>
        <tr r="F56" s="3"/>
      </tp>
      <tp t="b">
        <v>0</v>
        <stp/>
        <stp>##V3_BDHV12</stp>
        <stp>LACF8 Comdty</stp>
        <stp>Last Trade</stp>
        <stp>22/11/2017</stp>
        <stp>22/11/2017</stp>
        <stp>[BBG Class FINAL.xlsm]Ali vol!R36C6</stp>
        <tr r="F36" s="3"/>
      </tp>
      <tp t="b">
        <v>0</v>
        <stp/>
        <stp>##V3_BDHV12</stp>
        <stp>LADF8 Comdty</stp>
        <stp>Last Trade</stp>
        <stp>29/11/2017</stp>
        <stp>29/11/2017</stp>
        <stp>[BBG Class FINAL.xlsm]Ali vol!R31C5</stp>
        <tr r="E31" s="3"/>
      </tp>
      <tp t="b">
        <v>0</v>
        <stp/>
        <stp>##V3_BDHV12</stp>
        <stp>LACF8 Comdty</stp>
        <stp>Last Trade</stp>
        <stp>15/11/2017</stp>
        <stp>15/11/2017</stp>
        <stp>[BBG Class FINAL.xlsm]Ali vol!R41C6</stp>
        <tr r="F41" s="3"/>
      </tp>
      <tp t="b">
        <v>0</v>
        <stp/>
        <stp>##V3_BDHV12</stp>
        <stp>LAEF8 Comdty</stp>
        <stp>Last Trade</stp>
        <stp>10/10/2017</stp>
        <stp>10/10/2017</stp>
        <stp>[BBG Class FINAL.xlsm]Ali vol!R67C7</stp>
        <tr r="G67" s="3"/>
      </tp>
      <tp t="b">
        <v>0</v>
        <stp/>
        <stp>##V3_BDHV12</stp>
        <stp>LACF8 Comdty</stp>
        <stp>Last Trade</stp>
        <stp>01/11/2017</stp>
        <stp>01/11/2017</stp>
        <stp>[BBG Class FINAL.xlsm]Ali vol!R51C6</stp>
        <tr r="F51" s="3"/>
      </tp>
      <tp t="b">
        <v>0</v>
        <stp/>
        <stp>##V3_BDHV12</stp>
        <stp>LADF8 Comdty</stp>
        <stp>Last Trade</stp>
        <stp>11/10/2017</stp>
        <stp>11/10/2017</stp>
        <stp>[BBG Class FINAL.xlsm]Ali vol!R66C5</stp>
        <tr r="E66" s="3"/>
      </tp>
      <tp t="b">
        <v>0</v>
        <stp/>
        <stp>##V3_BDHV12</stp>
        <stp>LAEF8 Comdty</stp>
        <stp>Last Trade</stp>
        <stp>07/11/2017</stp>
        <stp>07/11/2017</stp>
        <stp>[BBG Class FINAL.xlsm]Ali vol!R47C7</stp>
        <tr r="G47" s="3"/>
      </tp>
      <tp t="b">
        <v>0</v>
        <stp/>
        <stp>##V3_BDHV12</stp>
        <stp>LACF8 Comdty</stp>
        <stp>Last Trade</stp>
        <stp>18/10/2017</stp>
        <stp>18/10/2017</stp>
        <stp>[BBG Class FINAL.xlsm]Ali vol!R61C6</stp>
        <tr r="F61" s="3"/>
      </tp>
      <tp t="b">
        <v>0</v>
        <stp/>
        <stp>##V3_BDHV12</stp>
        <stp>LADF8 Comdty</stp>
        <stp>Last Trade</stp>
        <stp>08/11/2017</stp>
        <stp>08/11/2017</stp>
        <stp>[BBG Class FINAL.xlsm]Ali vol!R46C5</stp>
        <tr r="E46" s="3"/>
      </tp>
      <tp t="b">
        <v>0</v>
        <stp/>
        <stp>##V3_BDHV12</stp>
        <stp>LADF8 Comdty</stp>
        <stp>Last Trade</stp>
        <stp>25/10/2017</stp>
        <stp>25/10/2017</stp>
        <stp>[BBG Class FINAL.xlsm]Ali vol!R56C5</stp>
        <tr r="E56" s="3"/>
      </tp>
      <tp t="b">
        <v>0</v>
        <stp/>
        <stp>##V3_BDHV12</stp>
        <stp>LAEF8 Comdty</stp>
        <stp>Last Trade</stp>
        <stp>24/10/2017</stp>
        <stp>24/10/2017</stp>
        <stp>[BBG Class FINAL.xlsm]Ali vol!R57C7</stp>
        <tr r="G57" s="3"/>
      </tp>
      <tp t="b">
        <v>0</v>
        <stp/>
        <stp>##V3_BDHV12</stp>
        <stp>LADF8 Comdty</stp>
        <stp>Last Trade</stp>
        <stp>06/12/2017</stp>
        <stp>06/12/2017</stp>
        <stp>[BBG Class FINAL.xlsm]Ali vol!R26C5</stp>
        <tr r="E26" s="3"/>
      </tp>
      <tp t="b">
        <v>0</v>
        <stp/>
        <stp>##V3_BDHV12</stp>
        <stp>LAEF8 Comdty</stp>
        <stp>Last Trade</stp>
        <stp>05/12/2017</stp>
        <stp>05/12/2017</stp>
        <stp>[BBG Class FINAL.xlsm]Ali vol!R27C7</stp>
        <tr r="G27" s="3"/>
      </tp>
      <tp t="b">
        <v>0</v>
        <stp/>
        <stp>##V3_BDHV12</stp>
        <stp>LAEF8 Comdty</stp>
        <stp>Last Trade</stp>
        <stp>21/11/2017</stp>
        <stp>21/11/2017</stp>
        <stp>[BBG Class FINAL.xlsm]Ali vol!R37C7</stp>
        <tr r="G37" s="3"/>
      </tp>
      <tp t="b">
        <v>0</v>
        <stp/>
        <stp>##V3_BDHV12</stp>
        <stp>LADF8 Comdty</stp>
        <stp>Last Trade</stp>
        <stp>22/11/2017</stp>
        <stp>22/11/2017</stp>
        <stp>[BBG Class FINAL.xlsm]Ali vol!R36C5</stp>
        <tr r="E36" s="3"/>
      </tp>
      <tp t="b">
        <v>0</v>
        <stp/>
        <stp>##V3_BDHV12</stp>
        <stp>LACF8 Comdty</stp>
        <stp>Last Trade</stp>
        <stp>29/11/2017</stp>
        <stp>29/11/2017</stp>
        <stp>[BBG Class FINAL.xlsm]Ali vol!R31C6</stp>
        <tr r="F31" s="3"/>
      </tp>
      <tp t="b">
        <v>0</v>
        <stp/>
        <stp>##V3_BDHV12</stp>
        <stp>LACF8 Comdty</stp>
        <stp>Last Trade</stp>
        <stp>16/11/2017</stp>
        <stp>16/11/2017</stp>
        <stp>[BBG Class FINAL.xlsm]Ali vol!R40C6</stp>
        <tr r="F40" s="3"/>
      </tp>
      <tp t="b">
        <v>0</v>
        <stp/>
        <stp>##V3_BDHV12</stp>
        <stp>LAEF8 Comdty</stp>
        <stp>Last Trade</stp>
        <stp>11/10/2017</stp>
        <stp>11/10/2017</stp>
        <stp>[BBG Class FINAL.xlsm]Ali vol!R66C7</stp>
        <tr r="G66" s="3"/>
      </tp>
      <tp t="b">
        <v>0</v>
        <stp/>
        <stp>##V3_BDHV12</stp>
        <stp>LACF8 Comdty</stp>
        <stp>Last Trade</stp>
        <stp>02/11/2017</stp>
        <stp>02/11/2017</stp>
        <stp>[BBG Class FINAL.xlsm]Ali vol!R50C6</stp>
        <tr r="F50" s="3"/>
      </tp>
      <tp t="b">
        <v>0</v>
        <stp/>
        <stp>##V3_BDHV12</stp>
        <stp>LADF8 Comdty</stp>
        <stp>Last Trade</stp>
        <stp>10/10/2017</stp>
        <stp>10/10/2017</stp>
        <stp>[BBG Class FINAL.xlsm]Ali vol!R67C5</stp>
        <tr r="E67" s="3"/>
      </tp>
      <tp t="b">
        <v>0</v>
        <stp/>
        <stp>##V3_BDHV12</stp>
        <stp>LADF8 Comdty</stp>
        <stp>Last Trade</stp>
        <stp>07/11/2017</stp>
        <stp>07/11/2017</stp>
        <stp>[BBG Class FINAL.xlsm]Ali vol!R47C5</stp>
        <tr r="E47" s="3"/>
      </tp>
      <tp t="b">
        <v>0</v>
        <stp/>
        <stp>##V3_BDHV12</stp>
        <stp>LACF8 Comdty</stp>
        <stp>Last Trade</stp>
        <stp>19/10/2017</stp>
        <stp>19/10/2017</stp>
        <stp>[BBG Class FINAL.xlsm]Ali vol!R60C6</stp>
        <tr r="F60" s="3"/>
      </tp>
      <tp t="b">
        <v>0</v>
        <stp/>
        <stp>##V3_BDHV12</stp>
        <stp>LAEF8 Comdty</stp>
        <stp>Last Trade</stp>
        <stp>08/11/2017</stp>
        <stp>08/11/2017</stp>
        <stp>[BBG Class FINAL.xlsm]Ali vol!R46C7</stp>
        <tr r="G46" s="3"/>
      </tp>
      <tp t="b">
        <v>0</v>
        <stp/>
        <stp>##V3_BDHV12</stp>
        <stp>LACF8 Comdty</stp>
        <stp>Last Trade</stp>
        <stp>30/11/2017</stp>
        <stp>30/11/2017</stp>
        <stp>[BBG Class FINAL.xlsm]Ali vol!R30C6</stp>
        <tr r="F30" s="3"/>
      </tp>
      <tp t="b">
        <v>0</v>
        <stp/>
        <stp>##V3_BDHV12</stp>
        <stp>LADF8 Comdty</stp>
        <stp>Last Trade</stp>
        <stp>24/10/2017</stp>
        <stp>24/10/2017</stp>
        <stp>[BBG Class FINAL.xlsm]Ali vol!R57C5</stp>
        <tr r="E57" s="3"/>
      </tp>
      <tp t="b">
        <v>0</v>
        <stp/>
        <stp>##V3_BDHV12</stp>
        <stp>LAEF8 Comdty</stp>
        <stp>Last Trade</stp>
        <stp>06/12/2017</stp>
        <stp>06/12/2017</stp>
        <stp>[BBG Class FINAL.xlsm]Ali vol!R26C7</stp>
        <tr r="G26" s="3"/>
      </tp>
      <tp t="b">
        <v>0</v>
        <stp/>
        <stp>##V3_BDHV12</stp>
        <stp>LADF8 Comdty</stp>
        <stp>Last Trade</stp>
        <stp>05/12/2017</stp>
        <stp>05/12/2017</stp>
        <stp>[BBG Class FINAL.xlsm]Ali vol!R27C5</stp>
        <tr r="E27" s="3"/>
      </tp>
      <tp t="b">
        <v>0</v>
        <stp/>
        <stp>##V3_BDHV12</stp>
        <stp>LAEF8 Comdty</stp>
        <stp>Last Trade</stp>
        <stp>25/10/2017</stp>
        <stp>25/10/2017</stp>
        <stp>[BBG Class FINAL.xlsm]Ali vol!R56C7</stp>
        <tr r="G56" s="3"/>
      </tp>
      <tp t="b">
        <v>0</v>
        <stp/>
        <stp>##V3_BDHV12</stp>
        <stp>LADF8 Comdty</stp>
        <stp>Last Trade</stp>
        <stp>21/11/2017</stp>
        <stp>21/11/2017</stp>
        <stp>[BBG Class FINAL.xlsm]Ali vol!R37C5</stp>
        <tr r="E37" s="3"/>
      </tp>
      <tp t="b">
        <v>0</v>
        <stp/>
        <stp>##V3_BDHV12</stp>
        <stp>LAEF8 Comdty</stp>
        <stp>Last Trade</stp>
        <stp>22/11/2017</stp>
        <stp>22/11/2017</stp>
        <stp>[BBG Class FINAL.xlsm]Ali vol!R36C7</stp>
        <tr r="G36" s="3"/>
      </tp>
      <tp t="b">
        <v>0</v>
        <stp/>
        <stp>##V3_BDHV12</stp>
        <stp>LACF8 Comdty</stp>
        <stp>Last Trade</stp>
        <stp>13/11/2017</stp>
        <stp>13/11/2017</stp>
        <stp>[BBG Class FINAL.xlsm]Ali vol!R43C6</stp>
        <tr r="F43" s="3"/>
      </tp>
      <tp t="b">
        <v>0</v>
        <stp/>
        <stp>##V3_BDHV12</stp>
        <stp>LADF8 Comdty</stp>
        <stp>Last Trade</stp>
        <stp>10/11/2017</stp>
        <stp>10/11/2017</stp>
        <stp>[BBG Class FINAL.xlsm]Ali vol!R44C5</stp>
        <tr r="E44" s="3"/>
      </tp>
      <tp t="b">
        <v>0</v>
        <stp/>
        <stp>##V3_BDHV12</stp>
        <stp>LADF8 Comdty</stp>
        <stp>Last Trade</stp>
        <stp>13/10/2017</stp>
        <stp>13/10/2017</stp>
        <stp>[BBG Class FINAL.xlsm]Ali vol!R64C5</stp>
        <tr r="E64" s="3"/>
      </tp>
      <tp t="b">
        <v>0</v>
        <stp/>
        <stp>##V3_BDHV12</stp>
        <stp>LAEF8 Comdty</stp>
        <stp>Last Trade</stp>
        <stp>12/10/2017</stp>
        <stp>12/10/2017</stp>
        <stp>[BBG Class FINAL.xlsm]Ali vol!R65C7</stp>
        <tr r="G65" s="3"/>
      </tp>
      <tp t="b">
        <v>0</v>
        <stp/>
        <stp>##V3_BDHV12</stp>
        <stp>LACF8 Comdty</stp>
        <stp>Last Trade</stp>
        <stp>16/10/2017</stp>
        <stp>16/10/2017</stp>
        <stp>[BBG Class FINAL.xlsm]Ali vol!R63C6</stp>
        <tr r="F63" s="3"/>
      </tp>
      <tp t="b">
        <v>0</v>
        <stp/>
        <stp>##V3_BDHV12</stp>
        <stp>LAEF8 Comdty</stp>
        <stp>Last Trade</stp>
        <stp>09/11/2017</stp>
        <stp>09/11/2017</stp>
        <stp>[BBG Class FINAL.xlsm]Ali vol!R45C7</stp>
        <tr r="G45" s="3"/>
      </tp>
      <tp t="b">
        <v>0</v>
        <stp/>
        <stp>##V3_BDHV12</stp>
        <stp>LAEF8 Comdty</stp>
        <stp>Last Trade</stp>
        <stp>26/10/2017</stp>
        <stp>26/10/2017</stp>
        <stp>[BBG Class FINAL.xlsm]Ali vol!R55C7</stp>
        <tr r="G55" s="3"/>
      </tp>
      <tp t="b">
        <v>0</v>
        <stp/>
        <stp>##V3_BDHV12</stp>
        <stp>LAEF8 Comdty</stp>
        <stp>Last Trade</stp>
        <stp>07/12/2017</stp>
        <stp>07/12/2017</stp>
        <stp>[BBG Class FINAL.xlsm]Ali vol!R25C7</stp>
        <tr r="G25" s="3"/>
      </tp>
      <tp t="b">
        <v>0</v>
        <stp/>
        <stp>##V3_BDHV12</stp>
        <stp>LADF8 Comdty</stp>
        <stp>Last Trade</stp>
        <stp>27/10/2017</stp>
        <stp>27/10/2017</stp>
        <stp>[BBG Class FINAL.xlsm]Ali vol!R54C5</stp>
        <tr r="E54" s="3"/>
      </tp>
      <tp t="b">
        <v>0</v>
        <stp/>
        <stp>##V3_BDHV12</stp>
        <stp>LADF8 Comdty</stp>
        <stp>Last Trade</stp>
        <stp>08/12/2017</stp>
        <stp>08/12/2017</stp>
        <stp>[BBG Class FINAL.xlsm]Ali vol!R24C5</stp>
        <tr r="E24" s="3"/>
      </tp>
      <tp t="b">
        <v>0</v>
        <stp/>
        <stp>##V3_BDHV12</stp>
        <stp>LAEF8 Comdty</stp>
        <stp>Last Trade</stp>
        <stp>23/11/2017</stp>
        <stp>23/11/2017</stp>
        <stp>[BBG Class FINAL.xlsm]Ali vol!R35C7</stp>
        <tr r="G35" s="3"/>
      </tp>
      <tp t="b">
        <v>0</v>
        <stp/>
        <stp>##V3_BDHV12</stp>
        <stp>LACF8 Comdty</stp>
        <stp>Last Trade</stp>
        <stp>30/10/2017</stp>
        <stp>30/10/2017</stp>
        <stp>[BBG Class FINAL.xlsm]Ali vol!R53C6</stp>
        <tr r="F53" s="3"/>
      </tp>
      <tp t="b">
        <v>0</v>
        <stp/>
        <stp>##V3_BDHV12</stp>
        <stp>LACF8 Comdty</stp>
        <stp>Last Trade</stp>
        <stp>11/12/2017</stp>
        <stp>11/12/2017</stp>
        <stp>[BBG Class FINAL.xlsm]Ali vol!R23C6</stp>
        <tr r="F23" s="3"/>
      </tp>
      <tp t="b">
        <v>0</v>
        <stp/>
        <stp>##V3_BDHV12</stp>
        <stp>LADF8 Comdty</stp>
        <stp>Last Trade</stp>
        <stp>24/11/2017</stp>
        <stp>24/11/2017</stp>
        <stp>[BBG Class FINAL.xlsm]Ali vol!R34C5</stp>
        <tr r="E34" s="3"/>
      </tp>
      <tp t="b">
        <v>0</v>
        <stp/>
        <stp>##V3_BDHV12</stp>
        <stp>LACF8 Comdty</stp>
        <stp>Last Trade</stp>
        <stp>27/11/2017</stp>
        <stp>27/11/2017</stp>
        <stp>[BBG Class FINAL.xlsm]Ali vol!R33C6</stp>
        <tr r="F33" s="3"/>
      </tp>
      <tp t="b">
        <v>0</v>
        <stp/>
        <stp>##V3_BDHV12</stp>
        <stp>LAEF8 Comdty</stp>
        <stp>Last Trade</stp>
        <stp>10/11/2017</stp>
        <stp>10/11/2017</stp>
        <stp>[BBG Class FINAL.xlsm]Ali vol!R44C7</stp>
        <tr r="G44" s="3"/>
      </tp>
      <tp t="b">
        <v>0</v>
        <stp/>
        <stp>##V3_BDHV12</stp>
        <stp>LACF8 Comdty</stp>
        <stp>Last Trade</stp>
        <stp>14/11/2017</stp>
        <stp>14/11/2017</stp>
        <stp>[BBG Class FINAL.xlsm]Ali vol!R42C6</stp>
        <tr r="F42" s="3"/>
      </tp>
      <tp t="b">
        <v>0</v>
        <stp/>
        <stp>##V3_BDHV12</stp>
        <stp>LADF8 Comdty</stp>
        <stp>Last Trade</stp>
        <stp>12/10/2017</stp>
        <stp>12/10/2017</stp>
        <stp>[BBG Class FINAL.xlsm]Ali vol!R65C5</stp>
        <tr r="E65" s="3"/>
      </tp>
      <tp t="b">
        <v>0</v>
        <stp/>
        <stp>##V3_BDHV12</stp>
        <stp>LAEF8 Comdty</stp>
        <stp>Last Trade</stp>
        <stp>13/10/2017</stp>
        <stp>13/10/2017</stp>
        <stp>[BBG Class FINAL.xlsm]Ali vol!R64C7</stp>
        <tr r="G64" s="3"/>
      </tp>
      <tp t="b">
        <v>0</v>
        <stp/>
        <stp>##V3_BDHV12</stp>
        <stp>LACF8 Comdty</stp>
        <stp>Last Trade</stp>
        <stp>17/10/2017</stp>
        <stp>17/10/2017</stp>
        <stp>[BBG Class FINAL.xlsm]Ali vol!R62C6</stp>
        <tr r="F62" s="3"/>
      </tp>
      <tp t="b">
        <v>0</v>
        <stp/>
        <stp>##V3_BDHV12</stp>
        <stp>LADF8 Comdty</stp>
        <stp>Last Trade</stp>
        <stp>09/11/2017</stp>
        <stp>09/11/2017</stp>
        <stp>[BBG Class FINAL.xlsm]Ali vol!R45C5</stp>
        <tr r="E45" s="3"/>
      </tp>
      <tp t="b">
        <v>0</v>
        <stp/>
        <stp>##V3_BDHV12</stp>
        <stp>LAEF8 Comdty</stp>
        <stp>Last Trade</stp>
        <stp>27/10/2017</stp>
        <stp>27/10/2017</stp>
        <stp>[BBG Class FINAL.xlsm]Ali vol!R54C7</stp>
        <tr r="G54" s="3"/>
      </tp>
      <tp t="b">
        <v>0</v>
        <stp/>
        <stp>##V3_BDHV12</stp>
        <stp>LADF8 Comdty</stp>
        <stp>Last Trade</stp>
        <stp>26/10/2017</stp>
        <stp>26/10/2017</stp>
        <stp>[BBG Class FINAL.xlsm]Ali vol!R55C5</stp>
        <tr r="E55" s="3"/>
      </tp>
      <tp t="b">
        <v>0</v>
        <stp/>
        <stp>##V3_BDHV12</stp>
        <stp>LADF8 Comdty</stp>
        <stp>Last Trade</stp>
        <stp>07/12/2017</stp>
        <stp>07/12/2017</stp>
        <stp>[BBG Class FINAL.xlsm]Ali vol!R25C5</stp>
        <tr r="E25" s="3"/>
      </tp>
      <tp t="b">
        <v>0</v>
        <stp/>
        <stp>##V3_BDHV12</stp>
        <stp>LAEF8 Comdty</stp>
        <stp>Last Trade</stp>
        <stp>08/12/2017</stp>
        <stp>08/12/2017</stp>
        <stp>[BBG Class FINAL.xlsm]Ali vol!R24C7</stp>
        <tr r="G24" s="3"/>
      </tp>
      <tp t="b">
        <v>0</v>
        <stp/>
        <stp>##V3_BDHV12</stp>
        <stp>LACF8 Comdty</stp>
        <stp>Last Trade</stp>
        <stp>12/12/2017</stp>
        <stp>12/12/2017</stp>
        <stp>[BBG Class FINAL.xlsm]Ali vol!R22C6</stp>
        <tr r="F22" s="3"/>
      </tp>
      <tp t="b">
        <v>0</v>
        <stp/>
        <stp>##V3_BDHV12</stp>
        <stp>LADF8 Comdty</stp>
        <stp>Last Trade</stp>
        <stp>23/11/2017</stp>
        <stp>23/11/2017</stp>
        <stp>[BBG Class FINAL.xlsm]Ali vol!R35C5</stp>
        <tr r="E35" s="3"/>
      </tp>
      <tp t="b">
        <v>0</v>
        <stp/>
        <stp>##V3_BDHV12</stp>
        <stp>LACF8 Comdty</stp>
        <stp>Last Trade</stp>
        <stp>31/10/2017</stp>
        <stp>31/10/2017</stp>
        <stp>[BBG Class FINAL.xlsm]Ali vol!R52C6</stp>
        <tr r="F52" s="3"/>
      </tp>
      <tp t="b">
        <v>0</v>
        <stp/>
        <stp>##V3_BDHV12</stp>
        <stp>LAEF8 Comdty</stp>
        <stp>Last Trade</stp>
        <stp>24/11/2017</stp>
        <stp>24/11/2017</stp>
        <stp>[BBG Class FINAL.xlsm]Ali vol!R34C7</stp>
        <tr r="G34" s="3"/>
      </tp>
      <tp t="b">
        <v>0</v>
        <stp/>
        <stp>##V3_BDHV12</stp>
        <stp>LACF8 Comdty</stp>
        <stp>Last Trade</stp>
        <stp>28/11/2017</stp>
        <stp>28/11/2017</stp>
        <stp>[BBG Class FINAL.xlsm]Ali vol!R32C6</stp>
        <tr r="F32" s="3"/>
      </tp>
      <tp t="b">
        <v>0</v>
        <stp/>
        <stp>##V3_BDHV12</stp>
        <stp>LAOF8 Comdty</stp>
        <stp>Last Trade</stp>
        <stp>15/11/2017</stp>
        <stp>15/11/2017</stp>
        <stp>[BBG Class FINAL.xlsm]Ali vol!R41C9</stp>
        <tr r="I41" s="3"/>
      </tp>
      <tp t="b">
        <v>0</v>
        <stp/>
        <stp>##V3_BDHV12</stp>
        <stp>LAOF8 Comdty</stp>
        <stp>Last Trade</stp>
        <stp>18/10/2017</stp>
        <stp>18/10/2017</stp>
        <stp>[BBG Class FINAL.xlsm]Ali vol!R61C9</stp>
        <tr r="I61" s="3"/>
      </tp>
      <tp t="b">
        <v>0</v>
        <stp/>
        <stp>##V3_BDHV12</stp>
        <stp>LAOF8 Comdty</stp>
        <stp>Last Trade</stp>
        <stp>01/11/2017</stp>
        <stp>01/11/2017</stp>
        <stp>[BBG Class FINAL.xlsm]Ali vol!R51C9</stp>
        <tr r="I51" s="3"/>
      </tp>
      <tp t="b">
        <v>0</v>
        <stp/>
        <stp>##V3_BDHV12</stp>
        <stp>LAOF8 Comdty</stp>
        <stp>Last Trade</stp>
        <stp>29/11/2017</stp>
        <stp>29/11/2017</stp>
        <stp>[BBG Class FINAL.xlsm]Ali vol!R31C9</stp>
        <tr r="I31" s="3"/>
      </tp>
      <tp t="b">
        <v>0</v>
        <stp/>
        <stp>##V3_BDHV12</stp>
        <stp>LAH18 Comdty</stp>
        <stp>PX_LAST_x0002_PX_HIGH_x0002_PX_LOW</stp>
        <stp>01/06/2017</stp>
        <stp>25/10/2017</stp>
        <stp>[BBG Class.xlsm]Ali!R13C37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cols=4;rows=104</stp>
        <tr r="AK13" s="2"/>
      </tp>
      <tp t="b">
        <v>0</v>
        <stp/>
        <stp>##V3_BDHV12</stp>
        <stp>LAF18 Comdty</stp>
        <stp>PX_LAST_x0002_PX_HIGH_x0002_PX_LOW</stp>
        <stp>01/06/2017</stp>
        <stp>25/10/2017</stp>
        <stp>[BBG Class.xlsm]Ali!R13C29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cols=4;rows=104</stp>
        <tr r="AC13" s="2"/>
      </tp>
      <tp t="b">
        <v>0</v>
        <stp/>
        <stp>##V3_BDHV12</stp>
        <stp>LAX17 Comdty</stp>
        <stp>PX_LAST_x0002_PX_HIGH_x0002_PX_LOW</stp>
        <stp>01/06/2017</stp>
        <stp>25/10/2017</stp>
        <stp>[BBG Class.xlsm]Ali!R13C12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cols=4;rows=104</stp>
        <tr r="L13" s="2"/>
      </tp>
      <tp t="b">
        <v>0</v>
        <stp/>
        <stp>##V3_BDHV12</stp>
        <stp>LAZ17 Comdty</stp>
        <stp>PX_LAST_x0002_PX_HIGH_x0002_PX_LOW</stp>
        <stp>01/06/2017</stp>
        <stp>25/10/2017</stp>
        <stp>[BBG Class.xlsm]Ali!R13C21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cols=4;rows=104</stp>
        <tr r="U13" s="2"/>
      </tp>
      <tp t="b">
        <v>0</v>
        <stp/>
        <stp>##V3_BDHV12</stp>
        <stp>LAOF8 Comdty</stp>
        <stp>Last Trade</stp>
        <stp>16/11/2017</stp>
        <stp>16/11/2017</stp>
        <stp>[BBG Class FINAL.xlsm]Ali vol!R40C9</stp>
        <tr r="I40" s="3"/>
      </tp>
      <tp t="b">
        <v>0</v>
        <stp/>
        <stp>##V3_BDHV12</stp>
        <stp>LAOF8 Comdty</stp>
        <stp>Last Trade</stp>
        <stp>19/10/2017</stp>
        <stp>19/10/2017</stp>
        <stp>[BBG Class FINAL.xlsm]Ali vol!R60C9</stp>
        <tr r="I60" s="3"/>
      </tp>
      <tp t="b">
        <v>0</v>
        <stp/>
        <stp>##V3_BDHV12</stp>
        <stp>LAOF8 Comdty</stp>
        <stp>Last Trade</stp>
        <stp>02/11/2017</stp>
        <stp>02/11/2017</stp>
        <stp>[BBG Class FINAL.xlsm]Ali vol!R50C9</stp>
        <tr r="I50" s="3"/>
      </tp>
      <tp t="b">
        <v>0</v>
        <stp/>
        <stp>##V3_BDHV12</stp>
        <stp>LAOF8 Comdty</stp>
        <stp>Last Trade</stp>
        <stp>30/11/2017</stp>
        <stp>30/11/2017</stp>
        <stp>[BBG Class FINAL.xlsm]Ali vol!R30C9</stp>
        <tr r="I30" s="3"/>
      </tp>
      <tp t="b">
        <v>0</v>
        <stp/>
        <stp>##V3_BDHV12</stp>
        <stp>LAEF8 Comdty</stp>
        <stp>Last Trade</stp>
        <stp>17/11/2017</stp>
        <stp>17/11/2017</stp>
        <stp>[BBG Class FINAL.xlsm]Ali vol!R39C7</stp>
        <tr r="G39" s="3"/>
      </tp>
      <tp t="b">
        <v>0</v>
        <stp/>
        <stp>##V3_BDHV12</stp>
        <stp>LADF8 Comdty</stp>
        <stp>Last Trade</stp>
        <stp>09/10/2017</stp>
        <stp>09/10/2017</stp>
        <stp>[BBG Class FINAL.xlsm]Ali vol!R68C5</stp>
        <tr r="E68" s="3"/>
      </tp>
      <tp t="b">
        <v>0</v>
        <stp/>
        <stp>##V3_BDHV12</stp>
        <stp>LAOF8 Comdty</stp>
        <stp>Last Trade</stp>
        <stp>13/11/2017</stp>
        <stp>13/11/2017</stp>
        <stp>[BBG Class FINAL.xlsm]Ali vol!R43C9</stp>
        <tr r="I43" s="3"/>
      </tp>
      <tp t="b">
        <v>0</v>
        <stp/>
        <stp>##V3_BDHV12</stp>
        <stp>LAEF8 Comdty</stp>
        <stp>Last Trade</stp>
        <stp>03/11/2017</stp>
        <stp>03/11/2017</stp>
        <stp>[BBG Class FINAL.xlsm]Ali vol!R49C7</stp>
        <tr r="G49" s="3"/>
      </tp>
      <tp t="b">
        <v>0</v>
        <stp/>
        <stp>##V3_BDHV12</stp>
        <stp>LADF8 Comdty</stp>
        <stp>Last Trade</stp>
        <stp>06/11/2017</stp>
        <stp>06/11/2017</stp>
        <stp>[BBG Class FINAL.xlsm]Ali vol!R48C5</stp>
        <tr r="E48" s="3"/>
      </tp>
      <tp t="b">
        <v>0</v>
        <stp/>
        <stp>##V3_BDHV12</stp>
        <stp>LAOF8 Comdty</stp>
        <stp>Last Trade</stp>
        <stp>16/10/2017</stp>
        <stp>16/10/2017</stp>
        <stp>[BBG Class FINAL.xlsm]Ali vol!R63C9</stp>
        <tr r="I63" s="3"/>
      </tp>
      <tp t="b">
        <v>0</v>
        <stp/>
        <stp>##V3_BDHV12</stp>
        <stp>LAEF8 Comdty</stp>
        <stp>Last Trade</stp>
        <stp>20/10/2017</stp>
        <stp>20/10/2017</stp>
        <stp>[BBG Class FINAL.xlsm]Ali vol!R59C7</stp>
        <tr r="G59" s="3"/>
      </tp>
      <tp t="b">
        <v>0</v>
        <stp/>
        <stp>##V3_BDHV12</stp>
        <stp>LAEF8 Comdty</stp>
        <stp>Last Trade</stp>
        <stp>01/12/2017</stp>
        <stp>01/12/2017</stp>
        <stp>[BBG Class FINAL.xlsm]Ali vol!R29C7</stp>
        <tr r="G29" s="3"/>
      </tp>
      <tp t="b">
        <v>0</v>
        <stp/>
        <stp>##V3_BDHV12</stp>
        <stp>LADF8 Comdty</stp>
        <stp>Last Trade</stp>
        <stp>23/10/2017</stp>
        <stp>23/10/2017</stp>
        <stp>[BBG Class FINAL.xlsm]Ali vol!R58C5</stp>
        <tr r="E58" s="3"/>
      </tp>
      <tp t="b">
        <v>0</v>
        <stp/>
        <stp>##V3_BDHV12</stp>
        <stp>LADF8 Comdty</stp>
        <stp>Last Trade</stp>
        <stp>04/12/2017</stp>
        <stp>04/12/2017</stp>
        <stp>[BBG Class FINAL.xlsm]Ali vol!R28C5</stp>
        <tr r="E28" s="3"/>
      </tp>
      <tp t="b">
        <v>0</v>
        <stp/>
        <stp>##V3_BDHV12</stp>
        <stp>LADF8 Comdty</stp>
        <stp>Last Trade</stp>
        <stp>20/11/2017</stp>
        <stp>20/11/2017</stp>
        <stp>[BBG Class FINAL.xlsm]Ali vol!R38C5</stp>
        <tr r="E38" s="3"/>
      </tp>
      <tp t="b">
        <v>0</v>
        <stp/>
        <stp>##V3_BDHV12</stp>
        <stp>LAOF8 Comdty</stp>
        <stp>Last Trade</stp>
        <stp>27/11/2017</stp>
        <stp>27/11/2017</stp>
        <stp>[BBG Class FINAL.xlsm]Ali vol!R33C9</stp>
        <tr r="I33" s="3"/>
      </tp>
      <tp t="b">
        <v>0</v>
        <stp/>
        <stp>##V3_BDHV12</stp>
        <stp>LAOF8 Comdty</stp>
        <stp>Last Trade</stp>
        <stp>11/12/2017</stp>
        <stp>11/12/2017</stp>
        <stp>[BBG Class FINAL.xlsm]Ali vol!R23C9</stp>
        <tr r="I23" s="3"/>
      </tp>
      <tp t="b">
        <v>0</v>
        <stp/>
        <stp>##V3_BDHV12</stp>
        <stp>LAOF8 Comdty</stp>
        <stp>Last Trade</stp>
        <stp>30/10/2017</stp>
        <stp>30/10/2017</stp>
        <stp>[BBG Class FINAL.xlsm]Ali vol!R53C9</stp>
        <tr r="I53" s="3"/>
      </tp>
      <tp t="b">
        <v>0</v>
        <stp/>
        <stp>##V3_BDHV12</stp>
        <stp>LADF8 Comdty</stp>
        <stp>Last Trade</stp>
        <stp>17/11/2017</stp>
        <stp>17/11/2017</stp>
        <stp>[BBG Class FINAL.xlsm]Ali vol!R39C5</stp>
        <tr r="E39" s="3"/>
      </tp>
      <tp t="b">
        <v>0</v>
        <stp/>
        <stp>##V3_BDHV12</stp>
        <stp>LAEF8 Comdty</stp>
        <stp>Last Trade</stp>
        <stp>09/10/2017</stp>
        <stp>09/10/2017</stp>
        <stp>[BBG Class FINAL.xlsm]Ali vol!R68C7</stp>
        <tr r="G68" s="3"/>
      </tp>
      <tp t="b">
        <v>0</v>
        <stp/>
        <stp>##V3_BDHV12</stp>
        <stp>LAOF8 Comdty</stp>
        <stp>Last Trade</stp>
        <stp>14/11/2017</stp>
        <stp>14/11/2017</stp>
        <stp>[BBG Class FINAL.xlsm]Ali vol!R42C9</stp>
        <tr r="I42" s="3"/>
      </tp>
      <tp t="b">
        <v>0</v>
        <stp/>
        <stp>##V3_BDHV12</stp>
        <stp>LADF8 Comdty</stp>
        <stp>Last Trade</stp>
        <stp>03/11/2017</stp>
        <stp>03/11/2017</stp>
        <stp>[BBG Class FINAL.xlsm]Ali vol!R49C5</stp>
        <tr r="E49" s="3"/>
      </tp>
      <tp t="b">
        <v>0</v>
        <stp/>
        <stp>##V3_BDHV12</stp>
        <stp>LAEF8 Comdty</stp>
        <stp>Last Trade</stp>
        <stp>06/11/2017</stp>
        <stp>06/11/2017</stp>
        <stp>[BBG Class FINAL.xlsm]Ali vol!R48C7</stp>
        <tr r="G48" s="3"/>
      </tp>
      <tp t="b">
        <v>0</v>
        <stp/>
        <stp>##V3_BDHV12</stp>
        <stp>LAOF8 Comdty</stp>
        <stp>Last Trade</stp>
        <stp>17/10/2017</stp>
        <stp>17/10/2017</stp>
        <stp>[BBG Class FINAL.xlsm]Ali vol!R62C9</stp>
        <tr r="I62" s="3"/>
      </tp>
      <tp t="b">
        <v>0</v>
        <stp/>
        <stp>##V3_BDHV12</stp>
        <stp>LADF8 Comdty</stp>
        <stp>Last Trade</stp>
        <stp>20/10/2017</stp>
        <stp>20/10/2017</stp>
        <stp>[BBG Class FINAL.xlsm]Ali vol!R59C5</stp>
        <tr r="E59" s="3"/>
      </tp>
      <tp t="b">
        <v>0</v>
        <stp/>
        <stp>##V3_BDHV12</stp>
        <stp>LADF8 Comdty</stp>
        <stp>Last Trade</stp>
        <stp>01/12/2017</stp>
        <stp>01/12/2017</stp>
        <stp>[BBG Class FINAL.xlsm]Ali vol!R29C5</stp>
        <tr r="E29" s="3"/>
      </tp>
      <tp t="b">
        <v>0</v>
        <stp/>
        <stp>##V3_BDHV12</stp>
        <stp>LAEF8 Comdty</stp>
        <stp>Last Trade</stp>
        <stp>23/10/2017</stp>
        <stp>23/10/2017</stp>
        <stp>[BBG Class FINAL.xlsm]Ali vol!R58C7</stp>
        <tr r="G58" s="3"/>
      </tp>
      <tp t="b">
        <v>0</v>
        <stp/>
        <stp>##V3_BDHV12</stp>
        <stp>LAEF8 Comdty</stp>
        <stp>Last Trade</stp>
        <stp>04/12/2017</stp>
        <stp>04/12/2017</stp>
        <stp>[BBG Class FINAL.xlsm]Ali vol!R28C7</stp>
        <tr r="G28" s="3"/>
      </tp>
      <tp t="b">
        <v>0</v>
        <stp/>
        <stp>##V3_BDHV12</stp>
        <stp>LAEF8 Comdty</stp>
        <stp>Last Trade</stp>
        <stp>20/11/2017</stp>
        <stp>20/11/2017</stp>
        <stp>[BBG Class FINAL.xlsm]Ali vol!R38C7</stp>
        <tr r="G38" s="3"/>
      </tp>
      <tp t="b">
        <v>0</v>
        <stp/>
        <stp>##V3_BDHV12</stp>
        <stp>LAOF8 Comdty</stp>
        <stp>Last Trade</stp>
        <stp>28/11/2017</stp>
        <stp>28/11/2017</stp>
        <stp>[BBG Class FINAL.xlsm]Ali vol!R32C9</stp>
        <tr r="I32" s="3"/>
      </tp>
      <tp t="b">
        <v>0</v>
        <stp/>
        <stp>##V3_BDHV12</stp>
        <stp>LAOF8 Comdty</stp>
        <stp>Last Trade</stp>
        <stp>31/10/2017</stp>
        <stp>31/10/2017</stp>
        <stp>[BBG Class FINAL.xlsm]Ali vol!R52C9</stp>
        <tr r="I52" s="3"/>
      </tp>
      <tp t="b">
        <v>0</v>
        <stp/>
        <stp>##V3_BDHV12</stp>
        <stp>LAOF8 Comdty</stp>
        <stp>Last Trade</stp>
        <stp>12/12/2017</stp>
        <stp>12/12/2017</stp>
        <stp>[BBG Class FINAL.xlsm]Ali vol!R22C9</stp>
        <tr r="I22" s="3"/>
      </tp>
      <tp t="b">
        <v>0</v>
        <stp/>
        <stp>##V3_BDHV12</stp>
        <stp>LACF8 Comdty</stp>
        <stp>Last Trade</stp>
        <stp>17/11/2017</stp>
        <stp>17/11/2017</stp>
        <stp>[BBG Class FINAL.xlsm]Ali vol!R39C6</stp>
        <tr r="F39" s="3"/>
      </tp>
      <tp t="b">
        <v>0</v>
        <stp/>
        <stp>##V3_BDHV12</stp>
        <stp>LACF8 Comdty</stp>
        <stp>Last Trade</stp>
        <stp>03/11/2017</stp>
        <stp>03/11/2017</stp>
        <stp>[BBG Class FINAL.xlsm]Ali vol!R49C6</stp>
        <tr r="F49" s="3"/>
      </tp>
      <tp t="b">
        <v>0</v>
        <stp/>
        <stp>##V3_BDHV12</stp>
        <stp>LAOF8 Comdty</stp>
        <stp>Last Trade</stp>
        <stp>09/11/2017</stp>
        <stp>09/11/2017</stp>
        <stp>[BBG Class FINAL.xlsm]Ali vol!R45C9</stp>
        <tr r="I45" s="3"/>
      </tp>
      <tp t="b">
        <v>0</v>
        <stp/>
        <stp>##V3_BDHV12</stp>
        <stp>LAOF8 Comdty</stp>
        <stp>Last Trade</stp>
        <stp>12/10/2017</stp>
        <stp>12/10/2017</stp>
        <stp>[BBG Class FINAL.xlsm]Ali vol!R65C9</stp>
        <tr r="I65" s="3"/>
      </tp>
      <tp t="b">
        <v>0</v>
        <stp/>
        <stp>##V3_BDHV12</stp>
        <stp>LACF8 Comdty</stp>
        <stp>Last Trade</stp>
        <stp>01/12/2017</stp>
        <stp>01/12/2017</stp>
        <stp>[BBG Class FINAL.xlsm]Ali vol!R29C6</stp>
        <tr r="F29" s="3"/>
      </tp>
      <tp t="b">
        <v>0</v>
        <stp/>
        <stp>##V3_BDHV12</stp>
        <stp>LACF8 Comdty</stp>
        <stp>Last Trade</stp>
        <stp>20/10/2017</stp>
        <stp>20/10/2017</stp>
        <stp>[BBG Class FINAL.xlsm]Ali vol!R59C6</stp>
        <tr r="F59" s="3"/>
      </tp>
      <tp t="b">
        <v>0</v>
        <stp/>
        <stp>##V3_BDHV12</stp>
        <stp>LAOF8 Comdty</stp>
        <stp>Last Trade</stp>
        <stp>26/10/2017</stp>
        <stp>26/10/2017</stp>
        <stp>[BBG Class FINAL.xlsm]Ali vol!R55C9</stp>
        <tr r="I55" s="3"/>
      </tp>
      <tp t="b">
        <v>0</v>
        <stp/>
        <stp>##V3_BDHV12</stp>
        <stp>LAOF8 Comdty</stp>
        <stp>Last Trade</stp>
        <stp>07/12/2017</stp>
        <stp>07/12/2017</stp>
        <stp>[BBG Class FINAL.xlsm]Ali vol!R25C9</stp>
        <tr r="I25" s="3"/>
      </tp>
      <tp t="b">
        <v>0</v>
        <stp/>
        <stp>##V3_BDHV12</stp>
        <stp>LAOF8 Comdty</stp>
        <stp>Last Trade</stp>
        <stp>23/11/2017</stp>
        <stp>23/11/2017</stp>
        <stp>[BBG Class FINAL.xlsm]Ali vol!R35C9</stp>
        <tr r="I35" s="3"/>
      </tp>
      <tp t="b">
        <v>0</v>
        <stp/>
        <stp>##V3_BDHV12</stp>
        <stp>LACF8 Comdty</stp>
        <stp>Last Trade</stp>
        <stp>09/10/2017</stp>
        <stp>09/10/2017</stp>
        <stp>[BBG Class FINAL.xlsm]Ali vol!R68C6</stp>
        <tr r="F68" s="3"/>
      </tp>
      <tp t="b">
        <v>0</v>
        <stp/>
        <stp>##V3_BDHV12</stp>
        <stp>LAOF8 Comdty</stp>
        <stp>Last Trade</stp>
        <stp>10/11/2017</stp>
        <stp>10/11/2017</stp>
        <stp>[BBG Class FINAL.xlsm]Ali vol!R44C9</stp>
        <tr r="I44" s="3"/>
      </tp>
      <tp t="b">
        <v>0</v>
        <stp/>
        <stp>##V3_BDHV12</stp>
        <stp>LACF8 Comdty</stp>
        <stp>Last Trade</stp>
        <stp>06/11/2017</stp>
        <stp>06/11/2017</stp>
        <stp>[BBG Class FINAL.xlsm]Ali vol!R48C6</stp>
        <tr r="F48" s="3"/>
      </tp>
      <tp t="b">
        <v>0</v>
        <stp/>
        <stp>##V3_BDHV12</stp>
        <stp>LAOF8 Comdty</stp>
        <stp>Last Trade</stp>
        <stp>13/10/2017</stp>
        <stp>13/10/2017</stp>
        <stp>[BBG Class FINAL.xlsm]Ali vol!R64C9</stp>
        <tr r="I64" s="3"/>
      </tp>
      <tp t="b">
        <v>0</v>
        <stp/>
        <stp>##V3_BDHV12</stp>
        <stp>LACF8 Comdty</stp>
        <stp>Last Trade</stp>
        <stp>23/10/2017</stp>
        <stp>23/10/2017</stp>
        <stp>[BBG Class FINAL.xlsm]Ali vol!R58C6</stp>
        <tr r="F58" s="3"/>
      </tp>
      <tp t="b">
        <v>0</v>
        <stp/>
        <stp>##V3_BDHV12</stp>
        <stp>LAOF8 Comdty</stp>
        <stp>Last Trade</stp>
        <stp>08/12/2017</stp>
        <stp>08/12/2017</stp>
        <stp>[BBG Class FINAL.xlsm]Ali vol!R24C9</stp>
        <tr r="I24" s="3"/>
      </tp>
      <tp t="b">
        <v>0</v>
        <stp/>
        <stp>##V3_BDHV12</stp>
        <stp>LACF8 Comdty</stp>
        <stp>Last Trade</stp>
        <stp>04/12/2017</stp>
        <stp>04/12/2017</stp>
        <stp>[BBG Class FINAL.xlsm]Ali vol!R28C6</stp>
        <tr r="F28" s="3"/>
      </tp>
      <tp t="b">
        <v>0</v>
        <stp/>
        <stp>##V3_BDHV12</stp>
        <stp>LAOF8 Comdty</stp>
        <stp>Last Trade</stp>
        <stp>27/10/2017</stp>
        <stp>27/10/2017</stp>
        <stp>[BBG Class FINAL.xlsm]Ali vol!R54C9</stp>
        <tr r="I54" s="3"/>
      </tp>
      <tp t="b">
        <v>0</v>
        <stp/>
        <stp>##V3_BDHV12</stp>
        <stp>LACF8 Comdty</stp>
        <stp>Last Trade</stp>
        <stp>20/11/2017</stp>
        <stp>20/11/2017</stp>
        <stp>[BBG Class FINAL.xlsm]Ali vol!R38C6</stp>
        <tr r="F38" s="3"/>
      </tp>
      <tp t="b">
        <v>0</v>
        <stp/>
        <stp>##V3_BDHV12</stp>
        <stp>LAOF8 Comdty</stp>
        <stp>Last Trade</stp>
        <stp>24/11/2017</stp>
        <stp>24/11/2017</stp>
        <stp>[BBG Class FINAL.xlsm]Ali vol!R34C9</stp>
        <tr r="I34" s="3"/>
      </tp>
      <tp t="b">
        <v>0</v>
        <stp/>
        <stp>##V3_BDHV12</stp>
        <stp>LAOF8 Comdty</stp>
        <stp>Last Trade</stp>
        <stp>07/11/2017</stp>
        <stp>07/11/2017</stp>
        <stp>[BBG Class FINAL.xlsm]Ali vol!R47C9</stp>
        <tr r="I47" s="3"/>
      </tp>
      <tp t="b">
        <v>0</v>
        <stp/>
        <stp>##V3_BDHV12</stp>
        <stp>LAOF8 Comdty</stp>
        <stp>Last Trade</stp>
        <stp>10/10/2017</stp>
        <stp>10/10/2017</stp>
        <stp>[BBG Class FINAL.xlsm]Ali vol!R67C9</stp>
        <tr r="I67" s="3"/>
      </tp>
      <tp t="b">
        <v>0</v>
        <stp/>
        <stp>##V3_BDHV12</stp>
        <stp>LAOF8 Comdty</stp>
        <stp>Last Trade</stp>
        <stp>24/10/2017</stp>
        <stp>24/10/2017</stp>
        <stp>[BBG Class FINAL.xlsm]Ali vol!R57C9</stp>
        <tr r="I57" s="3"/>
      </tp>
      <tp t="b">
        <v>0</v>
        <stp/>
        <stp>##V3_BDHV12</stp>
        <stp>LAOF8 Comdty</stp>
        <stp>Last Trade</stp>
        <stp>05/12/2017</stp>
        <stp>05/12/2017</stp>
        <stp>[BBG Class FINAL.xlsm]Ali vol!R27C9</stp>
        <tr r="I27" s="3"/>
      </tp>
      <tp t="b">
        <v>0</v>
        <stp/>
        <stp>##V3_BDHV12</stp>
        <stp>LAOF8 Comdty</stp>
        <stp>Last Trade</stp>
        <stp>21/11/2017</stp>
        <stp>21/11/2017</stp>
        <stp>[BBG Class FINAL.xlsm]Ali vol!R37C9</stp>
        <tr r="I37" s="3"/>
      </tp>
      <tp t="b">
        <v>0</v>
        <stp/>
        <stp>##V3_BDHV12</stp>
        <stp>LAOF8 Comdty</stp>
        <stp>Last Trade</stp>
        <stp>08/11/2017</stp>
        <stp>08/11/2017</stp>
        <stp>[BBG Class FINAL.xlsm]Ali vol!R46C9</stp>
        <tr r="I46" s="3"/>
      </tp>
      <tp t="b">
        <v>0</v>
        <stp/>
        <stp>##V3_BDHV12</stp>
        <stp>LAOF8 Comdty</stp>
        <stp>Last Trade</stp>
        <stp>11/10/2017</stp>
        <stp>11/10/2017</stp>
        <stp>[BBG Class FINAL.xlsm]Ali vol!R66C9</stp>
        <tr r="I66" s="3"/>
      </tp>
      <tp t="b">
        <v>0</v>
        <stp/>
        <stp>##V3_BDHV12</stp>
        <stp>LAOF8 Comdty</stp>
        <stp>Last Trade</stp>
        <stp>25/10/2017</stp>
        <stp>25/10/2017</stp>
        <stp>[BBG Class FINAL.xlsm]Ali vol!R56C9</stp>
        <tr r="I56" s="3"/>
      </tp>
      <tp t="b">
        <v>0</v>
        <stp/>
        <stp>##V3_BDHV12</stp>
        <stp>LAOF8 Comdty</stp>
        <stp>Last Trade</stp>
        <stp>06/12/2017</stp>
        <stp>06/12/2017</stp>
        <stp>[BBG Class FINAL.xlsm]Ali vol!R26C9</stp>
        <tr r="I26" s="3"/>
      </tp>
      <tp t="b">
        <v>0</v>
        <stp/>
        <stp>##V3_BDHV12</stp>
        <stp>LAOF8 Comdty</stp>
        <stp>Last Trade</stp>
        <stp>22/11/2017</stp>
        <stp>22/11/2017</stp>
        <stp>[BBG Class FINAL.xlsm]Ali vol!R36C9</stp>
        <tr r="I36" s="3"/>
      </tp>
      <tp t="b">
        <v>0</v>
        <stp/>
        <stp>##V3_BDHV12</stp>
        <stp>LAPF8 Comdty</stp>
        <stp>Last Trade</stp>
        <stp>08/11/2017</stp>
        <stp>08/11/2017</stp>
        <stp>[BBG Class FINAL.xlsm]Ali vol!R46C8</stp>
        <tr r="H46" s="3"/>
      </tp>
      <tp t="b">
        <v>0</v>
        <stp/>
        <stp>##V3_BDHV12</stp>
        <stp>LAPF8 Comdty</stp>
        <stp>Last Trade</stp>
        <stp>11/10/2017</stp>
        <stp>11/10/2017</stp>
        <stp>[BBG Class FINAL.xlsm]Ali vol!R66C8</stp>
        <tr r="H66" s="3"/>
      </tp>
      <tp t="b">
        <v>0</v>
        <stp/>
        <stp>##V3_BDHV12</stp>
        <stp>LAPF8 Comdty</stp>
        <stp>Last Trade</stp>
        <stp>25/10/2017</stp>
        <stp>25/10/2017</stp>
        <stp>[BBG Class FINAL.xlsm]Ali vol!R56C8</stp>
        <tr r="H56" s="3"/>
      </tp>
      <tp t="b">
        <v>0</v>
        <stp/>
        <stp>##V3_BDHV12</stp>
        <stp>LAPF8 Comdty</stp>
        <stp>Last Trade</stp>
        <stp>06/12/2017</stp>
        <stp>06/12/2017</stp>
        <stp>[BBG Class FINAL.xlsm]Ali vol!R26C8</stp>
        <tr r="H26" s="3"/>
      </tp>
      <tp t="b">
        <v>0</v>
        <stp/>
        <stp>##V3_BDHV12</stp>
        <stp>LAPF8 Comdty</stp>
        <stp>Last Trade</stp>
        <stp>22/11/2017</stp>
        <stp>22/11/2017</stp>
        <stp>[BBG Class FINAL.xlsm]Ali vol!R36C8</stp>
        <tr r="H36" s="3"/>
      </tp>
      <tp t="b">
        <v>0</v>
        <stp/>
        <stp>##V3_BDHV12</stp>
        <stp>LAPF8 Comdty</stp>
        <stp>Last Trade</stp>
        <stp>07/11/2017</stp>
        <stp>07/11/2017</stp>
        <stp>[BBG Class FINAL.xlsm]Ali vol!R47C8</stp>
        <tr r="H47" s="3"/>
      </tp>
      <tp t="b">
        <v>0</v>
        <stp/>
        <stp>##V3_BDHV12</stp>
        <stp>LAPF8 Comdty</stp>
        <stp>Last Trade</stp>
        <stp>10/10/2017</stp>
        <stp>10/10/2017</stp>
        <stp>[BBG Class FINAL.xlsm]Ali vol!R67C8</stp>
        <tr r="H67" s="3"/>
      </tp>
      <tp t="b">
        <v>0</v>
        <stp/>
        <stp>##V3_BDHV12</stp>
        <stp>LAPF8 Comdty</stp>
        <stp>Last Trade</stp>
        <stp>05/12/2017</stp>
        <stp>05/12/2017</stp>
        <stp>[BBG Class FINAL.xlsm]Ali vol!R27C8</stp>
        <tr r="H27" s="3"/>
      </tp>
      <tp t="b">
        <v>0</v>
        <stp/>
        <stp>##V3_BDHV12</stp>
        <stp>LAPF8 Comdty</stp>
        <stp>Last Trade</stp>
        <stp>24/10/2017</stp>
        <stp>24/10/2017</stp>
        <stp>[BBG Class FINAL.xlsm]Ali vol!R57C8</stp>
        <tr r="H57" s="3"/>
      </tp>
      <tp t="b">
        <v>0</v>
        <stp/>
        <stp>##V3_BDHV12</stp>
        <stp>LAPF8 Comdty</stp>
        <stp>Last Trade</stp>
        <stp>21/11/2017</stp>
        <stp>21/11/2017</stp>
        <stp>[BBG Class FINAL.xlsm]Ali vol!R37C8</stp>
        <tr r="H37" s="3"/>
      </tp>
      <tp t="b">
        <v>0</v>
        <stp/>
        <stp>##V3_BDHV12</stp>
        <stp>LAPF8 Comdty</stp>
        <stp>Last Trade</stp>
        <stp>10/11/2017</stp>
        <stp>10/11/2017</stp>
        <stp>[BBG Class FINAL.xlsm]Ali vol!R44C8</stp>
        <tr r="H44" s="3"/>
      </tp>
      <tp t="b">
        <v>0</v>
        <stp/>
        <stp>##V3_BDHV12</stp>
        <stp>LAPF8 Comdty</stp>
        <stp>Last Trade</stp>
        <stp>13/10/2017</stp>
        <stp>13/10/2017</stp>
        <stp>[BBG Class FINAL.xlsm]Ali vol!R64C8</stp>
        <tr r="H64" s="3"/>
      </tp>
      <tp t="b">
        <v>0</v>
        <stp/>
        <stp>##V3_BDHV12</stp>
        <stp>LAPF8 Comdty</stp>
        <stp>Last Trade</stp>
        <stp>08/12/2017</stp>
        <stp>08/12/2017</stp>
        <stp>[BBG Class FINAL.xlsm]Ali vol!R24C8</stp>
        <tr r="H24" s="3"/>
      </tp>
      <tp t="b">
        <v>0</v>
        <stp/>
        <stp>##V3_BDHV12</stp>
        <stp>LAPF8 Comdty</stp>
        <stp>Last Trade</stp>
        <stp>27/10/2017</stp>
        <stp>27/10/2017</stp>
        <stp>[BBG Class FINAL.xlsm]Ali vol!R54C8</stp>
        <tr r="H54" s="3"/>
      </tp>
      <tp t="b">
        <v>0</v>
        <stp/>
        <stp>##V3_BDHV12</stp>
        <stp>LAPF8 Comdty</stp>
        <stp>Last Trade</stp>
        <stp>24/11/2017</stp>
        <stp>24/11/2017</stp>
        <stp>[BBG Class FINAL.xlsm]Ali vol!R34C8</stp>
        <tr r="H34" s="3"/>
      </tp>
      <tp t="b">
        <v>0</v>
        <stp/>
        <stp>##V3_BDHV12</stp>
        <stp>LAPF8 Comdty</stp>
        <stp>Last Trade</stp>
        <stp>09/11/2017</stp>
        <stp>09/11/2017</stp>
        <stp>[BBG Class FINAL.xlsm]Ali vol!R45C8</stp>
        <tr r="H45" s="3"/>
      </tp>
      <tp t="b">
        <v>0</v>
        <stp/>
        <stp>##V3_BDHV12</stp>
        <stp>LAPF8 Comdty</stp>
        <stp>Last Trade</stp>
        <stp>12/10/2017</stp>
        <stp>12/10/2017</stp>
        <stp>[BBG Class FINAL.xlsm]Ali vol!R65C8</stp>
        <tr r="H65" s="3"/>
      </tp>
      <tp t="b">
        <v>0</v>
        <stp/>
        <stp>##V3_BDHV12</stp>
        <stp>LAPF8 Comdty</stp>
        <stp>Last Trade</stp>
        <stp>07/12/2017</stp>
        <stp>07/12/2017</stp>
        <stp>[BBG Class FINAL.xlsm]Ali vol!R25C8</stp>
        <tr r="H25" s="3"/>
      </tp>
      <tp t="b">
        <v>0</v>
        <stp/>
        <stp>##V3_BDHV12</stp>
        <stp>LAPF8 Comdty</stp>
        <stp>Last Trade</stp>
        <stp>26/10/2017</stp>
        <stp>26/10/2017</stp>
        <stp>[BBG Class FINAL.xlsm]Ali vol!R55C8</stp>
        <tr r="H55" s="3"/>
      </tp>
      <tp t="b">
        <v>0</v>
        <stp/>
        <stp>##V3_BDHV12</stp>
        <stp>LAPF8 Comdty</stp>
        <stp>Last Trade</stp>
        <stp>23/11/2017</stp>
        <stp>23/11/2017</stp>
        <stp>[BBG Class FINAL.xlsm]Ali vol!R35C8</stp>
        <tr r="H35" s="3"/>
      </tp>
      <tp t="b">
        <v>0</v>
        <stp/>
        <stp>##V3_BDHV12</stp>
        <stp>LAPF8 Comdty</stp>
        <stp>Last Trade</stp>
        <stp>14/11/2017</stp>
        <stp>14/11/2017</stp>
        <stp>[BBG Class FINAL.xlsm]Ali vol!R42C8</stp>
        <tr r="H42" s="3"/>
      </tp>
      <tp t="b">
        <v>0</v>
        <stp/>
        <stp>##V3_BDHV12</stp>
        <stp>LAPF8 Comdty</stp>
        <stp>Last Trade</stp>
        <stp>17/10/2017</stp>
        <stp>17/10/2017</stp>
        <stp>[BBG Class FINAL.xlsm]Ali vol!R62C8</stp>
        <tr r="H62" s="3"/>
      </tp>
      <tp t="b">
        <v>0</v>
        <stp/>
        <stp>##V3_BDHV12</stp>
        <stp>LAPF8 Comdty</stp>
        <stp>Last Trade</stp>
        <stp>28/11/2017</stp>
        <stp>28/11/2017</stp>
        <stp>[BBG Class FINAL.xlsm]Ali vol!R32C8</stp>
        <tr r="H32" s="3"/>
      </tp>
      <tp t="b">
        <v>0</v>
        <stp/>
        <stp>##V3_BDHV12</stp>
        <stp>LAPF8 Comdty</stp>
        <stp>Last Trade</stp>
        <stp>31/10/2017</stp>
        <stp>31/10/2017</stp>
        <stp>[BBG Class FINAL.xlsm]Ali vol!R52C8</stp>
        <tr r="H52" s="3"/>
      </tp>
      <tp t="b">
        <v>0</v>
        <stp/>
        <stp>##V3_BDHV12</stp>
        <stp>LAPF8 Comdty</stp>
        <stp>Last Trade</stp>
        <stp>12/12/2017</stp>
        <stp>12/12/2017</stp>
        <stp>[BBG Class FINAL.xlsm]Ali vol!R22C8</stp>
        <tr r="H22" s="3"/>
      </tp>
      <tp t="b">
        <v>0</v>
        <stp/>
        <stp>##V3_BDHV12</stp>
        <stp>LAPF8 Comdty</stp>
        <stp>Last Trade</stp>
        <stp>13/11/2017</stp>
        <stp>13/11/2017</stp>
        <stp>[BBG Class FINAL.xlsm]Ali vol!R43C8</stp>
        <tr r="H43" s="3"/>
      </tp>
      <tp t="b">
        <v>0</v>
        <stp/>
        <stp>##V3_BDHV12</stp>
        <stp>LAPF8 Comdty</stp>
        <stp>Last Trade</stp>
        <stp>16/10/2017</stp>
        <stp>16/10/2017</stp>
        <stp>[BBG Class FINAL.xlsm]Ali vol!R63C8</stp>
        <tr r="H63" s="3"/>
      </tp>
      <tp t="b">
        <v>0</v>
        <stp/>
        <stp>##V3_BDHV12</stp>
        <stp>LAPF8 Comdty</stp>
        <stp>Last Trade</stp>
        <stp>27/11/2017</stp>
        <stp>27/11/2017</stp>
        <stp>[BBG Class FINAL.xlsm]Ali vol!R33C8</stp>
        <tr r="H33" s="3"/>
      </tp>
      <tp t="b">
        <v>0</v>
        <stp/>
        <stp>##V3_BDHV12</stp>
        <stp>LAPF8 Comdty</stp>
        <stp>Last Trade</stp>
        <stp>30/10/2017</stp>
        <stp>30/10/2017</stp>
        <stp>[BBG Class FINAL.xlsm]Ali vol!R53C8</stp>
        <tr r="H53" s="3"/>
      </tp>
      <tp t="b">
        <v>0</v>
        <stp/>
        <stp>##V3_BDHV12</stp>
        <stp>LAPF8 Comdty</stp>
        <stp>Last Trade</stp>
        <stp>11/12/2017</stp>
        <stp>11/12/2017</stp>
        <stp>[BBG Class FINAL.xlsm]Ali vol!R23C8</stp>
        <tr r="H23" s="3"/>
      </tp>
      <tp t="b">
        <v>0</v>
        <stp/>
        <stp>##V3_BDHV12</stp>
        <stp>LAPF8 Comdty</stp>
        <stp>Last Trade</stp>
        <stp>16/11/2017</stp>
        <stp>16/11/2017</stp>
        <stp>[BBG Class FINAL.xlsm]Ali vol!R40C8</stp>
        <tr r="H40" s="3"/>
      </tp>
      <tp t="b">
        <v>0</v>
        <stp/>
        <stp>##V3_BDHV12</stp>
        <stp>LAPF8 Comdty</stp>
        <stp>Last Trade</stp>
        <stp>19/10/2017</stp>
        <stp>19/10/2017</stp>
        <stp>[BBG Class FINAL.xlsm]Ali vol!R60C8</stp>
        <tr r="H60" s="3"/>
      </tp>
      <tp t="b">
        <v>0</v>
        <stp/>
        <stp>##V3_BDHV12</stp>
        <stp>LAPF8 Comdty</stp>
        <stp>Last Trade</stp>
        <stp>02/11/2017</stp>
        <stp>02/11/2017</stp>
        <stp>[BBG Class FINAL.xlsm]Ali vol!R50C8</stp>
        <tr r="H50" s="3"/>
      </tp>
      <tp t="b">
        <v>0</v>
        <stp/>
        <stp>##V3_BDHV12</stp>
        <stp>LAPF8 Comdty</stp>
        <stp>Last Trade</stp>
        <stp>30/11/2017</stp>
        <stp>30/11/2017</stp>
        <stp>[BBG Class FINAL.xlsm]Ali vol!R30C8</stp>
        <tr r="H30" s="3"/>
      </tp>
      <tp t="b">
        <v>0</v>
        <stp/>
        <stp>##V3_BDHV12</stp>
        <stp>LAPF8 Comdty</stp>
        <stp>Last Trade</stp>
        <stp>15/11/2017</stp>
        <stp>15/11/2017</stp>
        <stp>[BBG Class FINAL.xlsm]Ali vol!R41C8</stp>
        <tr r="H41" s="3"/>
      </tp>
      <tp t="b">
        <v>0</v>
        <stp/>
        <stp>##V3_BDHV12</stp>
        <stp>LAPF8 Comdty</stp>
        <stp>Last Trade</stp>
        <stp>18/10/2017</stp>
        <stp>18/10/2017</stp>
        <stp>[BBG Class FINAL.xlsm]Ali vol!R61C8</stp>
        <tr r="H61" s="3"/>
      </tp>
      <tp t="b">
        <v>0</v>
        <stp/>
        <stp>##V3_BDHV12</stp>
        <stp>LAPF8 Comdty</stp>
        <stp>Last Trade</stp>
        <stp>01/11/2017</stp>
        <stp>01/11/2017</stp>
        <stp>[BBG Class FINAL.xlsm]Ali vol!R51C8</stp>
        <tr r="H51" s="3"/>
      </tp>
      <tp t="b">
        <v>0</v>
        <stp/>
        <stp>##V3_BDHV12</stp>
        <stp>LAPF8 Comdty</stp>
        <stp>Last Trade</stp>
        <stp>29/11/2017</stp>
        <stp>29/11/2017</stp>
        <stp>[BBG Class FINAL.xlsm]Ali vol!R31C8</stp>
        <tr r="H31" s="3"/>
      </tp>
      <tp t="b">
        <v>0</v>
        <stp/>
        <stp>##V3_BDHV12</stp>
        <stp>LAPF8 Comdty</stp>
        <stp>Last Trade</stp>
        <stp>09/10/2017</stp>
        <stp>09/10/2017</stp>
        <stp>[BBG Class FINAL.xlsm]Ali vol!R68C8</stp>
        <tr r="H68" s="3"/>
      </tp>
      <tp t="b">
        <v>0</v>
        <stp/>
        <stp>##V3_BDHV12</stp>
        <stp>LAPF8 Comdty</stp>
        <stp>Last Trade</stp>
        <stp>06/11/2017</stp>
        <stp>06/11/2017</stp>
        <stp>[BBG Class FINAL.xlsm]Ali vol!R48C8</stp>
        <tr r="H48" s="3"/>
      </tp>
      <tp t="b">
        <v>0</v>
        <stp/>
        <stp>##V3_BDHV12</stp>
        <stp>LAPF8 Comdty</stp>
        <stp>Last Trade</stp>
        <stp>04/12/2017</stp>
        <stp>04/12/2017</stp>
        <stp>[BBG Class FINAL.xlsm]Ali vol!R28C8</stp>
        <tr r="H28" s="3"/>
      </tp>
      <tp t="b">
        <v>0</v>
        <stp/>
        <stp>##V3_BDHV12</stp>
        <stp>LAPF8 Comdty</stp>
        <stp>Last Trade</stp>
        <stp>23/10/2017</stp>
        <stp>23/10/2017</stp>
        <stp>[BBG Class FINAL.xlsm]Ali vol!R58C8</stp>
        <tr r="H58" s="3"/>
      </tp>
      <tp t="b">
        <v>0</v>
        <stp/>
        <stp>##V3_BDHV12</stp>
        <stp>LAPF8 Comdty</stp>
        <stp>Last Trade</stp>
        <stp>20/11/2017</stp>
        <stp>20/11/2017</stp>
        <stp>[BBG Class FINAL.xlsm]Ali vol!R38C8</stp>
        <tr r="H38" s="3"/>
      </tp>
      <tp t="b">
        <v>0</v>
        <stp/>
        <stp>##V3_BDHV12</stp>
        <stp>LAPF8 Comdty</stp>
        <stp>Last Trade</stp>
        <stp>17/11/2017</stp>
        <stp>17/11/2017</stp>
        <stp>[BBG Class FINAL.xlsm]Ali vol!R39C8</stp>
        <tr r="H39" s="3"/>
      </tp>
      <tp t="b">
        <v>0</v>
        <stp/>
        <stp>##V3_BDHV12</stp>
        <stp>LAPF8 Comdty</stp>
        <stp>Last Trade</stp>
        <stp>03/11/2017</stp>
        <stp>03/11/2017</stp>
        <stp>[BBG Class FINAL.xlsm]Ali vol!R49C8</stp>
        <tr r="H49" s="3"/>
      </tp>
      <tp t="b">
        <v>0</v>
        <stp/>
        <stp>##V3_BDHV12</stp>
        <stp>LAPF8 Comdty</stp>
        <stp>Last Trade</stp>
        <stp>01/12/2017</stp>
        <stp>01/12/2017</stp>
        <stp>[BBG Class FINAL.xlsm]Ali vol!R29C8</stp>
        <tr r="H29" s="3"/>
      </tp>
      <tp t="b">
        <v>0</v>
        <stp/>
        <stp>##V3_BDHV12</stp>
        <stp>LAPF8 Comdty</stp>
        <stp>Last Trade</stp>
        <stp>20/10/2017</stp>
        <stp>20/10/2017</stp>
        <stp>[BBG Class FINAL.xlsm]Ali vol!R59C8</stp>
        <tr r="H59" s="3"/>
      </tp>
    </main>
    <main first="bloomberg.rtd">
      <tp t="b">
        <v>0</v>
        <stp/>
        <stp>##V3_BDHV12</stp>
        <stp>LADQ8 Comdty</stp>
        <stp>Last Trade</stp>
        <stp>27/11/2017</stp>
        <stp>27/11/2017</stp>
        <stp>[BBG Class FINAL.xlsm]Ali vol!R33C31</stp>
        <tr r="AE33" s="3"/>
      </tp>
      <tp t="b">
        <v>0</v>
        <stp/>
        <stp>##V3_BDHV12</stp>
        <stp>LACQ8 Comdty</stp>
        <stp>Last Trade</stp>
        <stp>27/11/2017</stp>
        <stp>27/11/2017</stp>
        <stp>[BBG Class FINAL.xlsm]Ali vol!R33C32</stp>
        <tr r="AF33" s="3"/>
      </tp>
      <tp t="b">
        <v>0</v>
        <stp/>
        <stp>##V3_BDHV12</stp>
        <stp>LAEQ8 Comdty</stp>
        <stp>Last Trade</stp>
        <stp>27/11/2017</stp>
        <stp>27/11/2017</stp>
        <stp>[BBG Class FINAL.xlsm]Ali vol!R33C33</stp>
        <tr r="AG33" s="3"/>
      </tp>
      <tp t="b">
        <v>0</v>
        <stp/>
        <stp>##V3_BDHV12</stp>
        <stp>LAPQ8 Comdty</stp>
        <stp>Last Trade</stp>
        <stp>27/11/2017</stp>
        <stp>27/11/2017</stp>
        <stp>[BBG Class FINAL.xlsm]Ali vol!R33C34</stp>
        <tr r="AH33" s="3"/>
      </tp>
      <tp t="b">
        <v>0</v>
        <stp/>
        <stp>##V3_BDHV12</stp>
        <stp>LAOQ8 Comdty</stp>
        <stp>Last Trade</stp>
        <stp>27/11/2017</stp>
        <stp>27/11/2017</stp>
        <stp>[BBG Class FINAL.xlsm]Ali vol!R33C35</stp>
        <tr r="AI33" s="3"/>
      </tp>
      <tp t="b">
        <v>0</v>
        <stp/>
        <stp>##V3_BDHV12</stp>
        <stp>LARQ8 Comdty</stp>
        <stp>Last Trade</stp>
        <stp>27/11/2017</stp>
        <stp>27/11/2017</stp>
        <stp>[BBG Class FINAL.xlsm]Ali vol!R33C36</stp>
        <tr r="AJ33" s="3"/>
      </tp>
      <tp t="b">
        <v>0</v>
        <stp/>
        <stp>##V3_BDHV12</stp>
        <stp>LAEQ8 Comdty</stp>
        <stp>Last Trade</stp>
        <stp>24/11/2017</stp>
        <stp>24/11/2017</stp>
        <stp>[BBG Class FINAL.xlsm]Ali vol!R34C33</stp>
        <tr r="AG34" s="3"/>
      </tp>
      <tp t="b">
        <v>0</v>
        <stp/>
        <stp>##V3_BDHV12</stp>
        <stp>LACQ8 Comdty</stp>
        <stp>Last Trade</stp>
        <stp>24/11/2017</stp>
        <stp>24/11/2017</stp>
        <stp>[BBG Class FINAL.xlsm]Ali vol!R34C32</stp>
        <tr r="AF34" s="3"/>
      </tp>
      <tp t="b">
        <v>0</v>
        <stp/>
        <stp>##V3_BDHV12</stp>
        <stp>LADQ8 Comdty</stp>
        <stp>Last Trade</stp>
        <stp>24/11/2017</stp>
        <stp>24/11/2017</stp>
        <stp>[BBG Class FINAL.xlsm]Ali vol!R34C31</stp>
        <tr r="AE34" s="3"/>
      </tp>
      <tp t="b">
        <v>0</v>
        <stp/>
        <stp>##V3_BDHV12</stp>
        <stp>LARQ8 Comdty</stp>
        <stp>Last Trade</stp>
        <stp>24/11/2017</stp>
        <stp>24/11/2017</stp>
        <stp>[BBG Class FINAL.xlsm]Ali vol!R34C36</stp>
        <tr r="AJ34" s="3"/>
      </tp>
      <tp t="b">
        <v>0</v>
        <stp/>
        <stp>##V3_BDHV12</stp>
        <stp>LAOQ8 Comdty</stp>
        <stp>Last Trade</stp>
        <stp>24/11/2017</stp>
        <stp>24/11/2017</stp>
        <stp>[BBG Class FINAL.xlsm]Ali vol!R34C35</stp>
        <tr r="AI34" s="3"/>
      </tp>
      <tp t="b">
        <v>0</v>
        <stp/>
        <stp>##V3_BDHV12</stp>
        <stp>LAPQ8 Comdty</stp>
        <stp>Last Trade</stp>
        <stp>24/11/2017</stp>
        <stp>24/11/2017</stp>
        <stp>[BBG Class FINAL.xlsm]Ali vol!R34C34</stp>
        <tr r="AH34" s="3"/>
      </tp>
      <tp t="b">
        <v>0</v>
        <stp/>
        <stp>##V3_BDHV12</stp>
        <stp>LAPQ8 Comdty</stp>
        <stp>Last Trade</stp>
        <stp>23/11/2017</stp>
        <stp>23/11/2017</stp>
        <stp>[BBG Class FINAL.xlsm]Ali vol!R35C34</stp>
        <tr r="AH35" s="3"/>
      </tp>
      <tp t="b">
        <v>0</v>
        <stp/>
        <stp>##V3_BDHV12</stp>
        <stp>LAOQ8 Comdty</stp>
        <stp>Last Trade</stp>
        <stp>23/11/2017</stp>
        <stp>23/11/2017</stp>
        <stp>[BBG Class FINAL.xlsm]Ali vol!R35C35</stp>
        <tr r="AI35" s="3"/>
      </tp>
      <tp t="b">
        <v>0</v>
        <stp/>
        <stp>##V3_BDHV12</stp>
        <stp>LARQ8 Comdty</stp>
        <stp>Last Trade</stp>
        <stp>23/11/2017</stp>
        <stp>23/11/2017</stp>
        <stp>[BBG Class FINAL.xlsm]Ali vol!R35C36</stp>
        <tr r="AJ35" s="3"/>
      </tp>
      <tp t="b">
        <v>0</v>
        <stp/>
        <stp>##V3_BDHV12</stp>
        <stp>LADQ8 Comdty</stp>
        <stp>Last Trade</stp>
        <stp>23/11/2017</stp>
        <stp>23/11/2017</stp>
        <stp>[BBG Class FINAL.xlsm]Ali vol!R35C31</stp>
        <tr r="AE35" s="3"/>
      </tp>
      <tp t="b">
        <v>0</v>
        <stp/>
        <stp>##V3_BDHV12</stp>
        <stp>LACQ8 Comdty</stp>
        <stp>Last Trade</stp>
        <stp>23/11/2017</stp>
        <stp>23/11/2017</stp>
        <stp>[BBG Class FINAL.xlsm]Ali vol!R35C32</stp>
        <tr r="AF35" s="3"/>
      </tp>
      <tp t="b">
        <v>0</v>
        <stp/>
        <stp>##V3_BDHV12</stp>
        <stp>LAEQ8 Comdty</stp>
        <stp>Last Trade</stp>
        <stp>23/11/2017</stp>
        <stp>23/11/2017</stp>
        <stp>[BBG Class FINAL.xlsm]Ali vol!R35C33</stp>
        <tr r="AG35" s="3"/>
      </tp>
      <tp t="b">
        <v>0</v>
        <stp/>
        <stp>##V3_BDHV12</stp>
        <stp>LAOQ8 Comdty</stp>
        <stp>Last Trade</stp>
        <stp>22/11/2017</stp>
        <stp>22/11/2017</stp>
        <stp>[BBG Class FINAL.xlsm]Ali vol!R36C35</stp>
        <tr r="AI36" s="3"/>
      </tp>
      <tp t="b">
        <v>0</v>
        <stp/>
        <stp>##V3_BDHV12</stp>
        <stp>LAPQ8 Comdty</stp>
        <stp>Last Trade</stp>
        <stp>12/12/2017</stp>
        <stp>12/12/2017</stp>
        <stp>[BBG Class FINAL.xlsm]Ali vol!R22C34</stp>
        <tr r="AH22" s="3"/>
      </tp>
      <tp t="b">
        <v>0</v>
        <stp/>
        <stp>##V3_BDHV12</stp>
        <stp>LAOQ8 Comdty</stp>
        <stp>Last Trade</stp>
        <stp>12/12/2017</stp>
        <stp>12/12/2017</stp>
        <stp>[BBG Class FINAL.xlsm]Ali vol!R22C35</stp>
        <tr r="AI22" s="3"/>
      </tp>
      <tp t="b">
        <v>0</v>
        <stp/>
        <stp>##V3_BDHV12</stp>
        <stp>LAPQ8 Comdty</stp>
        <stp>Last Trade</stp>
        <stp>22/11/2017</stp>
        <stp>22/11/2017</stp>
        <stp>[BBG Class FINAL.xlsm]Ali vol!R36C34</stp>
        <tr r="AH36" s="3"/>
      </tp>
      <tp t="b">
        <v>0</v>
        <stp/>
        <stp>##V3_BDHV12</stp>
        <stp>LARQ8 Comdty</stp>
        <stp>Last Trade</stp>
        <stp>12/12/2017</stp>
        <stp>12/12/2017</stp>
        <stp>[BBG Class FINAL.xlsm]Ali vol!R22C36</stp>
        <tr r="AJ22" s="3"/>
      </tp>
      <tp t="b">
        <v>0</v>
        <stp/>
        <stp>##V3_BDHV12</stp>
        <stp>LARQ8 Comdty</stp>
        <stp>Last Trade</stp>
        <stp>22/11/2017</stp>
        <stp>22/11/2017</stp>
        <stp>[BBG Class FINAL.xlsm]Ali vol!R36C36</stp>
        <tr r="AJ36" s="3"/>
      </tp>
      <tp t="b">
        <v>0</v>
        <stp/>
        <stp>##V3_BDHV12</stp>
        <stp>LADQ8 Comdty</stp>
        <stp>Last Trade</stp>
        <stp>22/11/2017</stp>
        <stp>22/11/2017</stp>
        <stp>[BBG Class FINAL.xlsm]Ali vol!R36C31</stp>
        <tr r="AE36" s="3"/>
      </tp>
      <tp t="b">
        <v>0</v>
        <stp/>
        <stp>##V3_BDHV12</stp>
        <stp>LADQ8 Comdty</stp>
        <stp>Last Trade</stp>
        <stp>12/12/2017</stp>
        <stp>12/12/2017</stp>
        <stp>[BBG Class FINAL.xlsm]Ali vol!R22C31</stp>
        <tr r="AE22" s="3"/>
      </tp>
      <tp t="b">
        <v>0</v>
        <stp/>
        <stp>##V3_BDHV12</stp>
        <stp>LAEQ8 Comdty</stp>
        <stp>Last Trade</stp>
        <stp>22/11/2017</stp>
        <stp>22/11/2017</stp>
        <stp>[BBG Class FINAL.xlsm]Ali vol!R36C33</stp>
        <tr r="AG36" s="3"/>
      </tp>
      <tp t="b">
        <v>0</v>
        <stp/>
        <stp>##V3_BDHV12</stp>
        <stp>LACQ8 Comdty</stp>
        <stp>Last Trade</stp>
        <stp>12/12/2017</stp>
        <stp>12/12/2017</stp>
        <stp>[BBG Class FINAL.xlsm]Ali vol!R22C32</stp>
        <tr r="AF22" s="3"/>
      </tp>
      <tp t="b">
        <v>0</v>
        <stp/>
        <stp>##V3_BDHV12</stp>
        <stp>LAEQ8 Comdty</stp>
        <stp>Last Trade</stp>
        <stp>12/12/2017</stp>
        <stp>12/12/2017</stp>
        <stp>[BBG Class FINAL.xlsm]Ali vol!R22C33</stp>
        <tr r="AG22" s="3"/>
      </tp>
      <tp t="b">
        <v>0</v>
        <stp/>
        <stp>##V3_BDHV12</stp>
        <stp>LACQ8 Comdty</stp>
        <stp>Last Trade</stp>
        <stp>22/11/2017</stp>
        <stp>22/11/2017</stp>
        <stp>[BBG Class FINAL.xlsm]Ali vol!R36C32</stp>
        <tr r="AF36" s="3"/>
      </tp>
      <tp t="b">
        <v>0</v>
        <stp/>
        <stp>##V3_BDHV12</stp>
        <stp>LARQ8 Comdty</stp>
        <stp>Last Trade</stp>
        <stp>21/11/2017</stp>
        <stp>21/11/2017</stp>
        <stp>[BBG Class FINAL.xlsm]Ali vol!R37C36</stp>
        <tr r="AJ37" s="3"/>
      </tp>
      <tp t="b">
        <v>0</v>
        <stp/>
        <stp>##V3_BDHV12</stp>
        <stp>LADQ8 Comdty</stp>
        <stp>Last Trade</stp>
        <stp>31/10/2017</stp>
        <stp>31/10/2017</stp>
        <stp>[BBG Class FINAL.xlsm]Ali vol!R52C31</stp>
        <tr r="AE52" s="3"/>
      </tp>
      <tp t="b">
        <v>0</v>
        <stp/>
        <stp>##V3_BDHV12</stp>
        <stp>LARQ8 Comdty</stp>
        <stp>Last Trade</stp>
        <stp>11/12/2017</stp>
        <stp>11/12/2017</stp>
        <stp>[BBG Class FINAL.xlsm]Ali vol!R23C36</stp>
        <tr r="AJ23" s="3"/>
      </tp>
      <tp t="b">
        <v>0</v>
        <stp/>
        <stp>##V3_BDHV12</stp>
        <stp>LACQ8 Comdty</stp>
        <stp>Last Trade</stp>
        <stp>31/10/2017</stp>
        <stp>31/10/2017</stp>
        <stp>[BBG Class FINAL.xlsm]Ali vol!R52C32</stp>
        <tr r="AF52" s="3"/>
      </tp>
      <tp t="b">
        <v>0</v>
        <stp/>
        <stp>##V3_BDHV12</stp>
        <stp>LAOQ8 Comdty</stp>
        <stp>Last Trade</stp>
        <stp>11/12/2017</stp>
        <stp>11/12/2017</stp>
        <stp>[BBG Class FINAL.xlsm]Ali vol!R23C35</stp>
        <tr r="AI23" s="3"/>
      </tp>
      <tp t="b">
        <v>0</v>
        <stp/>
        <stp>##V3_BDHV12</stp>
        <stp>LAPQ8 Comdty</stp>
        <stp>Last Trade</stp>
        <stp>21/11/2017</stp>
        <stp>21/11/2017</stp>
        <stp>[BBG Class FINAL.xlsm]Ali vol!R37C34</stp>
        <tr r="AH37" s="3"/>
      </tp>
      <tp t="b">
        <v>0</v>
        <stp/>
        <stp>##V3_BDHV12</stp>
        <stp>LAEQ8 Comdty</stp>
        <stp>Last Trade</stp>
        <stp>31/10/2017</stp>
        <stp>31/10/2017</stp>
        <stp>[BBG Class FINAL.xlsm]Ali vol!R52C33</stp>
        <tr r="AG52" s="3"/>
      </tp>
      <tp t="b">
        <v>0</v>
        <stp/>
        <stp>##V3_BDHV12</stp>
        <stp>LAOQ8 Comdty</stp>
        <stp>Last Trade</stp>
        <stp>21/11/2017</stp>
        <stp>21/11/2017</stp>
        <stp>[BBG Class FINAL.xlsm]Ali vol!R37C35</stp>
        <tr r="AI37" s="3"/>
      </tp>
      <tp t="b">
        <v>0</v>
        <stp/>
        <stp>##V3_BDHV12</stp>
        <stp>LAPQ8 Comdty</stp>
        <stp>Last Trade</stp>
        <stp>11/12/2017</stp>
        <stp>11/12/2017</stp>
        <stp>[BBG Class FINAL.xlsm]Ali vol!R23C34</stp>
        <tr r="AH23" s="3"/>
      </tp>
      <tp t="b">
        <v>0</v>
        <stp/>
        <stp>##V3_BDHV12</stp>
        <stp>LAEQ8 Comdty</stp>
        <stp>Last Trade</stp>
        <stp>11/12/2017</stp>
        <stp>11/12/2017</stp>
        <stp>[BBG Class FINAL.xlsm]Ali vol!R23C33</stp>
        <tr r="AG23" s="3"/>
      </tp>
      <tp t="b">
        <v>0</v>
        <stp/>
        <stp>##V3_BDHV12</stp>
        <stp>LACQ8 Comdty</stp>
        <stp>Last Trade</stp>
        <stp>21/11/2017</stp>
        <stp>21/11/2017</stp>
        <stp>[BBG Class FINAL.xlsm]Ali vol!R37C32</stp>
        <tr r="AF37" s="3"/>
      </tp>
      <tp t="b">
        <v>0</v>
        <stp/>
        <stp>##V3_BDHV12</stp>
        <stp>LAPQ8 Comdty</stp>
        <stp>Last Trade</stp>
        <stp>31/10/2017</stp>
        <stp>31/10/2017</stp>
        <stp>[BBG Class FINAL.xlsm]Ali vol!R52C34</stp>
        <tr r="AH52" s="3"/>
      </tp>
      <tp t="b">
        <v>0</v>
        <stp/>
        <stp>##V3_BDHV12</stp>
        <stp>LAEQ8 Comdty</stp>
        <stp>Last Trade</stp>
        <stp>21/11/2017</stp>
        <stp>21/11/2017</stp>
        <stp>[BBG Class FINAL.xlsm]Ali vol!R37C33</stp>
        <tr r="AG37" s="3"/>
      </tp>
      <tp t="b">
        <v>0</v>
        <stp/>
        <stp>##V3_BDHV12</stp>
        <stp>LACQ8 Comdty</stp>
        <stp>Last Trade</stp>
        <stp>11/12/2017</stp>
        <stp>11/12/2017</stp>
        <stp>[BBG Class FINAL.xlsm]Ali vol!R23C32</stp>
        <tr r="AF23" s="3"/>
      </tp>
      <tp t="b">
        <v>0</v>
        <stp/>
        <stp>##V3_BDHV12</stp>
        <stp>LAOQ8 Comdty</stp>
        <stp>Last Trade</stp>
        <stp>31/10/2017</stp>
        <stp>31/10/2017</stp>
        <stp>[BBG Class FINAL.xlsm]Ali vol!R52C35</stp>
        <tr r="AI52" s="3"/>
      </tp>
      <tp t="b">
        <v>0</v>
        <stp/>
        <stp>##V3_BDHV12</stp>
        <stp>LADQ8 Comdty</stp>
        <stp>Last Trade</stp>
        <stp>11/12/2017</stp>
        <stp>11/12/2017</stp>
        <stp>[BBG Class FINAL.xlsm]Ali vol!R23C31</stp>
        <tr r="AE23" s="3"/>
      </tp>
      <tp t="b">
        <v>0</v>
        <stp/>
        <stp>##V3_BDHV12</stp>
        <stp>LARQ8 Comdty</stp>
        <stp>Last Trade</stp>
        <stp>31/10/2017</stp>
        <stp>31/10/2017</stp>
        <stp>[BBG Class FINAL.xlsm]Ali vol!R52C36</stp>
        <tr r="AJ52" s="3"/>
      </tp>
      <tp t="b">
        <v>0</v>
        <stp/>
        <stp>##V3_BDHV12</stp>
        <stp>LADQ8 Comdty</stp>
        <stp>Last Trade</stp>
        <stp>21/11/2017</stp>
        <stp>21/11/2017</stp>
        <stp>[BBG Class FINAL.xlsm]Ali vol!R37C31</stp>
        <tr r="AE37" s="3"/>
      </tp>
      <tp t="b">
        <v>0</v>
        <stp/>
        <stp>##V3_BDHV12</stp>
        <stp>LADQ8 Comdty</stp>
        <stp>Last Trade</stp>
        <stp>30/10/2017</stp>
        <stp>30/10/2017</stp>
        <stp>[BBG Class FINAL.xlsm]Ali vol!R53C31</stp>
        <tr r="AE53" s="3"/>
      </tp>
      <tp t="b">
        <v>0</v>
        <stp/>
        <stp>##V3_BDHV12</stp>
        <stp>LARQ8 Comdty</stp>
        <stp>Last Trade</stp>
        <stp>20/11/2017</stp>
        <stp>20/11/2017</stp>
        <stp>[BBG Class FINAL.xlsm]Ali vol!R38C36</stp>
        <tr r="AJ38" s="3"/>
      </tp>
      <tp t="b">
        <v>0</v>
        <stp/>
        <stp>##V3_BDHV12</stp>
        <stp>LAEQ8 Comdty</stp>
        <stp>Last Trade</stp>
        <stp>30/10/2017</stp>
        <stp>30/10/2017</stp>
        <stp>[BBG Class FINAL.xlsm]Ali vol!R53C33</stp>
        <tr r="AG53" s="3"/>
      </tp>
      <tp t="b">
        <v>0</v>
        <stp/>
        <stp>##V3_BDHV12</stp>
        <stp>LAOQ8 Comdty</stp>
        <stp>Last Trade</stp>
        <stp>20/11/2017</stp>
        <stp>20/11/2017</stp>
        <stp>[BBG Class FINAL.xlsm]Ali vol!R38C35</stp>
        <tr r="AI38" s="3"/>
      </tp>
      <tp t="b">
        <v>0</v>
        <stp/>
        <stp>##V3_BDHV12</stp>
        <stp>LACQ8 Comdty</stp>
        <stp>Last Trade</stp>
        <stp>30/10/2017</stp>
        <stp>30/10/2017</stp>
        <stp>[BBG Class FINAL.xlsm]Ali vol!R53C32</stp>
        <tr r="AF53" s="3"/>
      </tp>
      <tp t="b">
        <v>0</v>
        <stp/>
        <stp>##V3_BDHV12</stp>
        <stp>LAPQ8 Comdty</stp>
        <stp>Last Trade</stp>
        <stp>20/11/2017</stp>
        <stp>20/11/2017</stp>
        <stp>[BBG Class FINAL.xlsm]Ali vol!R38C34</stp>
        <tr r="AH38" s="3"/>
      </tp>
      <tp t="b">
        <v>0</v>
        <stp/>
        <stp>##V3_BDHV12</stp>
        <stp>LAEQ8 Comdty</stp>
        <stp>Last Trade</stp>
        <stp>31/10/2017</stp>
        <stp>31/10/2017</stp>
        <stp>[BBG Class FINAL.xlsm]Ali vol!R11C20</stp>
        <tr r="T11" s="3"/>
      </tp>
      <tp t="b">
        <v>0</v>
        <stp/>
        <stp>##V3_BDHV12</stp>
        <stp>LAOQ8 Comdty</stp>
        <stp>Last Trade</stp>
        <stp>30/10/2017</stp>
        <stp>30/10/2017</stp>
        <stp>[BBG Class FINAL.xlsm]Ali vol!R53C35</stp>
        <tr r="AI53" s="3"/>
      </tp>
      <tp t="b">
        <v>0</v>
        <stp/>
        <stp>##V3_BDHV12</stp>
        <stp>LAEQ8 Comdty</stp>
        <stp>Last Trade</stp>
        <stp>20/11/2017</stp>
        <stp>20/11/2017</stp>
        <stp>[BBG Class FINAL.xlsm]Ali vol!R38C33</stp>
        <tr r="AG38" s="3"/>
      </tp>
      <tp t="b">
        <v>0</v>
        <stp/>
        <stp>##V3_BDHV12</stp>
        <stp>LACQ8 Comdty</stp>
        <stp>Last Trade</stp>
        <stp>20/11/2017</stp>
        <stp>20/11/2017</stp>
        <stp>[BBG Class FINAL.xlsm]Ali vol!R38C32</stp>
        <tr r="AF38" s="3"/>
      </tp>
      <tp t="b">
        <v>0</v>
        <stp/>
        <stp>##V3_BDHV12</stp>
        <stp>LAPQ8 Comdty</stp>
        <stp>Last Trade</stp>
        <stp>30/10/2017</stp>
        <stp>30/10/2017</stp>
        <stp>[BBG Class FINAL.xlsm]Ali vol!R53C34</stp>
        <tr r="AH53" s="3"/>
      </tp>
      <tp t="b">
        <v>0</v>
        <stp/>
        <stp>##V3_BDHV12</stp>
        <stp>LADQ8 Comdty</stp>
        <stp>Last Trade</stp>
        <stp>20/11/2017</stp>
        <stp>20/11/2017</stp>
        <stp>[BBG Class FINAL.xlsm]Ali vol!R38C31</stp>
        <tr r="AE38" s="3"/>
      </tp>
      <tp t="b">
        <v>0</v>
        <stp/>
        <stp>##V3_BDHV12</stp>
        <stp>LARQ8 Comdty</stp>
        <stp>Last Trade</stp>
        <stp>30/10/2017</stp>
        <stp>30/10/2017</stp>
        <stp>[BBG Class FINAL.xlsm]Ali vol!R53C36</stp>
        <tr r="AJ53" s="3"/>
      </tp>
      <tp t="b">
        <v>0</v>
        <stp/>
        <stp>##V3_BDHV12</stp>
        <stp>LARQ8 Comdty</stp>
        <stp>Last Trade</stp>
        <stp>29/11/2017</stp>
        <stp>29/11/2017</stp>
        <stp>[BBG Class FINAL.xlsm]Ali vol!R31C36</stp>
        <tr r="AJ31" s="3"/>
      </tp>
      <tp t="b">
        <v>0</v>
        <stp/>
        <stp>##V3_BDHV12</stp>
        <stp>LAPQ8 Comdty</stp>
        <stp>Last Trade</stp>
        <stp>29/11/2017</stp>
        <stp>29/11/2017</stp>
        <stp>[BBG Class FINAL.xlsm]Ali vol!R31C34</stp>
        <tr r="AH31" s="3"/>
      </tp>
      <tp t="b">
        <v>0</v>
        <stp/>
        <stp>##V3_BDHV12</stp>
        <stp>LAOQ8 Comdty</stp>
        <stp>Last Trade</stp>
        <stp>29/11/2017</stp>
        <stp>29/11/2017</stp>
        <stp>[BBG Class FINAL.xlsm]Ali vol!R31C35</stp>
        <tr r="AI31" s="3"/>
      </tp>
      <tp t="b">
        <v>0</v>
        <stp/>
        <stp>##V3_BDHV12</stp>
        <stp>LACQ8 Comdty</stp>
        <stp>Last Trade</stp>
        <stp>29/11/2017</stp>
        <stp>29/11/2017</stp>
        <stp>[BBG Class FINAL.xlsm]Ali vol!R31C32</stp>
        <tr r="AF31" s="3"/>
      </tp>
      <tp t="b">
        <v>0</v>
        <stp/>
        <stp>##V3_BDHV12</stp>
        <stp>LAEQ8 Comdty</stp>
        <stp>Last Trade</stp>
        <stp>29/11/2017</stp>
        <stp>29/11/2017</stp>
        <stp>[BBG Class FINAL.xlsm]Ali vol!R31C33</stp>
        <tr r="AG31" s="3"/>
      </tp>
      <tp t="b">
        <v>0</v>
        <stp/>
        <stp>##V3_BDHV12</stp>
        <stp>LADQ8 Comdty</stp>
        <stp>Last Trade</stp>
        <stp>29/11/2017</stp>
        <stp>29/11/2017</stp>
        <stp>[BBG Class FINAL.xlsm]Ali vol!R31C31</stp>
        <tr r="AE31" s="3"/>
      </tp>
      <tp t="b">
        <v>0</v>
        <stp/>
        <stp>##V3_BDHV12</stp>
        <stp>LARQ8 Comdty</stp>
        <stp>Last Trade</stp>
        <stp>28/11/2017</stp>
        <stp>28/11/2017</stp>
        <stp>[BBG Class FINAL.xlsm]Ali vol!R32C36</stp>
        <tr r="AJ32" s="3"/>
      </tp>
      <tp t="b">
        <v>0</v>
        <stp/>
        <stp>##V3_BDHV12</stp>
        <stp>LAOQ8 Comdty</stp>
        <stp>Last Trade</stp>
        <stp>28/11/2017</stp>
        <stp>28/11/2017</stp>
        <stp>[BBG Class FINAL.xlsm]Ali vol!R32C35</stp>
        <tr r="AI32" s="3"/>
      </tp>
      <tp t="b">
        <v>0</v>
        <stp/>
        <stp>##V3_BDHV12</stp>
        <stp>LAPQ8 Comdty</stp>
        <stp>Last Trade</stp>
        <stp>28/11/2017</stp>
        <stp>28/11/2017</stp>
        <stp>[BBG Class FINAL.xlsm]Ali vol!R32C34</stp>
        <tr r="AH32" s="3"/>
      </tp>
      <tp t="b">
        <v>0</v>
        <stp/>
        <stp>##V3_BDHV12</stp>
        <stp>LAEQ8 Comdty</stp>
        <stp>Last Trade</stp>
        <stp>28/11/2017</stp>
        <stp>28/11/2017</stp>
        <stp>[BBG Class FINAL.xlsm]Ali vol!R32C33</stp>
        <tr r="AG32" s="3"/>
      </tp>
      <tp t="b">
        <v>0</v>
        <stp/>
        <stp>##V3_BDHV12</stp>
        <stp>LACQ8 Comdty</stp>
        <stp>Last Trade</stp>
        <stp>28/11/2017</stp>
        <stp>28/11/2017</stp>
        <stp>[BBG Class FINAL.xlsm]Ali vol!R32C32</stp>
        <tr r="AF32" s="3"/>
      </tp>
      <tp t="b">
        <v>0</v>
        <stp/>
        <stp>##V3_BDHV12</stp>
        <stp>LADQ8 Comdty</stp>
        <stp>Last Trade</stp>
        <stp>28/11/2017</stp>
        <stp>28/11/2017</stp>
        <stp>[BBG Class FINAL.xlsm]Ali vol!R32C31</stp>
        <tr r="AE32" s="3"/>
      </tp>
      <tp t="b">
        <v>0</v>
        <stp/>
        <stp>##V3_BDHV12</stp>
        <stp>LADQ8 Comdty</stp>
        <stp>Last Trade</stp>
        <stp>06/12/2017</stp>
        <stp>06/12/2017</stp>
        <stp>[BBG Class FINAL.xlsm]Ali vol!R26C31</stp>
        <tr r="AE26" s="3"/>
      </tp>
      <tp t="b">
        <v>0</v>
        <stp/>
        <stp>##V3_BDHV12</stp>
        <stp>LARQ8 Comdty</stp>
        <stp>Last Trade</stp>
        <stp>26/10/2017</stp>
        <stp>26/10/2017</stp>
        <stp>[BBG Class FINAL.xlsm]Ali vol!R55C36</stp>
        <tr r="AJ55" s="3"/>
      </tp>
      <tp t="b">
        <v>0</v>
        <stp/>
        <stp>##V3_BDHV12</stp>
        <stp>LACQ8 Comdty</stp>
        <stp>Last Trade</stp>
        <stp>06/12/2017</stp>
        <stp>06/12/2017</stp>
        <stp>[BBG Class FINAL.xlsm]Ali vol!R26C32</stp>
        <tr r="AF26" s="3"/>
      </tp>
      <tp t="b">
        <v>0</v>
        <stp/>
        <stp>##V3_BDHV12</stp>
        <stp>LAOQ8 Comdty</stp>
        <stp>Last Trade</stp>
        <stp>26/10/2017</stp>
        <stp>26/10/2017</stp>
        <stp>[BBG Class FINAL.xlsm]Ali vol!R55C35</stp>
        <tr r="AI55" s="3"/>
      </tp>
      <tp t="b">
        <v>0</v>
        <stp/>
        <stp>##V3_BDHV12</stp>
        <stp>LAEQ8 Comdty</stp>
        <stp>Last Trade</stp>
        <stp>06/12/2017</stp>
        <stp>06/12/2017</stp>
        <stp>[BBG Class FINAL.xlsm]Ali vol!R26C33</stp>
        <tr r="AG26" s="3"/>
      </tp>
      <tp t="b">
        <v>0</v>
        <stp/>
        <stp>##V3_BDHV12</stp>
        <stp>LAPQ8 Comdty</stp>
        <stp>Last Trade</stp>
        <stp>26/10/2017</stp>
        <stp>26/10/2017</stp>
        <stp>[BBG Class FINAL.xlsm]Ali vol!R55C34</stp>
        <tr r="AH55" s="3"/>
      </tp>
      <tp t="b">
        <v>0</v>
        <stp/>
        <stp>##V3_BDHV12</stp>
        <stp>LAEQ8 Comdty</stp>
        <stp>Last Trade</stp>
        <stp>26/10/2017</stp>
        <stp>26/10/2017</stp>
        <stp>[BBG Class FINAL.xlsm]Ali vol!R55C33</stp>
        <tr r="AG55" s="3"/>
      </tp>
      <tp t="b">
        <v>0</v>
        <stp/>
        <stp>##V3_BDHV12</stp>
        <stp>LAPQ8 Comdty</stp>
        <stp>Last Trade</stp>
        <stp>06/12/2017</stp>
        <stp>06/12/2017</stp>
        <stp>[BBG Class FINAL.xlsm]Ali vol!R26C34</stp>
        <tr r="AH26" s="3"/>
      </tp>
      <tp t="b">
        <v>0</v>
        <stp/>
        <stp>##V3_BDHV12</stp>
        <stp>LACQ8 Comdty</stp>
        <stp>Last Trade</stp>
        <stp>26/10/2017</stp>
        <stp>26/10/2017</stp>
        <stp>[BBG Class FINAL.xlsm]Ali vol!R55C32</stp>
        <tr r="AF55" s="3"/>
      </tp>
      <tp t="b">
        <v>0</v>
        <stp/>
        <stp>##V3_BDHV12</stp>
        <stp>LAOQ8 Comdty</stp>
        <stp>Last Trade</stp>
        <stp>06/12/2017</stp>
        <stp>06/12/2017</stp>
        <stp>[BBG Class FINAL.xlsm]Ali vol!R26C35</stp>
        <tr r="AI26" s="3"/>
      </tp>
      <tp t="b">
        <v>0</v>
        <stp/>
        <stp>##V3_BDHV12</stp>
        <stp>LADQ8 Comdty</stp>
        <stp>Last Trade</stp>
        <stp>26/10/2017</stp>
        <stp>26/10/2017</stp>
        <stp>[BBG Class FINAL.xlsm]Ali vol!R55C31</stp>
        <tr r="AE55" s="3"/>
      </tp>
      <tp t="b">
        <v>0</v>
        <stp/>
        <stp>##V3_BDHV12</stp>
        <stp>LARQ8 Comdty</stp>
        <stp>Last Trade</stp>
        <stp>06/12/2017</stp>
        <stp>06/12/2017</stp>
        <stp>[BBG Class FINAL.xlsm]Ali vol!R26C36</stp>
        <tr r="AJ26" s="3"/>
      </tp>
      <tp t="b">
        <v>0</v>
        <stp/>
        <stp>##V3_BDHV12</stp>
        <stp>LADQ8 Comdty</stp>
        <stp>Last Trade</stp>
        <stp>07/12/2017</stp>
        <stp>07/12/2017</stp>
        <stp>[BBG Class FINAL.xlsm]Ali vol!R25C31</stp>
        <tr r="AE25" s="3"/>
      </tp>
      <tp t="b">
        <v>0</v>
        <stp/>
        <stp>##V3_BDHV12</stp>
        <stp>LARQ8 Comdty</stp>
        <stp>Last Trade</stp>
        <stp>27/10/2017</stp>
        <stp>27/10/2017</stp>
        <stp>[BBG Class FINAL.xlsm]Ali vol!R54C36</stp>
        <tr r="AJ54" s="3"/>
      </tp>
      <tp t="b">
        <v>0</v>
        <stp/>
        <stp>##V3_BDHV12</stp>
        <stp>LAEQ8 Comdty</stp>
        <stp>Last Trade</stp>
        <stp>07/12/2017</stp>
        <stp>07/12/2017</stp>
        <stp>[BBG Class FINAL.xlsm]Ali vol!R25C33</stp>
        <tr r="AG25" s="3"/>
      </tp>
      <tp t="b">
        <v>0</v>
        <stp/>
        <stp>##V3_BDHV12</stp>
        <stp>LAPQ8 Comdty</stp>
        <stp>Last Trade</stp>
        <stp>27/10/2017</stp>
        <stp>27/10/2017</stp>
        <stp>[BBG Class FINAL.xlsm]Ali vol!R54C34</stp>
        <tr r="AH54" s="3"/>
      </tp>
      <tp t="b">
        <v>0</v>
        <stp/>
        <stp>##V3_BDHV12</stp>
        <stp>LACQ8 Comdty</stp>
        <stp>Last Trade</stp>
        <stp>07/12/2017</stp>
        <stp>07/12/2017</stp>
        <stp>[BBG Class FINAL.xlsm]Ali vol!R25C32</stp>
        <tr r="AF25" s="3"/>
      </tp>
      <tp t="b">
        <v>0</v>
        <stp/>
        <stp>##V3_BDHV12</stp>
        <stp>LAOQ8 Comdty</stp>
        <stp>Last Trade</stp>
        <stp>27/10/2017</stp>
        <stp>27/10/2017</stp>
        <stp>[BBG Class FINAL.xlsm]Ali vol!R54C35</stp>
        <tr r="AI54" s="3"/>
      </tp>
      <tp t="b">
        <v>0</v>
        <stp/>
        <stp>##V3_BDHV12</stp>
        <stp>LACQ8 Comdty</stp>
        <stp>Last Trade</stp>
        <stp>27/10/2017</stp>
        <stp>27/10/2017</stp>
        <stp>[BBG Class FINAL.xlsm]Ali vol!R54C32</stp>
        <tr r="AF54" s="3"/>
      </tp>
      <tp t="b">
        <v>0</v>
        <stp/>
        <stp>##V3_BDHV12</stp>
        <stp>LAOQ8 Comdty</stp>
        <stp>Last Trade</stp>
        <stp>07/12/2017</stp>
        <stp>07/12/2017</stp>
        <stp>[BBG Class FINAL.xlsm]Ali vol!R25C35</stp>
        <tr r="AI25" s="3"/>
      </tp>
      <tp t="b">
        <v>0</v>
        <stp/>
        <stp>##V3_BDHV12</stp>
        <stp>LAEQ8 Comdty</stp>
        <stp>Last Trade</stp>
        <stp>27/10/2017</stp>
        <stp>27/10/2017</stp>
        <stp>[BBG Class FINAL.xlsm]Ali vol!R54C33</stp>
        <tr r="AG54" s="3"/>
      </tp>
      <tp t="b">
        <v>0</v>
        <stp/>
        <stp>##V3_BDHV12</stp>
        <stp>LAPQ8 Comdty</stp>
        <stp>Last Trade</stp>
        <stp>07/12/2017</stp>
        <stp>07/12/2017</stp>
        <stp>[BBG Class FINAL.xlsm]Ali vol!R25C34</stp>
        <tr r="AH25" s="3"/>
      </tp>
      <tp t="b">
        <v>0</v>
        <stp/>
        <stp>##V3_BDHV12</stp>
        <stp>LADQ8 Comdty</stp>
        <stp>Last Trade</stp>
        <stp>27/10/2017</stp>
        <stp>27/10/2017</stp>
        <stp>[BBG Class FINAL.xlsm]Ali vol!R54C31</stp>
        <tr r="AE54" s="3"/>
      </tp>
      <tp t="b">
        <v>0</v>
        <stp/>
        <stp>##V3_BDHV12</stp>
        <stp>LARQ8 Comdty</stp>
        <stp>Last Trade</stp>
        <stp>07/12/2017</stp>
        <stp>07/12/2017</stp>
        <stp>[BBG Class FINAL.xlsm]Ali vol!R25C36</stp>
        <tr r="AJ25" s="3"/>
      </tp>
      <tp t="b">
        <v>0</v>
        <stp/>
        <stp>##V3_BDHV12</stp>
        <stp>LACQ8 Comdty</stp>
        <stp>Last Trade</stp>
        <stp>04/12/2017</stp>
        <stp>04/12/2017</stp>
        <stp>[BBG Class FINAL.xlsm]Ali vol!R28C32</stp>
        <tr r="AF28" s="3"/>
      </tp>
      <tp t="b">
        <v>0</v>
        <stp/>
        <stp>##V3_BDHV12</stp>
        <stp>LAOQ8 Comdty</stp>
        <stp>Last Trade</stp>
        <stp>24/10/2017</stp>
        <stp>24/10/2017</stp>
        <stp>[BBG Class FINAL.xlsm]Ali vol!R57C35</stp>
        <tr r="AI57" s="3"/>
      </tp>
      <tp t="b">
        <v>0</v>
        <stp/>
        <stp>##V3_BDHV12</stp>
        <stp>LAEQ8 Comdty</stp>
        <stp>Last Trade</stp>
        <stp>04/12/2017</stp>
        <stp>04/12/2017</stp>
        <stp>[BBG Class FINAL.xlsm]Ali vol!R28C33</stp>
        <tr r="AG28" s="3"/>
      </tp>
      <tp t="b">
        <v>0</v>
        <stp/>
        <stp>##V3_BDHV12</stp>
        <stp>LAPQ8 Comdty</stp>
        <stp>Last Trade</stp>
        <stp>24/10/2017</stp>
        <stp>24/10/2017</stp>
        <stp>[BBG Class FINAL.xlsm]Ali vol!R57C34</stp>
        <tr r="AH57" s="3"/>
      </tp>
      <tp t="b">
        <v>0</v>
        <stp/>
        <stp>##V3_BDHV12</stp>
        <stp>LADQ8 Comdty</stp>
        <stp>Last Trade</stp>
        <stp>04/12/2017</stp>
        <stp>04/12/2017</stp>
        <stp>[BBG Class FINAL.xlsm]Ali vol!R28C31</stp>
        <tr r="AE28" s="3"/>
      </tp>
      <tp t="b">
        <v>0</v>
        <stp/>
        <stp>##V3_BDHV12</stp>
        <stp>LARQ8 Comdty</stp>
        <stp>Last Trade</stp>
        <stp>24/10/2017</stp>
        <stp>24/10/2017</stp>
        <stp>[BBG Class FINAL.xlsm]Ali vol!R57C36</stp>
        <tr r="AJ57" s="3"/>
      </tp>
      <tp t="b">
        <v>0</v>
        <stp/>
        <stp>##V3_BDHV12</stp>
        <stp>LADQ8 Comdty</stp>
        <stp>Last Trade</stp>
        <stp>24/10/2017</stp>
        <stp>24/10/2017</stp>
        <stp>[BBG Class FINAL.xlsm]Ali vol!R57C31</stp>
        <tr r="AE57" s="3"/>
      </tp>
      <tp t="b">
        <v>0</v>
        <stp/>
        <stp>##V3_BDHV12</stp>
        <stp>LARQ8 Comdty</stp>
        <stp>Last Trade</stp>
        <stp>04/12/2017</stp>
        <stp>04/12/2017</stp>
        <stp>[BBG Class FINAL.xlsm]Ali vol!R28C36</stp>
        <tr r="AJ28" s="3"/>
      </tp>
      <tp t="b">
        <v>0</v>
        <stp/>
        <stp>##V3_BDHV12</stp>
        <stp>LAEQ8 Comdty</stp>
        <stp>Last Trade</stp>
        <stp>24/10/2017</stp>
        <stp>24/10/2017</stp>
        <stp>[BBG Class FINAL.xlsm]Ali vol!R57C33</stp>
        <tr r="AG57" s="3"/>
      </tp>
      <tp t="b">
        <v>0</v>
        <stp/>
        <stp>##V3_BDHV12</stp>
        <stp>LAPQ8 Comdty</stp>
        <stp>Last Trade</stp>
        <stp>04/12/2017</stp>
        <stp>04/12/2017</stp>
        <stp>[BBG Class FINAL.xlsm]Ali vol!R28C34</stp>
        <tr r="AH28" s="3"/>
      </tp>
      <tp t="b">
        <v>0</v>
        <stp/>
        <stp>##V3_BDHV12</stp>
        <stp>LAOQ8 Comdty</stp>
        <stp>Last Trade</stp>
        <stp>04/12/2017</stp>
        <stp>04/12/2017</stp>
        <stp>[BBG Class FINAL.xlsm]Ali vol!R28C35</stp>
        <tr r="AI28" s="3"/>
      </tp>
      <tp t="b">
        <v>0</v>
        <stp/>
        <stp>##V3_BDHV12</stp>
        <stp>LACQ8 Comdty</stp>
        <stp>Last Trade</stp>
        <stp>24/10/2017</stp>
        <stp>24/10/2017</stp>
        <stp>[BBG Class FINAL.xlsm]Ali vol!R57C32</stp>
        <tr r="AF57" s="3"/>
      </tp>
      <tp t="b">
        <v>0</v>
        <stp/>
        <stp>##V3_BDHV12</stp>
        <stp>LAEQ8 Comdty</stp>
        <stp>Last Trade</stp>
        <stp>05/12/2017</stp>
        <stp>05/12/2017</stp>
        <stp>[BBG Class FINAL.xlsm]Ali vol!R27C33</stp>
        <tr r="AG27" s="3"/>
      </tp>
      <tp t="b">
        <v>0</v>
        <stp/>
        <stp>##V3_BDHV12</stp>
        <stp>LAPQ8 Comdty</stp>
        <stp>Last Trade</stp>
        <stp>25/10/2017</stp>
        <stp>25/10/2017</stp>
        <stp>[BBG Class FINAL.xlsm]Ali vol!R56C34</stp>
        <tr r="AH56" s="3"/>
      </tp>
      <tp t="b">
        <v>0</v>
        <stp/>
        <stp>##V3_BDHV12</stp>
        <stp>LACQ8 Comdty</stp>
        <stp>Last Trade</stp>
        <stp>05/12/2017</stp>
        <stp>05/12/2017</stp>
        <stp>[BBG Class FINAL.xlsm]Ali vol!R27C32</stp>
        <tr r="AF27" s="3"/>
      </tp>
      <tp t="b">
        <v>0</v>
        <stp/>
        <stp>##V3_BDHV12</stp>
        <stp>LAOQ8 Comdty</stp>
        <stp>Last Trade</stp>
        <stp>25/10/2017</stp>
        <stp>25/10/2017</stp>
        <stp>[BBG Class FINAL.xlsm]Ali vol!R56C35</stp>
        <tr r="AI56" s="3"/>
      </tp>
      <tp t="b">
        <v>0</v>
        <stp/>
        <stp>##V3_BDHV12</stp>
        <stp>LADQ8 Comdty</stp>
        <stp>Last Trade</stp>
        <stp>05/12/2017</stp>
        <stp>05/12/2017</stp>
        <stp>[BBG Class FINAL.xlsm]Ali vol!R27C31</stp>
        <tr r="AE27" s="3"/>
      </tp>
      <tp t="b">
        <v>0</v>
        <stp/>
        <stp>##V3_BDHV12</stp>
        <stp>LARQ8 Comdty</stp>
        <stp>Last Trade</stp>
        <stp>25/10/2017</stp>
        <stp>25/10/2017</stp>
        <stp>[BBG Class FINAL.xlsm]Ali vol!R56C36</stp>
        <tr r="AJ56" s="3"/>
      </tp>
      <tp t="b">
        <v>0</v>
        <stp/>
        <stp>##V3_BDHV12</stp>
        <stp>LADQ8 Comdty</stp>
        <stp>Last Trade</stp>
        <stp>25/10/2017</stp>
        <stp>25/10/2017</stp>
        <stp>[BBG Class FINAL.xlsm]Ali vol!R56C31</stp>
        <tr r="AE56" s="3"/>
      </tp>
      <tp t="b">
        <v>0</v>
        <stp/>
        <stp>##V3_BDHV12</stp>
        <stp>LARQ8 Comdty</stp>
        <stp>Last Trade</stp>
        <stp>05/12/2017</stp>
        <stp>05/12/2017</stp>
        <stp>[BBG Class FINAL.xlsm]Ali vol!R27C36</stp>
        <tr r="AJ27" s="3"/>
      </tp>
      <tp t="b">
        <v>0</v>
        <stp/>
        <stp>##V3_BDHV12</stp>
        <stp>LACQ8 Comdty</stp>
        <stp>Last Trade</stp>
        <stp>25/10/2017</stp>
        <stp>25/10/2017</stp>
        <stp>[BBG Class FINAL.xlsm]Ali vol!R56C32</stp>
        <tr r="AF56" s="3"/>
      </tp>
      <tp t="b">
        <v>0</v>
        <stp/>
        <stp>##V3_BDHV12</stp>
        <stp>LAOQ8 Comdty</stp>
        <stp>Last Trade</stp>
        <stp>05/12/2017</stp>
        <stp>05/12/2017</stp>
        <stp>[BBG Class FINAL.xlsm]Ali vol!R27C35</stp>
        <tr r="AI27" s="3"/>
      </tp>
      <tp t="b">
        <v>0</v>
        <stp/>
        <stp>##V3_BDHV12</stp>
        <stp>LAEQ8 Comdty</stp>
        <stp>Last Trade</stp>
        <stp>25/10/2017</stp>
        <stp>25/10/2017</stp>
        <stp>[BBG Class FINAL.xlsm]Ali vol!R56C33</stp>
        <tr r="AG56" s="3"/>
      </tp>
      <tp t="b">
        <v>0</v>
        <stp/>
        <stp>##V3_BDHV12</stp>
        <stp>LAPQ8 Comdty</stp>
        <stp>Last Trade</stp>
        <stp>05/12/2017</stp>
        <stp>05/12/2017</stp>
        <stp>[BBG Class FINAL.xlsm]Ali vol!R27C34</stp>
        <tr r="AH27" s="3"/>
      </tp>
      <tp t="b">
        <v>0</v>
        <stp/>
        <stp>##V3_BDHV12</stp>
        <stp>LACQ8 Comdty</stp>
        <stp>Last Trade</stp>
        <stp>23/10/2017</stp>
        <stp>23/10/2017</stp>
        <stp>[BBG Class FINAL.xlsm]Ali vol!R58C32</stp>
        <tr r="AF58" s="3"/>
      </tp>
      <tp t="b">
        <v>0</v>
        <stp/>
        <stp>##V3_BDHV12</stp>
        <stp>LAEQ8 Comdty</stp>
        <stp>Last Trade</stp>
        <stp>23/10/2017</stp>
        <stp>23/10/2017</stp>
        <stp>[BBG Class FINAL.xlsm]Ali vol!R58C33</stp>
        <tr r="AG58" s="3"/>
      </tp>
      <tp t="b">
        <v>0</v>
        <stp/>
        <stp>##V3_BDHV12</stp>
        <stp>LADQ8 Comdty</stp>
        <stp>Last Trade</stp>
        <stp>23/10/2017</stp>
        <stp>23/10/2017</stp>
        <stp>[BBG Class FINAL.xlsm]Ali vol!R58C31</stp>
        <tr r="AE58" s="3"/>
      </tp>
      <tp t="b">
        <v>0</v>
        <stp/>
        <stp>##V3_BDHV12</stp>
        <stp>LARQ8 Comdty</stp>
        <stp>Last Trade</stp>
        <stp>23/10/2017</stp>
        <stp>23/10/2017</stp>
        <stp>[BBG Class FINAL.xlsm]Ali vol!R58C36</stp>
        <tr r="AJ58" s="3"/>
      </tp>
      <tp t="b">
        <v>0</v>
        <stp/>
        <stp>##V3_BDHV12</stp>
        <stp>LAPQ8 Comdty</stp>
        <stp>Last Trade</stp>
        <stp>23/10/2017</stp>
        <stp>23/10/2017</stp>
        <stp>[BBG Class FINAL.xlsm]Ali vol!R58C34</stp>
        <tr r="AH58" s="3"/>
      </tp>
      <tp t="b">
        <v>0</v>
        <stp/>
        <stp>##V3_BDHV12</stp>
        <stp>LAOQ8 Comdty</stp>
        <stp>Last Trade</stp>
        <stp>23/10/2017</stp>
        <stp>23/10/2017</stp>
        <stp>[BBG Class FINAL.xlsm]Ali vol!R58C35</stp>
        <tr r="AI58" s="3"/>
      </tp>
      <tp t="b">
        <v>0</v>
        <stp/>
        <stp>##V3_BDHV12</stp>
        <stp>LADQ8 Comdty</stp>
        <stp>Last Trade</stp>
        <stp>20/10/2017</stp>
        <stp>20/10/2017</stp>
        <stp>[BBG Class FINAL.xlsm]Ali vol!R59C31</stp>
        <tr r="AE59" s="3"/>
      </tp>
      <tp t="b">
        <v>0</v>
        <stp/>
        <stp>##V3_BDHV12</stp>
        <stp>LARQ8 Comdty</stp>
        <stp>Last Trade</stp>
        <stp>30/11/2017</stp>
        <stp>30/11/2017</stp>
        <stp>[BBG Class FINAL.xlsm]Ali vol!R30C36</stp>
        <tr r="AJ30" s="3"/>
      </tp>
      <tp t="b">
        <v>0</v>
        <stp/>
        <stp>##V3_BDHV12</stp>
        <stp>LAOQ8 Comdty</stp>
        <stp>Last Trade</stp>
        <stp>30/11/2017</stp>
        <stp>30/11/2017</stp>
        <stp>[BBG Class FINAL.xlsm]Ali vol!R30C35</stp>
        <tr r="AI30" s="3"/>
      </tp>
      <tp t="b">
        <v>0</v>
        <stp/>
        <stp>##V3_BDHV12</stp>
        <stp>LAEQ8 Comdty</stp>
        <stp>Last Trade</stp>
        <stp>20/10/2017</stp>
        <stp>20/10/2017</stp>
        <stp>[BBG Class FINAL.xlsm]Ali vol!R59C33</stp>
        <tr r="AG59" s="3"/>
      </tp>
      <tp t="b">
        <v>0</v>
        <stp/>
        <stp>##V3_BDHV12</stp>
        <stp>LACQ8 Comdty</stp>
        <stp>Last Trade</stp>
        <stp>20/10/2017</stp>
        <stp>20/10/2017</stp>
        <stp>[BBG Class FINAL.xlsm]Ali vol!R59C32</stp>
        <tr r="AF59" s="3"/>
      </tp>
      <tp t="b">
        <v>0</v>
        <stp/>
        <stp>##V3_BDHV12</stp>
        <stp>LAPQ8 Comdty</stp>
        <stp>Last Trade</stp>
        <stp>30/11/2017</stp>
        <stp>30/11/2017</stp>
        <stp>[BBG Class FINAL.xlsm]Ali vol!R30C34</stp>
        <tr r="AH30" s="3"/>
      </tp>
      <tp t="b">
        <v>0</v>
        <stp/>
        <stp>##V3_BDHV12</stp>
        <stp>LAOQ8 Comdty</stp>
        <stp>Last Trade</stp>
        <stp>20/10/2017</stp>
        <stp>20/10/2017</stp>
        <stp>[BBG Class FINAL.xlsm]Ali vol!R59C35</stp>
        <tr r="AI59" s="3"/>
      </tp>
      <tp t="b">
        <v>0</v>
        <stp/>
        <stp>##V3_BDHV12</stp>
        <stp>LAEQ8 Comdty</stp>
        <stp>Last Trade</stp>
        <stp>30/11/2017</stp>
        <stp>30/11/2017</stp>
        <stp>[BBG Class FINAL.xlsm]Ali vol!R30C33</stp>
        <tr r="AG30" s="3"/>
      </tp>
      <tp t="b">
        <v>0</v>
        <stp/>
        <stp>##V3_BDHV12</stp>
        <stp>LACQ8 Comdty</stp>
        <stp>Last Trade</stp>
        <stp>30/11/2017</stp>
        <stp>30/11/2017</stp>
        <stp>[BBG Class FINAL.xlsm]Ali vol!R30C32</stp>
        <tr r="AF30" s="3"/>
      </tp>
      <tp t="b">
        <v>0</v>
        <stp/>
        <stp>##V3_BDHV12</stp>
        <stp>LAPQ8 Comdty</stp>
        <stp>Last Trade</stp>
        <stp>20/10/2017</stp>
        <stp>20/10/2017</stp>
        <stp>[BBG Class FINAL.xlsm]Ali vol!R59C34</stp>
        <tr r="AH59" s="3"/>
      </tp>
      <tp t="b">
        <v>0</v>
        <stp/>
        <stp>##V3_BDHV12</stp>
        <stp>LADQ8 Comdty</stp>
        <stp>Last Trade</stp>
        <stp>30/11/2017</stp>
        <stp>30/11/2017</stp>
        <stp>[BBG Class FINAL.xlsm]Ali vol!R30C31</stp>
        <tr r="AE30" s="3"/>
      </tp>
      <tp t="b">
        <v>0</v>
        <stp/>
        <stp>##V3_BDHV12</stp>
        <stp>LARQ8 Comdty</stp>
        <stp>Last Trade</stp>
        <stp>20/10/2017</stp>
        <stp>20/10/2017</stp>
        <stp>[BBG Class FINAL.xlsm]Ali vol!R59C36</stp>
        <tr r="AJ59" s="3"/>
      </tp>
      <tp t="b">
        <v>0</v>
        <stp/>
        <stp>##V3_BDHV12</stp>
        <stp>LARQ8 Comdty</stp>
        <stp>Last Trade</stp>
        <stp>01/12/2017</stp>
        <stp>01/12/2017</stp>
        <stp>[BBG Class FINAL.xlsm]Ali vol!R29C36</stp>
        <tr r="AJ29" s="3"/>
      </tp>
      <tp t="b">
        <v>0</v>
        <stp/>
        <stp>##V3_BDHV12</stp>
        <stp>LAOQ8 Comdty</stp>
        <stp>Last Trade</stp>
        <stp>01/12/2017</stp>
        <stp>01/12/2017</stp>
        <stp>[BBG Class FINAL.xlsm]Ali vol!R29C35</stp>
        <tr r="AI29" s="3"/>
      </tp>
      <tp t="b">
        <v>0</v>
        <stp/>
        <stp>##V3_BDHV12</stp>
        <stp>LAPQ8 Comdty</stp>
        <stp>Last Trade</stp>
        <stp>01/12/2017</stp>
        <stp>01/12/2017</stp>
        <stp>[BBG Class FINAL.xlsm]Ali vol!R29C34</stp>
        <tr r="AH29" s="3"/>
      </tp>
      <tp t="b">
        <v>0</v>
        <stp/>
        <stp>##V3_BDHV12</stp>
        <stp>LAEQ8 Comdty</stp>
        <stp>Last Trade</stp>
        <stp>01/12/2017</stp>
        <stp>01/12/2017</stp>
        <stp>[BBG Class FINAL.xlsm]Ali vol!R29C33</stp>
        <tr r="AG29" s="3"/>
      </tp>
      <tp t="b">
        <v>0</v>
        <stp/>
        <stp>##V3_BDHV12</stp>
        <stp>LACQ8 Comdty</stp>
        <stp>Last Trade</stp>
        <stp>01/12/2017</stp>
        <stp>01/12/2017</stp>
        <stp>[BBG Class FINAL.xlsm]Ali vol!R29C32</stp>
        <tr r="AF29" s="3"/>
      </tp>
      <tp t="b">
        <v>0</v>
        <stp/>
        <stp>##V3_BDHV12</stp>
        <stp>LADQ8 Comdty</stp>
        <stp>Last Trade</stp>
        <stp>01/12/2017</stp>
        <stp>01/12/2017</stp>
        <stp>[BBG Class FINAL.xlsm]Ali vol!R29C31</stp>
        <tr r="AE29" s="3"/>
      </tp>
      <tp t="b">
        <v>0</v>
        <stp/>
        <stp>##V3_BDHV12</stp>
        <stp>LARQ8 Comdty</stp>
        <stp>Last Trade</stp>
        <stp>08/12/2017</stp>
        <stp>08/12/2017</stp>
        <stp>[BBG Class FINAL.xlsm]Ali vol!R24C36</stp>
        <tr r="AJ24" s="3"/>
      </tp>
      <tp t="b">
        <v>0</v>
        <stp/>
        <stp>##V3_BDHV12</stp>
        <stp>LAPQ8 Comdty</stp>
        <stp>Last Trade</stp>
        <stp>08/12/2017</stp>
        <stp>08/12/2017</stp>
        <stp>[BBG Class FINAL.xlsm]Ali vol!R24C34</stp>
        <tr r="AH24" s="3"/>
      </tp>
      <tp t="b">
        <v>0</v>
        <stp/>
        <stp>##V3_BDHV12</stp>
        <stp>LAOQ8 Comdty</stp>
        <stp>Last Trade</stp>
        <stp>08/12/2017</stp>
        <stp>08/12/2017</stp>
        <stp>[BBG Class FINAL.xlsm]Ali vol!R24C35</stp>
        <tr r="AI24" s="3"/>
      </tp>
      <tp t="b">
        <v>0</v>
        <stp/>
        <stp>##V3_BDHV12</stp>
        <stp>LACQ8 Comdty</stp>
        <stp>Last Trade</stp>
        <stp>08/12/2017</stp>
        <stp>08/12/2017</stp>
        <stp>[BBG Class FINAL.xlsm]Ali vol!R24C32</stp>
        <tr r="AF24" s="3"/>
      </tp>
      <tp t="b">
        <v>0</v>
        <stp/>
        <stp>##V3_BDHV12</stp>
        <stp>LAEQ8 Comdty</stp>
        <stp>Last Trade</stp>
        <stp>08/12/2017</stp>
        <stp>08/12/2017</stp>
        <stp>[BBG Class FINAL.xlsm]Ali vol!R24C33</stp>
        <tr r="AG24" s="3"/>
      </tp>
      <tp t="b">
        <v>0</v>
        <stp/>
        <stp>##V3_BDHV12</stp>
        <stp>LADQ8 Comdty</stp>
        <stp>Last Trade</stp>
        <stp>08/12/2017</stp>
        <stp>08/12/2017</stp>
        <stp>[BBG Class FINAL.xlsm]Ali vol!R24C31</stp>
        <tr r="AE24" s="3"/>
      </tp>
      <tp t="b">
        <v>0</v>
        <stp/>
        <stp>##V3_BDHV12</stp>
        <stp>LAOQ8 Comdty</stp>
        <stp>Last Trade</stp>
        <stp>17/10/2017</stp>
        <stp>17/10/2017</stp>
        <stp>[BBG Class FINAL.xlsm]Ali vol!R62C35</stp>
        <tr r="AI62" s="3"/>
      </tp>
      <tp t="b">
        <v>0</v>
        <stp/>
        <stp>##V3_BDHV12</stp>
        <stp>LARQ8 Comdty</stp>
        <stp>Last Trade</stp>
        <stp>07/11/2017</stp>
        <stp>07/11/2017</stp>
        <stp>[BBG Class FINAL.xlsm]Ali vol!R47C36</stp>
        <tr r="AJ47" s="3"/>
      </tp>
      <tp t="b">
        <v>0</v>
        <stp/>
        <stp>##V3_BDHV12</stp>
        <stp>LAPQ8 Comdty</stp>
        <stp>Last Trade</stp>
        <stp>17/10/2017</stp>
        <stp>17/10/2017</stp>
        <stp>[BBG Class FINAL.xlsm]Ali vol!R62C34</stp>
        <tr r="AH62" s="3"/>
      </tp>
      <tp t="b">
        <v>0</v>
        <stp/>
        <stp>##V3_BDHV12</stp>
        <stp>LAOQ8 Comdty</stp>
        <stp>Last Trade</stp>
        <stp>07/11/2017</stp>
        <stp>07/11/2017</stp>
        <stp>[BBG Class FINAL.xlsm]Ali vol!R47C35</stp>
        <tr r="AI47" s="3"/>
      </tp>
      <tp t="b">
        <v>0</v>
        <stp/>
        <stp>##V3_BDHV12</stp>
        <stp>LAPQ8 Comdty</stp>
        <stp>Last Trade</stp>
        <stp>07/11/2017</stp>
        <stp>07/11/2017</stp>
        <stp>[BBG Class FINAL.xlsm]Ali vol!R47C34</stp>
        <tr r="AH47" s="3"/>
      </tp>
      <tp t="b">
        <v>0</v>
        <stp/>
        <stp>##V3_BDHV12</stp>
        <stp>LARQ8 Comdty</stp>
        <stp>Last Trade</stp>
        <stp>17/10/2017</stp>
        <stp>17/10/2017</stp>
        <stp>[BBG Class FINAL.xlsm]Ali vol!R62C36</stp>
        <tr r="AJ62" s="3"/>
      </tp>
      <tp t="b">
        <v>0</v>
        <stp/>
        <stp>##V3_BDHV12</stp>
        <stp>LADQ8 Comdty</stp>
        <stp>Last Trade</stp>
        <stp>17/10/2017</stp>
        <stp>17/10/2017</stp>
        <stp>[BBG Class FINAL.xlsm]Ali vol!R62C31</stp>
        <tr r="AE62" s="3"/>
      </tp>
      <tp t="b">
        <v>0</v>
        <stp/>
        <stp>##V3_BDHV12</stp>
        <stp>LAEQ8 Comdty</stp>
        <stp>Last Trade</stp>
        <stp>07/11/2017</stp>
        <stp>07/11/2017</stp>
        <stp>[BBG Class FINAL.xlsm]Ali vol!R47C33</stp>
        <tr r="AG47" s="3"/>
      </tp>
      <tp t="b">
        <v>0</v>
        <stp/>
        <stp>##V3_BDHV12</stp>
        <stp>LACQ8 Comdty</stp>
        <stp>Last Trade</stp>
        <stp>07/11/2017</stp>
        <stp>07/11/2017</stp>
        <stp>[BBG Class FINAL.xlsm]Ali vol!R47C32</stp>
        <tr r="AF47" s="3"/>
      </tp>
      <tp t="b">
        <v>0</v>
        <stp/>
        <stp>##V3_BDHV12</stp>
        <stp>LAEQ8 Comdty</stp>
        <stp>Last Trade</stp>
        <stp>17/10/2017</stp>
        <stp>17/10/2017</stp>
        <stp>[BBG Class FINAL.xlsm]Ali vol!R62C33</stp>
        <tr r="AG62" s="3"/>
      </tp>
      <tp t="b">
        <v>0</v>
        <stp/>
        <stp>##V3_BDHV12</stp>
        <stp>LADQ8 Comdty</stp>
        <stp>Last Trade</stp>
        <stp>07/11/2017</stp>
        <stp>07/11/2017</stp>
        <stp>[BBG Class FINAL.xlsm]Ali vol!R47C31</stp>
        <tr r="AE47" s="3"/>
      </tp>
      <tp t="b">
        <v>0</v>
        <stp/>
        <stp>##V3_BDHV12</stp>
        <stp>LACQ8 Comdty</stp>
        <stp>Last Trade</stp>
        <stp>17/10/2017</stp>
        <stp>17/10/2017</stp>
        <stp>[BBG Class FINAL.xlsm]Ali vol!R62C32</stp>
        <tr r="AF62" s="3"/>
      </tp>
      <tp t="b">
        <v>0</v>
        <stp/>
        <stp>##V3_BDHV12</stp>
        <stp>LAPQ8 Comdty</stp>
        <stp>Last Trade</stp>
        <stp>16/10/2017</stp>
        <stp>16/10/2017</stp>
        <stp>[BBG Class FINAL.xlsm]Ali vol!R63C34</stp>
        <tr r="AH63" s="3"/>
      </tp>
      <tp t="b">
        <v>0</v>
        <stp/>
        <stp>##V3_BDHV12</stp>
        <stp>LARQ8 Comdty</stp>
        <stp>Last Trade</stp>
        <stp>06/11/2017</stp>
        <stp>06/11/2017</stp>
        <stp>[BBG Class FINAL.xlsm]Ali vol!R48C36</stp>
        <tr r="AJ48" s="3"/>
      </tp>
      <tp t="b">
        <v>0</v>
        <stp/>
        <stp>##V3_BDHV12</stp>
        <stp>LAOQ8 Comdty</stp>
        <stp>Last Trade</stp>
        <stp>16/10/2017</stp>
        <stp>16/10/2017</stp>
        <stp>[BBG Class FINAL.xlsm]Ali vol!R63C35</stp>
        <tr r="AI63" s="3"/>
      </tp>
      <tp t="b">
        <v>0</v>
        <stp/>
        <stp>##V3_BDHV12</stp>
        <stp>LARQ8 Comdty</stp>
        <stp>Last Trade</stp>
        <stp>16/10/2017</stp>
        <stp>16/10/2017</stp>
        <stp>[BBG Class FINAL.xlsm]Ali vol!R63C36</stp>
        <tr r="AJ63" s="3"/>
      </tp>
      <tp t="b">
        <v>0</v>
        <stp/>
        <stp>##V3_BDHV12</stp>
        <stp>LAPQ8 Comdty</stp>
        <stp>Last Trade</stp>
        <stp>06/11/2017</stp>
        <stp>06/11/2017</stp>
        <stp>[BBG Class FINAL.xlsm]Ali vol!R48C34</stp>
        <tr r="AH48" s="3"/>
      </tp>
      <tp t="b">
        <v>0</v>
        <stp/>
        <stp>##V3_BDHV12</stp>
        <stp>LAOQ8 Comdty</stp>
        <stp>Last Trade</stp>
        <stp>06/11/2017</stp>
        <stp>06/11/2017</stp>
        <stp>[BBG Class FINAL.xlsm]Ali vol!R48C35</stp>
        <tr r="AI48" s="3"/>
      </tp>
      <tp t="b">
        <v>0</v>
        <stp/>
        <stp>##V3_BDHV12</stp>
        <stp>LACQ8 Comdty</stp>
        <stp>Last Trade</stp>
        <stp>06/11/2017</stp>
        <stp>06/11/2017</stp>
        <stp>[BBG Class FINAL.xlsm]Ali vol!R48C32</stp>
        <tr r="AF48" s="3"/>
      </tp>
      <tp t="b">
        <v>0</v>
        <stp/>
        <stp>##V3_BDHV12</stp>
        <stp>LADQ8 Comdty</stp>
        <stp>Last Trade</stp>
        <stp>16/10/2017</stp>
        <stp>16/10/2017</stp>
        <stp>[BBG Class FINAL.xlsm]Ali vol!R63C31</stp>
        <tr r="AE63" s="3"/>
      </tp>
      <tp t="b">
        <v>0</v>
        <stp/>
        <stp>##V3_BDHV12</stp>
        <stp>LAEQ8 Comdty</stp>
        <stp>Last Trade</stp>
        <stp>06/11/2017</stp>
        <stp>06/11/2017</stp>
        <stp>[BBG Class FINAL.xlsm]Ali vol!R48C33</stp>
        <tr r="AG48" s="3"/>
      </tp>
      <tp t="b">
        <v>0</v>
        <stp/>
        <stp>##V3_BDHV12</stp>
        <stp>LACQ8 Comdty</stp>
        <stp>Last Trade</stp>
        <stp>16/10/2017</stp>
        <stp>16/10/2017</stp>
        <stp>[BBG Class FINAL.xlsm]Ali vol!R63C32</stp>
        <tr r="AF63" s="3"/>
      </tp>
      <tp t="b">
        <v>0</v>
        <stp/>
        <stp>##V3_BDHV12</stp>
        <stp>LAEQ8 Comdty</stp>
        <stp>Last Trade</stp>
        <stp>16/10/2017</stp>
        <stp>16/10/2017</stp>
        <stp>[BBG Class FINAL.xlsm]Ali vol!R63C33</stp>
        <tr r="AG63" s="3"/>
      </tp>
      <tp t="b">
        <v>0</v>
        <stp/>
        <stp>##V3_BDHV12</stp>
        <stp>LADQ8 Comdty</stp>
        <stp>Last Trade</stp>
        <stp>06/11/2017</stp>
        <stp>06/11/2017</stp>
        <stp>[BBG Class FINAL.xlsm]Ali vol!R48C31</stp>
        <tr r="AE48" s="3"/>
      </tp>
      <tp t="b">
        <v>0</v>
        <stp/>
        <stp>##V3_BDHV12</stp>
        <stp>LAEQ8 Comdty</stp>
        <stp>Last Trade</stp>
        <stp>11/10/2017</stp>
        <stp>11/10/2017</stp>
        <stp>[BBG Class FINAL.xlsm]Ali vol!R66C33</stp>
        <tr r="AG66" s="3"/>
      </tp>
      <tp t="b">
        <v>0</v>
        <stp/>
        <stp>##V3_BDHV12</stp>
        <stp>LACQ8 Comdty</stp>
        <stp>Last Trade</stp>
        <stp>11/10/2017</stp>
        <stp>11/10/2017</stp>
        <stp>[BBG Class FINAL.xlsm]Ali vol!R66C32</stp>
        <tr r="AF66" s="3"/>
      </tp>
      <tp t="b">
        <v>0</v>
        <stp/>
        <stp>##V3_BDHV12</stp>
        <stp>LADQ8 Comdty</stp>
        <stp>Last Trade</stp>
        <stp>01/11/2017</stp>
        <stp>01/11/2017</stp>
        <stp>[BBG Class FINAL.xlsm]Ali vol!R51C31</stp>
        <tr r="AE51" s="3"/>
      </tp>
      <tp t="b">
        <v>0</v>
        <stp/>
        <stp>##V3_BDHV12</stp>
        <stp>LACQ8 Comdty</stp>
        <stp>Last Trade</stp>
        <stp>01/11/2017</stp>
        <stp>01/11/2017</stp>
        <stp>[BBG Class FINAL.xlsm]Ali vol!R51C32</stp>
        <tr r="AF51" s="3"/>
      </tp>
      <tp t="b">
        <v>0</v>
        <stp/>
        <stp>##V3_BDHV12</stp>
        <stp>LADQ8 Comdty</stp>
        <stp>Last Trade</stp>
        <stp>11/10/2017</stp>
        <stp>11/10/2017</stp>
        <stp>[BBG Class FINAL.xlsm]Ali vol!R66C31</stp>
        <tr r="AE66" s="3"/>
      </tp>
      <tp t="b">
        <v>0</v>
        <stp/>
        <stp>##V3_BDHV12</stp>
        <stp>LAEQ8 Comdty</stp>
        <stp>Last Trade</stp>
        <stp>01/11/2017</stp>
        <stp>01/11/2017</stp>
        <stp>[BBG Class FINAL.xlsm]Ali vol!R51C33</stp>
        <tr r="AG51" s="3"/>
      </tp>
      <tp t="b">
        <v>0</v>
        <stp/>
        <stp>##V3_BDHV12</stp>
        <stp>LAPQ8 Comdty</stp>
        <stp>Last Trade</stp>
        <stp>01/11/2017</stp>
        <stp>01/11/2017</stp>
        <stp>[BBG Class FINAL.xlsm]Ali vol!R51C34</stp>
        <tr r="AH51" s="3"/>
      </tp>
      <tp t="b">
        <v>0</v>
        <stp/>
        <stp>##V3_BDHV12</stp>
        <stp>LAOQ8 Comdty</stp>
        <stp>Last Trade</stp>
        <stp>01/11/2017</stp>
        <stp>01/11/2017</stp>
        <stp>[BBG Class FINAL.xlsm]Ali vol!R51C35</stp>
        <tr r="AI51" s="3"/>
      </tp>
      <tp t="b">
        <v>0</v>
        <stp/>
        <stp>##V3_BDHV12</stp>
        <stp>LARQ8 Comdty</stp>
        <stp>Last Trade</stp>
        <stp>11/10/2017</stp>
        <stp>11/10/2017</stp>
        <stp>[BBG Class FINAL.xlsm]Ali vol!R66C36</stp>
        <tr r="AJ66" s="3"/>
      </tp>
      <tp t="b">
        <v>0</v>
        <stp/>
        <stp>##V3_BDHV12</stp>
        <stp>LAOQ8 Comdty</stp>
        <stp>Last Trade</stp>
        <stp>11/10/2017</stp>
        <stp>11/10/2017</stp>
        <stp>[BBG Class FINAL.xlsm]Ali vol!R66C35</stp>
        <tr r="AI66" s="3"/>
      </tp>
      <tp t="b">
        <v>0</v>
        <stp/>
        <stp>##V3_BDHV12</stp>
        <stp>LARQ8 Comdty</stp>
        <stp>Last Trade</stp>
        <stp>01/11/2017</stp>
        <stp>01/11/2017</stp>
        <stp>[BBG Class FINAL.xlsm]Ali vol!R51C36</stp>
        <tr r="AJ51" s="3"/>
      </tp>
      <tp t="b">
        <v>0</v>
        <stp/>
        <stp>##V3_BDHV12</stp>
        <stp>LAPQ8 Comdty</stp>
        <stp>Last Trade</stp>
        <stp>11/10/2017</stp>
        <stp>11/10/2017</stp>
        <stp>[BBG Class FINAL.xlsm]Ali vol!R66C34</stp>
        <tr r="AH66" s="3"/>
      </tp>
      <tp t="b">
        <v>0</v>
        <stp/>
        <stp>##V3_BDHV12</stp>
        <stp>LACQ8 Comdty</stp>
        <stp>Last Trade</stp>
        <stp>10/10/2017</stp>
        <stp>10/10/2017</stp>
        <stp>[BBG Class FINAL.xlsm]Ali vol!R67C32</stp>
        <tr r="AF67" s="3"/>
      </tp>
      <tp t="b">
        <v>0</v>
        <stp/>
        <stp>##V3_BDHV12</stp>
        <stp>LAEQ8 Comdty</stp>
        <stp>Last Trade</stp>
        <stp>10/10/2017</stp>
        <stp>10/10/2017</stp>
        <stp>[BBG Class FINAL.xlsm]Ali vol!R67C33</stp>
        <tr r="AG67" s="3"/>
      </tp>
      <tp t="b">
        <v>0</v>
        <stp/>
        <stp>##V3_BDHV12</stp>
        <stp>LADQ8 Comdty</stp>
        <stp>Last Trade</stp>
        <stp>10/10/2017</stp>
        <stp>10/10/2017</stp>
        <stp>[BBG Class FINAL.xlsm]Ali vol!R67C31</stp>
        <tr r="AE67" s="3"/>
      </tp>
      <tp t="b">
        <v>0</v>
        <stp/>
        <stp>##V3_BDHV12</stp>
        <stp>LARQ8 Comdty</stp>
        <stp>Last Trade</stp>
        <stp>10/10/2017</stp>
        <stp>10/10/2017</stp>
        <stp>[BBG Class FINAL.xlsm]Ali vol!R67C36</stp>
        <tr r="AJ67" s="3"/>
      </tp>
      <tp t="b">
        <v>0</v>
        <stp/>
        <stp>##V3_BDHV12</stp>
        <stp>LAPQ8 Comdty</stp>
        <stp>Last Trade</stp>
        <stp>10/10/2017</stp>
        <stp>10/10/2017</stp>
        <stp>[BBG Class FINAL.xlsm]Ali vol!R67C34</stp>
        <tr r="AH67" s="3"/>
      </tp>
      <tp t="b">
        <v>0</v>
        <stp/>
        <stp>##V3_BDHV12</stp>
        <stp>LAOQ8 Comdty</stp>
        <stp>Last Trade</stp>
        <stp>10/10/2017</stp>
        <stp>10/10/2017</stp>
        <stp>[BBG Class FINAL.xlsm]Ali vol!R67C35</stp>
        <tr r="AI67" s="3"/>
      </tp>
      <tp t="b">
        <v>0</v>
        <stp/>
        <stp>##V3_BDHV12</stp>
        <stp>LADQ8 Comdty</stp>
        <stp>Last Trade</stp>
        <stp>13/10/2017</stp>
        <stp>13/10/2017</stp>
        <stp>[BBG Class FINAL.xlsm]Ali vol!R64C31</stp>
        <tr r="AE64" s="3"/>
      </tp>
      <tp t="b">
        <v>0</v>
        <stp/>
        <stp>##V3_BDHV12</stp>
        <stp>LAEQ8 Comdty</stp>
        <stp>Last Trade</stp>
        <stp>03/11/2017</stp>
        <stp>03/11/2017</stp>
        <stp>[BBG Class FINAL.xlsm]Ali vol!R49C33</stp>
        <tr r="AG49" s="3"/>
      </tp>
      <tp t="b">
        <v>0</v>
        <stp/>
        <stp>##V3_BDHV12</stp>
        <stp>LACQ8 Comdty</stp>
        <stp>Last Trade</stp>
        <stp>03/11/2017</stp>
        <stp>03/11/2017</stp>
        <stp>[BBG Class FINAL.xlsm]Ali vol!R49C32</stp>
        <tr r="AF49" s="3"/>
      </tp>
      <tp t="b">
        <v>0</v>
        <stp/>
        <stp>##V3_BDHV12</stp>
        <stp>LAEQ8 Comdty</stp>
        <stp>Last Trade</stp>
        <stp>13/10/2017</stp>
        <stp>13/10/2017</stp>
        <stp>[BBG Class FINAL.xlsm]Ali vol!R64C33</stp>
        <tr r="AG64" s="3"/>
      </tp>
      <tp t="b">
        <v>0</v>
        <stp/>
        <stp>##V3_BDHV12</stp>
        <stp>LADQ8 Comdty</stp>
        <stp>Last Trade</stp>
        <stp>03/11/2017</stp>
        <stp>03/11/2017</stp>
        <stp>[BBG Class FINAL.xlsm]Ali vol!R49C31</stp>
        <tr r="AE49" s="3"/>
      </tp>
      <tp t="b">
        <v>0</v>
        <stp/>
        <stp>##V3_BDHV12</stp>
        <stp>LACQ8 Comdty</stp>
        <stp>Last Trade</stp>
        <stp>13/10/2017</stp>
        <stp>13/10/2017</stp>
        <stp>[BBG Class FINAL.xlsm]Ali vol!R64C32</stp>
        <tr r="AF64" s="3"/>
      </tp>
      <tp t="b">
        <v>0</v>
        <stp/>
        <stp>##V3_BDHV12</stp>
        <stp>LAOQ8 Comdty</stp>
        <stp>Last Trade</stp>
        <stp>13/10/2017</stp>
        <stp>13/10/2017</stp>
        <stp>[BBG Class FINAL.xlsm]Ali vol!R64C35</stp>
        <tr r="AI64" s="3"/>
      </tp>
      <tp t="b">
        <v>0</v>
        <stp/>
        <stp>##V3_BDHV12</stp>
        <stp>LAPQ8 Comdty</stp>
        <stp>Last Trade</stp>
        <stp>13/10/2017</stp>
        <stp>13/10/2017</stp>
        <stp>[BBG Class FINAL.xlsm]Ali vol!R64C34</stp>
        <tr r="AH64" s="3"/>
      </tp>
      <tp t="b">
        <v>0</v>
        <stp/>
        <stp>##V3_BDHV12</stp>
        <stp>LARQ8 Comdty</stp>
        <stp>Last Trade</stp>
        <stp>03/11/2017</stp>
        <stp>03/11/2017</stp>
        <stp>[BBG Class FINAL.xlsm]Ali vol!R49C36</stp>
        <tr r="AJ49" s="3"/>
      </tp>
      <tp t="b">
        <v>0</v>
        <stp/>
        <stp>##V3_BDHV12</stp>
        <stp>LAOQ8 Comdty</stp>
        <stp>Last Trade</stp>
        <stp>03/11/2017</stp>
        <stp>03/11/2017</stp>
        <stp>[BBG Class FINAL.xlsm]Ali vol!R49C35</stp>
        <tr r="AI49" s="3"/>
      </tp>
      <tp t="b">
        <v>0</v>
        <stp/>
        <stp>##V3_BDHV12</stp>
        <stp>LARQ8 Comdty</stp>
        <stp>Last Trade</stp>
        <stp>13/10/2017</stp>
        <stp>13/10/2017</stp>
        <stp>[BBG Class FINAL.xlsm]Ali vol!R64C36</stp>
        <tr r="AJ64" s="3"/>
      </tp>
      <tp t="b">
        <v>0</v>
        <stp/>
        <stp>##V3_BDHV12</stp>
        <stp>LAPQ8 Comdty</stp>
        <stp>Last Trade</stp>
        <stp>03/11/2017</stp>
        <stp>03/11/2017</stp>
        <stp>[BBG Class FINAL.xlsm]Ali vol!R49C34</stp>
        <tr r="AH49" s="3"/>
      </tp>
      <tp t="b">
        <v>0</v>
        <stp/>
        <stp>##V3_BDHV12</stp>
        <stp>LAEQ8 Comdty</stp>
        <stp>Last Trade</stp>
        <stp>02/11/2017</stp>
        <stp>02/11/2017</stp>
        <stp>[BBG Class FINAL.xlsm]Ali vol!R50C33</stp>
        <tr r="AG50" s="3"/>
      </tp>
      <tp t="b">
        <v>0</v>
        <stp/>
        <stp>##V3_BDHV12</stp>
        <stp>LACQ8 Comdty</stp>
        <stp>Last Trade</stp>
        <stp>02/11/2017</stp>
        <stp>02/11/2017</stp>
        <stp>[BBG Class FINAL.xlsm]Ali vol!R50C32</stp>
        <tr r="AF50" s="3"/>
      </tp>
      <tp t="b">
        <v>0</v>
        <stp/>
        <stp>##V3_BDHV12</stp>
        <stp>LADQ8 Comdty</stp>
        <stp>Last Trade</stp>
        <stp>12/10/2017</stp>
        <stp>12/10/2017</stp>
        <stp>[BBG Class FINAL.xlsm]Ali vol!R65C31</stp>
        <tr r="AE65" s="3"/>
      </tp>
      <tp t="b">
        <v>0</v>
        <stp/>
        <stp>##V3_BDHV12</stp>
        <stp>LACQ8 Comdty</stp>
        <stp>Last Trade</stp>
        <stp>12/10/2017</stp>
        <stp>12/10/2017</stp>
        <stp>[BBG Class FINAL.xlsm]Ali vol!R65C32</stp>
        <tr r="AF65" s="3"/>
      </tp>
      <tp t="b">
        <v>0</v>
        <stp/>
        <stp>##V3_BDHV12</stp>
        <stp>LADQ8 Comdty</stp>
        <stp>Last Trade</stp>
        <stp>02/11/2017</stp>
        <stp>02/11/2017</stp>
        <stp>[BBG Class FINAL.xlsm]Ali vol!R50C31</stp>
        <tr r="AE50" s="3"/>
      </tp>
      <tp t="b">
        <v>0</v>
        <stp/>
        <stp>##V3_BDHV12</stp>
        <stp>LAEQ8 Comdty</stp>
        <stp>Last Trade</stp>
        <stp>12/10/2017</stp>
        <stp>12/10/2017</stp>
        <stp>[BBG Class FINAL.xlsm]Ali vol!R65C33</stp>
        <tr r="AG65" s="3"/>
      </tp>
      <tp t="b">
        <v>0</v>
        <stp/>
        <stp>##V3_BDHV12</stp>
        <stp>LAPQ8 Comdty</stp>
        <stp>Last Trade</stp>
        <stp>12/10/2017</stp>
        <stp>12/10/2017</stp>
        <stp>[BBG Class FINAL.xlsm]Ali vol!R65C34</stp>
        <tr r="AH65" s="3"/>
      </tp>
      <tp t="b">
        <v>0</v>
        <stp/>
        <stp>##V3_BDHV12</stp>
        <stp>LAOQ8 Comdty</stp>
        <stp>Last Trade</stp>
        <stp>12/10/2017</stp>
        <stp>12/10/2017</stp>
        <stp>[BBG Class FINAL.xlsm]Ali vol!R65C35</stp>
        <tr r="AI65" s="3"/>
      </tp>
      <tp t="b">
        <v>0</v>
        <stp/>
        <stp>##V3_BDHV12</stp>
        <stp>LARQ8 Comdty</stp>
        <stp>Last Trade</stp>
        <stp>02/11/2017</stp>
        <stp>02/11/2017</stp>
        <stp>[BBG Class FINAL.xlsm]Ali vol!R50C36</stp>
        <tr r="AJ50" s="3"/>
      </tp>
      <tp t="b">
        <v>0</v>
        <stp/>
        <stp>##V3_BDHV12</stp>
        <stp>LAOQ8 Comdty</stp>
        <stp>Last Trade</stp>
        <stp>02/11/2017</stp>
        <stp>02/11/2017</stp>
        <stp>[BBG Class FINAL.xlsm]Ali vol!R50C35</stp>
        <tr r="AI50" s="3"/>
      </tp>
      <tp t="b">
        <v>0</v>
        <stp/>
        <stp>##V3_BDHV12</stp>
        <stp>LARQ8 Comdty</stp>
        <stp>Last Trade</stp>
        <stp>12/10/2017</stp>
        <stp>12/10/2017</stp>
        <stp>[BBG Class FINAL.xlsm]Ali vol!R65C36</stp>
        <tr r="AJ65" s="3"/>
      </tp>
      <tp t="b">
        <v>0</v>
        <stp/>
        <stp>##V3_BDHV12</stp>
        <stp>LAPQ8 Comdty</stp>
        <stp>Last Trade</stp>
        <stp>02/11/2017</stp>
        <stp>02/11/2017</stp>
        <stp>[BBG Class FINAL.xlsm]Ali vol!R50C34</stp>
        <tr r="AH50" s="3"/>
      </tp>
      <tp t="b">
        <v>0</v>
        <stp/>
        <stp>##V3_BDHV12</stp>
        <stp>LAEQ8 Comdty</stp>
        <stp>Last Trade</stp>
        <stp>19/10/2017</stp>
        <stp>19/10/2017</stp>
        <stp>[BBG Class FINAL.xlsm]Ali vol!R60C33</stp>
        <tr r="AG60" s="3"/>
      </tp>
      <tp t="b">
        <v>0</v>
        <stp/>
        <stp>##V3_BDHV12</stp>
        <stp>LADQ8 Comdty</stp>
        <stp>Last Trade</stp>
        <stp>09/11/2017</stp>
        <stp>09/11/2017</stp>
        <stp>[BBG Class FINAL.xlsm]Ali vol!R45C31</stp>
        <tr r="AE45" s="3"/>
      </tp>
      <tp t="b">
        <v>0</v>
        <stp/>
        <stp>##V3_BDHV12</stp>
        <stp>LACQ8 Comdty</stp>
        <stp>Last Trade</stp>
        <stp>19/10/2017</stp>
        <stp>19/10/2017</stp>
        <stp>[BBG Class FINAL.xlsm]Ali vol!R60C32</stp>
        <tr r="AF60" s="3"/>
      </tp>
      <tp t="b">
        <v>0</v>
        <stp/>
        <stp>##V3_BDHV12</stp>
        <stp>LADQ8 Comdty</stp>
        <stp>Last Trade</stp>
        <stp>19/10/2017</stp>
        <stp>19/10/2017</stp>
        <stp>[BBG Class FINAL.xlsm]Ali vol!R60C31</stp>
        <tr r="AE60" s="3"/>
      </tp>
      <tp t="b">
        <v>0</v>
        <stp/>
        <stp>##V3_BDHV12</stp>
        <stp>LAEQ8 Comdty</stp>
        <stp>Last Trade</stp>
        <stp>09/11/2017</stp>
        <stp>09/11/2017</stp>
        <stp>[BBG Class FINAL.xlsm]Ali vol!R45C33</stp>
        <tr r="AG45" s="3"/>
      </tp>
      <tp t="b">
        <v>0</v>
        <stp/>
        <stp>##V3_BDHV12</stp>
        <stp>LACQ8 Comdty</stp>
        <stp>Last Trade</stp>
        <stp>09/11/2017</stp>
        <stp>09/11/2017</stp>
        <stp>[BBG Class FINAL.xlsm]Ali vol!R45C32</stp>
        <tr r="AF45" s="3"/>
      </tp>
      <tp t="b">
        <v>0</v>
        <stp/>
        <stp>##V3_BDHV12</stp>
        <stp>LAOQ8 Comdty</stp>
        <stp>Last Trade</stp>
        <stp>09/11/2017</stp>
        <stp>09/11/2017</stp>
        <stp>[BBG Class FINAL.xlsm]Ali vol!R45C35</stp>
        <tr r="AI45" s="3"/>
      </tp>
      <tp t="b">
        <v>0</v>
        <stp/>
        <stp>##V3_BDHV12</stp>
        <stp>LAPQ8 Comdty</stp>
        <stp>Last Trade</stp>
        <stp>09/11/2017</stp>
        <stp>09/11/2017</stp>
        <stp>[BBG Class FINAL.xlsm]Ali vol!R45C34</stp>
        <tr r="AH45" s="3"/>
      </tp>
      <tp t="b">
        <v>0</v>
        <stp/>
        <stp>##V3_BDHV12</stp>
        <stp>LARQ8 Comdty</stp>
        <stp>Last Trade</stp>
        <stp>19/10/2017</stp>
        <stp>19/10/2017</stp>
        <stp>[BBG Class FINAL.xlsm]Ali vol!R60C36</stp>
        <tr r="AJ60" s="3"/>
      </tp>
      <tp t="b">
        <v>0</v>
        <stp/>
        <stp>##V3_BDHV12</stp>
        <stp>LAOQ8 Comdty</stp>
        <stp>Last Trade</stp>
        <stp>19/10/2017</stp>
        <stp>19/10/2017</stp>
        <stp>[BBG Class FINAL.xlsm]Ali vol!R60C35</stp>
        <tr r="AI60" s="3"/>
      </tp>
      <tp t="b">
        <v>0</v>
        <stp/>
        <stp>##V3_BDHV12</stp>
        <stp>LARQ8 Comdty</stp>
        <stp>Last Trade</stp>
        <stp>09/11/2017</stp>
        <stp>09/11/2017</stp>
        <stp>[BBG Class FINAL.xlsm]Ali vol!R45C36</stp>
        <tr r="AJ45" s="3"/>
      </tp>
      <tp t="b">
        <v>0</v>
        <stp/>
        <stp>##V3_BDHV12</stp>
        <stp>LAPQ8 Comdty</stp>
        <stp>Last Trade</stp>
        <stp>19/10/2017</stp>
        <stp>19/10/2017</stp>
        <stp>[BBG Class FINAL.xlsm]Ali vol!R60C34</stp>
        <tr r="AH60" s="3"/>
      </tp>
      <tp t="b">
        <v>0</v>
        <stp/>
        <stp>##V3_BDHV12</stp>
        <stp>LACQ8 Comdty</stp>
        <stp>Last Trade</stp>
        <stp>18/10/2017</stp>
        <stp>18/10/2017</stp>
        <stp>[BBG Class FINAL.xlsm]Ali vol!R61C32</stp>
        <tr r="AF61" s="3"/>
      </tp>
      <tp t="b">
        <v>0</v>
        <stp/>
        <stp>##V3_BDHV12</stp>
        <stp>LAEQ8 Comdty</stp>
        <stp>Last Trade</stp>
        <stp>18/10/2017</stp>
        <stp>18/10/2017</stp>
        <stp>[BBG Class FINAL.xlsm]Ali vol!R61C33</stp>
        <tr r="AG61" s="3"/>
      </tp>
      <tp t="b">
        <v>0</v>
        <stp/>
        <stp>##V3_BDHV12</stp>
        <stp>LADQ8 Comdty</stp>
        <stp>Last Trade</stp>
        <stp>08/11/2017</stp>
        <stp>08/11/2017</stp>
        <stp>[BBG Class FINAL.xlsm]Ali vol!R46C31</stp>
        <tr r="AE46" s="3"/>
      </tp>
      <tp t="b">
        <v>0</v>
        <stp/>
        <stp>##V3_BDHV12</stp>
        <stp>LACQ8 Comdty</stp>
        <stp>Last Trade</stp>
        <stp>08/11/2017</stp>
        <stp>08/11/2017</stp>
        <stp>[BBG Class FINAL.xlsm]Ali vol!R46C32</stp>
        <tr r="AF46" s="3"/>
      </tp>
      <tp t="b">
        <v>0</v>
        <stp/>
        <stp>##V3_BDHV12</stp>
        <stp>LADQ8 Comdty</stp>
        <stp>Last Trade</stp>
        <stp>18/10/2017</stp>
        <stp>18/10/2017</stp>
        <stp>[BBG Class FINAL.xlsm]Ali vol!R61C31</stp>
        <tr r="AE61" s="3"/>
      </tp>
      <tp t="b">
        <v>0</v>
        <stp/>
        <stp>##V3_BDHV12</stp>
        <stp>LAEQ8 Comdty</stp>
        <stp>Last Trade</stp>
        <stp>08/11/2017</stp>
        <stp>08/11/2017</stp>
        <stp>[BBG Class FINAL.xlsm]Ali vol!R46C33</stp>
        <tr r="AG46" s="3"/>
      </tp>
      <tp t="b">
        <v>0</v>
        <stp/>
        <stp>##V3_BDHV12</stp>
        <stp>LAPQ8 Comdty</stp>
        <stp>Last Trade</stp>
        <stp>08/11/2017</stp>
        <stp>08/11/2017</stp>
        <stp>[BBG Class FINAL.xlsm]Ali vol!R46C34</stp>
        <tr r="AH46" s="3"/>
      </tp>
      <tp t="b">
        <v>0</v>
        <stp/>
        <stp>##V3_BDHV12</stp>
        <stp>LARQ8 Comdty</stp>
        <stp>Last Trade</stp>
        <stp>18/10/2017</stp>
        <stp>18/10/2017</stp>
        <stp>[BBG Class FINAL.xlsm]Ali vol!R61C36</stp>
        <tr r="AJ61" s="3"/>
      </tp>
      <tp t="b">
        <v>0</v>
        <stp/>
        <stp>##V3_BDHV12</stp>
        <stp>LAOQ8 Comdty</stp>
        <stp>Last Trade</stp>
        <stp>08/11/2017</stp>
        <stp>08/11/2017</stp>
        <stp>[BBG Class FINAL.xlsm]Ali vol!R46C35</stp>
        <tr r="AI46" s="3"/>
      </tp>
      <tp t="b">
        <v>0</v>
        <stp/>
        <stp>##V3_BDHV12</stp>
        <stp>LARQ8 Comdty</stp>
        <stp>Last Trade</stp>
        <stp>08/11/2017</stp>
        <stp>08/11/2017</stp>
        <stp>[BBG Class FINAL.xlsm]Ali vol!R46C36</stp>
        <tr r="AJ46" s="3"/>
      </tp>
      <tp t="b">
        <v>0</v>
        <stp/>
        <stp>##V3_BDHV12</stp>
        <stp>LAPQ8 Comdty</stp>
        <stp>Last Trade</stp>
        <stp>18/10/2017</stp>
        <stp>18/10/2017</stp>
        <stp>[BBG Class FINAL.xlsm]Ali vol!R61C34</stp>
        <tr r="AH61" s="3"/>
      </tp>
      <tp t="b">
        <v>0</v>
        <stp/>
        <stp>##V3_BDHV12</stp>
        <stp>LAOQ8 Comdty</stp>
        <stp>Last Trade</stp>
        <stp>18/10/2017</stp>
        <stp>18/10/2017</stp>
        <stp>[BBG Class FINAL.xlsm]Ali vol!R61C35</stp>
        <tr r="AI61" s="3"/>
      </tp>
      <tp t="b">
        <v>0</v>
        <stp/>
        <stp>##V3_BDHV12</stp>
        <stp>LAPQ8 Comdty</stp>
        <stp>Last Trade</stp>
        <stp>14/11/2017</stp>
        <stp>14/11/2017</stp>
        <stp>[BBG Class FINAL.xlsm]Ali vol!R42C34</stp>
        <tr r="AH42" s="3"/>
      </tp>
      <tp t="b">
        <v>0</v>
        <stp/>
        <stp>##V3_BDHV12</stp>
        <stp>LAOQ8 Comdty</stp>
        <stp>Last Trade</stp>
        <stp>14/11/2017</stp>
        <stp>14/11/2017</stp>
        <stp>[BBG Class FINAL.xlsm]Ali vol!R42C35</stp>
        <tr r="AI42" s="3"/>
      </tp>
      <tp t="b">
        <v>0</v>
        <stp/>
        <stp>##V3_BDHV12</stp>
        <stp>LARQ8 Comdty</stp>
        <stp>Last Trade</stp>
        <stp>14/11/2017</stp>
        <stp>14/11/2017</stp>
        <stp>[BBG Class FINAL.xlsm]Ali vol!R42C36</stp>
        <tr r="AJ42" s="3"/>
      </tp>
      <tp t="b">
        <v>0</v>
        <stp/>
        <stp>##V3_BDHV12</stp>
        <stp>LADQ8 Comdty</stp>
        <stp>Last Trade</stp>
        <stp>14/11/2017</stp>
        <stp>14/11/2017</stp>
        <stp>[BBG Class FINAL.xlsm]Ali vol!R42C31</stp>
        <tr r="AE42" s="3"/>
      </tp>
      <tp t="b">
        <v>0</v>
        <stp/>
        <stp>##V3_BDHV12</stp>
        <stp>LACQ8 Comdty</stp>
        <stp>Last Trade</stp>
        <stp>14/11/2017</stp>
        <stp>14/11/2017</stp>
        <stp>[BBG Class FINAL.xlsm]Ali vol!R42C32</stp>
        <tr r="AF42" s="3"/>
      </tp>
      <tp t="b">
        <v>0</v>
        <stp/>
        <stp>##V3_BDHV12</stp>
        <stp>LAEQ8 Comdty</stp>
        <stp>Last Trade</stp>
        <stp>14/11/2017</stp>
        <stp>14/11/2017</stp>
        <stp>[BBG Class FINAL.xlsm]Ali vol!R42C33</stp>
        <tr r="AG42" s="3"/>
      </tp>
      <tp t="b">
        <v>0</v>
        <stp/>
        <stp>##V3_BDHV12</stp>
        <stp>LAOQ8 Comdty</stp>
        <stp>Last Trade</stp>
        <stp>15/11/2017</stp>
        <stp>15/11/2017</stp>
        <stp>[BBG Class FINAL.xlsm]Ali vol!R41C35</stp>
        <tr r="AI41" s="3"/>
      </tp>
      <tp t="b">
        <v>0</v>
        <stp/>
        <stp>##V3_BDHV12</stp>
        <stp>LAPQ8 Comdty</stp>
        <stp>Last Trade</stp>
        <stp>15/11/2017</stp>
        <stp>15/11/2017</stp>
        <stp>[BBG Class FINAL.xlsm]Ali vol!R41C34</stp>
        <tr r="AH41" s="3"/>
      </tp>
      <tp t="b">
        <v>0</v>
        <stp/>
        <stp>##V3_BDHV12</stp>
        <stp>LARQ8 Comdty</stp>
        <stp>Last Trade</stp>
        <stp>15/11/2017</stp>
        <stp>15/11/2017</stp>
        <stp>[BBG Class FINAL.xlsm]Ali vol!R41C36</stp>
        <tr r="AJ41" s="3"/>
      </tp>
      <tp t="b">
        <v>0</v>
        <stp/>
        <stp>##V3_BDHV12</stp>
        <stp>LADQ8 Comdty</stp>
        <stp>Last Trade</stp>
        <stp>15/11/2017</stp>
        <stp>15/11/2017</stp>
        <stp>[BBG Class FINAL.xlsm]Ali vol!R41C31</stp>
        <tr r="AE41" s="3"/>
      </tp>
      <tp t="b">
        <v>0</v>
        <stp/>
        <stp>##V3_BDHV12</stp>
        <stp>LAEQ8 Comdty</stp>
        <stp>Last Trade</stp>
        <stp>15/11/2017</stp>
        <stp>15/11/2017</stp>
        <stp>[BBG Class FINAL.xlsm]Ali vol!R41C33</stp>
        <tr r="AG41" s="3"/>
      </tp>
      <tp t="b">
        <v>0</v>
        <stp/>
        <stp>##V3_BDHV12</stp>
        <stp>LACQ8 Comdty</stp>
        <stp>Last Trade</stp>
        <stp>15/11/2017</stp>
        <stp>15/11/2017</stp>
        <stp>[BBG Class FINAL.xlsm]Ali vol!R41C32</stp>
        <tr r="AF41" s="3"/>
      </tp>
      <tp t="b">
        <v>0</v>
        <stp/>
        <stp>##V3_BDHV12</stp>
        <stp>LARQ8 Comdty</stp>
        <stp>Last Trade</stp>
        <stp>16/11/2017</stp>
        <stp>16/11/2017</stp>
        <stp>[BBG Class FINAL.xlsm]Ali vol!R40C36</stp>
        <tr r="AJ40" s="3"/>
      </tp>
      <tp t="b">
        <v>0</v>
        <stp/>
        <stp>##V3_BDHV12</stp>
        <stp>LAPQ8 Comdty</stp>
        <stp>Last Trade</stp>
        <stp>16/11/2017</stp>
        <stp>16/11/2017</stp>
        <stp>[BBG Class FINAL.xlsm]Ali vol!R40C34</stp>
        <tr r="AH40" s="3"/>
      </tp>
      <tp t="b">
        <v>0</v>
        <stp/>
        <stp>##V3_BDHV12</stp>
        <stp>LAOQ8 Comdty</stp>
        <stp>Last Trade</stp>
        <stp>16/11/2017</stp>
        <stp>16/11/2017</stp>
        <stp>[BBG Class FINAL.xlsm]Ali vol!R40C35</stp>
        <tr r="AI40" s="3"/>
      </tp>
      <tp t="b">
        <v>0</v>
        <stp/>
        <stp>##V3_BDHV12</stp>
        <stp>LACQ8 Comdty</stp>
        <stp>Last Trade</stp>
        <stp>16/11/2017</stp>
        <stp>16/11/2017</stp>
        <stp>[BBG Class FINAL.xlsm]Ali vol!R40C32</stp>
        <tr r="AF40" s="3"/>
      </tp>
      <tp t="b">
        <v>0</v>
        <stp/>
        <stp>##V3_BDHV12</stp>
        <stp>LAEQ8 Comdty</stp>
        <stp>Last Trade</stp>
        <stp>16/11/2017</stp>
        <stp>16/11/2017</stp>
        <stp>[BBG Class FINAL.xlsm]Ali vol!R40C33</stp>
        <tr r="AG40" s="3"/>
      </tp>
      <tp t="b">
        <v>0</v>
        <stp/>
        <stp>##V3_BDHV12</stp>
        <stp>LADQ8 Comdty</stp>
        <stp>Last Trade</stp>
        <stp>16/11/2017</stp>
        <stp>16/11/2017</stp>
        <stp>[BBG Class FINAL.xlsm]Ali vol!R40C31</stp>
        <tr r="AE40" s="3"/>
      </tp>
      <tp t="b">
        <v>0</v>
        <stp/>
        <stp>##V3_BDHV12</stp>
        <stp>LADQ8 Comdty</stp>
        <stp>Last Trade</stp>
        <stp>17/11/2017</stp>
        <stp>17/11/2017</stp>
        <stp>[BBG Class FINAL.xlsm]Ali vol!R39C31</stp>
        <tr r="AE39" s="3"/>
      </tp>
      <tp t="b">
        <v>0</v>
        <stp/>
        <stp>##V3_BDHV12</stp>
        <stp>LACQ8 Comdty</stp>
        <stp>Last Trade</stp>
        <stp>17/11/2017</stp>
        <stp>17/11/2017</stp>
        <stp>[BBG Class FINAL.xlsm]Ali vol!R39C32</stp>
        <tr r="AF39" s="3"/>
      </tp>
      <tp t="b">
        <v>0</v>
        <stp/>
        <stp>##V3_BDHV12</stp>
        <stp>LAEQ8 Comdty</stp>
        <stp>Last Trade</stp>
        <stp>17/11/2017</stp>
        <stp>17/11/2017</stp>
        <stp>[BBG Class FINAL.xlsm]Ali vol!R39C33</stp>
        <tr r="AG39" s="3"/>
      </tp>
      <tp t="b">
        <v>0</v>
        <stp/>
        <stp>##V3_BDHV12</stp>
        <stp>LAPQ8 Comdty</stp>
        <stp>Last Trade</stp>
        <stp>17/11/2017</stp>
        <stp>17/11/2017</stp>
        <stp>[BBG Class FINAL.xlsm]Ali vol!R39C34</stp>
        <tr r="AH39" s="3"/>
      </tp>
      <tp t="b">
        <v>0</v>
        <stp/>
        <stp>##V3_BDHV12</stp>
        <stp>LAOQ8 Comdty</stp>
        <stp>Last Trade</stp>
        <stp>17/11/2017</stp>
        <stp>17/11/2017</stp>
        <stp>[BBG Class FINAL.xlsm]Ali vol!R39C35</stp>
        <tr r="AI39" s="3"/>
      </tp>
      <tp t="b">
        <v>0</v>
        <stp/>
        <stp>##V3_BDHV12</stp>
        <stp>LARQ8 Comdty</stp>
        <stp>Last Trade</stp>
        <stp>17/11/2017</stp>
        <stp>17/11/2017</stp>
        <stp>[BBG Class FINAL.xlsm]Ali vol!R39C36</stp>
        <tr r="AJ39" s="3"/>
      </tp>
      <tp t="b">
        <v>0</v>
        <stp/>
        <stp>##V3_BDHV12</stp>
        <stp>LADQ8 Comdty</stp>
        <stp>Last Trade</stp>
        <stp>10/11/2017</stp>
        <stp>10/11/2017</stp>
        <stp>[BBG Class FINAL.xlsm]Ali vol!R44C31</stp>
        <tr r="AE44" s="3"/>
      </tp>
      <tp t="b">
        <v>0</v>
        <stp/>
        <stp>##V3_BDHV12</stp>
        <stp>LACQ8 Comdty</stp>
        <stp>Last Trade</stp>
        <stp>10/11/2017</stp>
        <stp>10/11/2017</stp>
        <stp>[BBG Class FINAL.xlsm]Ali vol!R44C32</stp>
        <tr r="AF44" s="3"/>
      </tp>
      <tp t="b">
        <v>0</v>
        <stp/>
        <stp>##V3_BDHV12</stp>
        <stp>LAEQ8 Comdty</stp>
        <stp>Last Trade</stp>
        <stp>10/11/2017</stp>
        <stp>10/11/2017</stp>
        <stp>[BBG Class FINAL.xlsm]Ali vol!R44C33</stp>
        <tr r="AG44" s="3"/>
      </tp>
      <tp t="b">
        <v>0</v>
        <stp/>
        <stp>##V3_BDHV12</stp>
        <stp>LAPQ8 Comdty</stp>
        <stp>Last Trade</stp>
        <stp>10/11/2017</stp>
        <stp>10/11/2017</stp>
        <stp>[BBG Class FINAL.xlsm]Ali vol!R44C34</stp>
        <tr r="AH44" s="3"/>
      </tp>
      <tp t="b">
        <v>0</v>
        <stp/>
        <stp>##V3_BDHV12</stp>
        <stp>LAOQ8 Comdty</stp>
        <stp>Last Trade</stp>
        <stp>10/11/2017</stp>
        <stp>10/11/2017</stp>
        <stp>[BBG Class FINAL.xlsm]Ali vol!R44C35</stp>
        <tr r="AI44" s="3"/>
      </tp>
      <tp t="b">
        <v>0</v>
        <stp/>
        <stp>##V3_BDHV12</stp>
        <stp>LARQ8 Comdty</stp>
        <stp>Last Trade</stp>
        <stp>10/11/2017</stp>
        <stp>10/11/2017</stp>
        <stp>[BBG Class FINAL.xlsm]Ali vol!R44C36</stp>
        <tr r="AJ44" s="3"/>
      </tp>
      <tp t="b">
        <v>0</v>
        <stp/>
        <stp>##V3_BDHV12</stp>
        <stp>LAEQ8 Comdty</stp>
        <stp>Last Trade</stp>
        <stp>13/11/2017</stp>
        <stp>13/11/2017</stp>
        <stp>[BBG Class FINAL.xlsm]Ali vol!R43C33</stp>
        <tr r="AG43" s="3"/>
      </tp>
      <tp t="b">
        <v>0</v>
        <stp/>
        <stp>##V3_BDHV12</stp>
        <stp>LACQ8 Comdty</stp>
        <stp>Last Trade</stp>
        <stp>13/11/2017</stp>
        <stp>13/11/2017</stp>
        <stp>[BBG Class FINAL.xlsm]Ali vol!R43C32</stp>
        <tr r="AF43" s="3"/>
      </tp>
      <tp t="b">
        <v>0</v>
        <stp/>
        <stp>##V3_BDHV12</stp>
        <stp>LADQ8 Comdty</stp>
        <stp>Last Trade</stp>
        <stp>13/11/2017</stp>
        <stp>13/11/2017</stp>
        <stp>[BBG Class FINAL.xlsm]Ali vol!R43C31</stp>
        <tr r="AE43" s="3"/>
      </tp>
      <tp t="b">
        <v>0</v>
        <stp/>
        <stp>##V3_BDHV12</stp>
        <stp>LARQ8 Comdty</stp>
        <stp>Last Trade</stp>
        <stp>13/11/2017</stp>
        <stp>13/11/2017</stp>
        <stp>[BBG Class FINAL.xlsm]Ali vol!R43C36</stp>
        <tr r="AJ43" s="3"/>
      </tp>
      <tp t="b">
        <v>0</v>
        <stp/>
        <stp>##V3_BDHV12</stp>
        <stp>LAOQ8 Comdty</stp>
        <stp>Last Trade</stp>
        <stp>13/11/2017</stp>
        <stp>13/11/2017</stp>
        <stp>[BBG Class FINAL.xlsm]Ali vol!R43C35</stp>
        <tr r="AI43" s="3"/>
      </tp>
      <tp t="b">
        <v>0</v>
        <stp/>
        <stp>##V3_BDHV12</stp>
        <stp>LAPQ8 Comdty</stp>
        <stp>Last Trade</stp>
        <stp>13/11/2017</stp>
        <stp>13/11/2017</stp>
        <stp>[BBG Class FINAL.xlsm]Ali vol!R43C34</stp>
        <tr r="AH43" s="3"/>
      </tp>
      <tp t="b">
        <v>0</v>
        <stp/>
        <stp>##V3_BDHV12</stp>
        <stp>LAEQ8 Comdty</stp>
        <stp>Last Trade</stp>
        <stp>09/10/2017</stp>
        <stp>09/10/2017</stp>
        <stp>[BBG Class FINAL.xlsm]Ali vol!R68C33</stp>
        <tr r="AG68" s="3"/>
      </tp>
      <tp t="b">
        <v>0</v>
        <stp/>
        <stp>##V3_BDHV12</stp>
        <stp>LACQ8 Comdty</stp>
        <stp>Last Trade</stp>
        <stp>09/10/2017</stp>
        <stp>09/10/2017</stp>
        <stp>[BBG Class FINAL.xlsm]Ali vol!R68C32</stp>
        <tr r="AF68" s="3"/>
      </tp>
      <tp t="b">
        <v>0</v>
        <stp/>
        <stp>##V3_BDHV12</stp>
        <stp>LADQ8 Comdty</stp>
        <stp>Last Trade</stp>
        <stp>09/10/2017</stp>
        <stp>09/10/2017</stp>
        <stp>[BBG Class FINAL.xlsm]Ali vol!R68C31</stp>
        <tr r="AE68" s="3"/>
      </tp>
      <tp t="b">
        <v>0</v>
        <stp/>
        <stp>##V3_BDHV12</stp>
        <stp>LARQ8 Comdty</stp>
        <stp>Last Trade</stp>
        <stp>09/10/2017</stp>
        <stp>09/10/2017</stp>
        <stp>[BBG Class FINAL.xlsm]Ali vol!R68C36</stp>
        <tr r="AJ68" s="3"/>
      </tp>
      <tp t="b">
        <v>0</v>
        <stp/>
        <stp>##V3_BDHV12</stp>
        <stp>LAOQ8 Comdty</stp>
        <stp>Last Trade</stp>
        <stp>09/10/2017</stp>
        <stp>09/10/2017</stp>
        <stp>[BBG Class FINAL.xlsm]Ali vol!R68C35</stp>
        <tr r="AI68" s="3"/>
      </tp>
      <tp t="b">
        <v>0</v>
        <stp/>
        <stp>##V3_BDHV12</stp>
        <stp>LAPQ8 Comdty</stp>
        <stp>Last Trade</stp>
        <stp>09/10/2017</stp>
        <stp>09/10/2017</stp>
        <stp>[BBG Class FINAL.xlsm]Ali vol!R68C34</stp>
        <tr r="AH68" s="3"/>
      </tp>
      <tp t="b">
        <v>0</v>
        <stp/>
        <stp>##V3_BDHV12</stp>
        <stp>LAEU8 Comdty</stp>
        <stp>Last Trade</stp>
        <stp>31/10/2017</stp>
        <stp>31/10/2017</stp>
        <stp>[BBG Class FINAL.xlsm]Ali vol!R12C20</stp>
        <tr r="T12" s="3"/>
      </tp>
      <tp t="b">
        <v>0</v>
        <stp/>
        <stp>##V3_BDHV12</stp>
        <stp>LAEV8 Comdty</stp>
        <stp>Last Trade</stp>
        <stp>31/10/2017</stp>
        <stp>31/10/2017</stp>
        <stp>[BBG Class FINAL.xlsm]Ali vol!R13C20</stp>
        <tr r="T13" s="3"/>
      </tp>
      <tp t="b">
        <v>0</v>
        <stp/>
        <stp>##V3_BDHV12</stp>
        <stp>LAEX8 Comdty</stp>
        <stp>Last Trade</stp>
        <stp>31/10/2017</stp>
        <stp>31/10/2017</stp>
        <stp>[BBG Class FINAL.xlsm]Ali vol!R14C20</stp>
        <tr r="T14" s="3"/>
      </tp>
      <tp t="b">
        <v>0</v>
        <stp/>
        <stp>##V3_BDHV12</stp>
        <stp>LAEZ9 Comdty</stp>
        <stp>Last Trade</stp>
        <stp>31/10/2017</stp>
        <stp>31/10/2017</stp>
        <stp>[BBG Class FINAL.xlsm]Ali vol!R17C20</stp>
        <tr r="T17" s="3"/>
      </tp>
      <tp t="b">
        <v>0</v>
        <stp/>
        <stp>##V3_BDHV12</stp>
        <stp>LAEZ8 Comdty</stp>
        <stp>Last Trade</stp>
        <stp>31/10/2017</stp>
        <stp>31/10/2017</stp>
        <stp>[BBG Class FINAL.xlsm]Ali vol!R15C20</stp>
        <tr r="T15" s="3"/>
      </tp>
      <tp t="b">
        <v>0</v>
        <stp/>
        <stp>##V3_BDHV12</stp>
        <stp>LAEZ0 Comdty</stp>
        <stp>Last Trade</stp>
        <stp>31/10/2017</stp>
        <stp>31/10/2017</stp>
        <stp>[BBG Class FINAL.xlsm]Ali vol!R18C20</stp>
        <tr r="T18" s="3"/>
      </tp>
      <tp t="b">
        <v>0</v>
        <stp/>
        <stp>##V3_BDHV12</stp>
        <stp>LARG8 Comdty</stp>
        <stp>Last Trade</stp>
        <stp>17/10/2017</stp>
        <stp>17/10/2017</stp>
        <stp>[BBG Class FINAL.xlsm]Ali vol!R62C18</stp>
        <tr r="R62" s="3"/>
      </tp>
      <tp t="b">
        <v>0</v>
        <stp/>
        <stp>##V3_BDHV12</stp>
        <stp>LARG8 Comdty</stp>
        <stp>Last Trade</stp>
        <stp>07/11/2017</stp>
        <stp>07/11/2017</stp>
        <stp>[BBG Class FINAL.xlsm]Ali vol!R47C18</stp>
        <tr r="R47" s="3"/>
      </tp>
      <tp t="b">
        <v>0</v>
        <stp/>
        <stp>##V3_BDHV12</stp>
        <stp>LAEG8 Comdty</stp>
        <stp>Last Trade</stp>
        <stp>17/10/2017</stp>
        <stp>17/10/2017</stp>
        <stp>[BBG Class FINAL.xlsm]Ali vol!R62C15</stp>
        <tr r="O62" s="3"/>
      </tp>
      <tp t="b">
        <v>0</v>
        <stp/>
        <stp>##V3_BDHV12</stp>
        <stp>LAOG8 Comdty</stp>
        <stp>Last Trade</stp>
        <stp>07/11/2017</stp>
        <stp>07/11/2017</stp>
        <stp>[BBG Class FINAL.xlsm]Ali vol!R47C17</stp>
        <tr r="Q47" s="3"/>
      </tp>
      <tp t="b">
        <v>0</v>
        <stp/>
        <stp>##V3_BDHV12</stp>
        <stp>LACG8 Comdty</stp>
        <stp>Last Trade</stp>
        <stp>17/10/2017</stp>
        <stp>17/10/2017</stp>
        <stp>[BBG Class FINAL.xlsm]Ali vol!R62C14</stp>
        <tr r="N62" s="3"/>
      </tp>
      <tp t="b">
        <v>0</v>
        <stp/>
        <stp>##V3_BDHV12</stp>
        <stp>LAPG8 Comdty</stp>
        <stp>Last Trade</stp>
        <stp>07/11/2017</stp>
        <stp>07/11/2017</stp>
        <stp>[BBG Class FINAL.xlsm]Ali vol!R47C16</stp>
        <tr r="P47" s="3"/>
      </tp>
      <tp t="b">
        <v>0</v>
        <stp/>
        <stp>##V3_BDHV12</stp>
        <stp>LAEG8 Comdty</stp>
        <stp>Last Trade</stp>
        <stp>07/11/2017</stp>
        <stp>07/11/2017</stp>
        <stp>[BBG Class FINAL.xlsm]Ali vol!R47C15</stp>
        <tr r="O47" s="3"/>
      </tp>
      <tp t="b">
        <v>0</v>
        <stp/>
        <stp>##V3_BDHV12</stp>
        <stp>LAOG8 Comdty</stp>
        <stp>Last Trade</stp>
        <stp>17/10/2017</stp>
        <stp>17/10/2017</stp>
        <stp>[BBG Class FINAL.xlsm]Ali vol!R62C17</stp>
        <tr r="Q62" s="3"/>
      </tp>
      <tp t="b">
        <v>0</v>
        <stp/>
        <stp>##V3_BDHV12</stp>
        <stp>LACG8 Comdty</stp>
        <stp>Last Trade</stp>
        <stp>07/11/2017</stp>
        <stp>07/11/2017</stp>
        <stp>[BBG Class FINAL.xlsm]Ali vol!R47C14</stp>
        <tr r="N47" s="3"/>
      </tp>
      <tp t="b">
        <v>0</v>
        <stp/>
        <stp>##V3_BDHV12</stp>
        <stp>LAPG8 Comdty</stp>
        <stp>Last Trade</stp>
        <stp>17/10/2017</stp>
        <stp>17/10/2017</stp>
        <stp>[BBG Class FINAL.xlsm]Ali vol!R62C16</stp>
        <tr r="P62" s="3"/>
      </tp>
      <tp t="b">
        <v>0</v>
        <stp/>
        <stp>##V3_BDHV12</stp>
        <stp>LADG8 Comdty</stp>
        <stp>Last Trade</stp>
        <stp>07/11/2017</stp>
        <stp>07/11/2017</stp>
        <stp>[BBG Class FINAL.xlsm]Ali vol!R47C13</stp>
        <tr r="M47" s="3"/>
      </tp>
      <tp t="b">
        <v>0</v>
        <stp/>
        <stp>##V3_BDHV12</stp>
        <stp>LADG8 Comdty</stp>
        <stp>Last Trade</stp>
        <stp>17/10/2017</stp>
        <stp>17/10/2017</stp>
        <stp>[BBG Class FINAL.xlsm]Ali vol!R62C13</stp>
        <tr r="M62" s="3"/>
      </tp>
      <tp t="b">
        <v>0</v>
        <stp/>
        <stp>##V3_BDHV12</stp>
        <stp>LARF8 Comdty</stp>
        <stp>Last Trade</stp>
        <stp>16/11/2017</stp>
        <stp>16/11/2017</stp>
        <stp>[BBG Class FINAL.xlsm]Ali vol!R40C10</stp>
        <tr r="J40" s="3"/>
      </tp>
      <tp t="b">
        <v>0</v>
        <stp/>
        <stp>##V3_BDHV12</stp>
        <stp>LARG8 Comdty</stp>
        <stp>Last Trade</stp>
        <stp>16/10/2017</stp>
        <stp>16/10/2017</stp>
        <stp>[BBG Class FINAL.xlsm]Ali vol!R63C18</stp>
        <tr r="R63" s="3"/>
      </tp>
      <tp t="b">
        <v>0</v>
        <stp/>
        <stp>##V3_BDHV12</stp>
        <stp>LARG8 Comdty</stp>
        <stp>Last Trade</stp>
        <stp>06/11/2017</stp>
        <stp>06/11/2017</stp>
        <stp>[BBG Class FINAL.xlsm]Ali vol!R48C18</stp>
        <tr r="R48" s="3"/>
      </tp>
      <tp t="b">
        <v>0</v>
        <stp/>
        <stp>##V3_BDHV12</stp>
        <stp>LACG8 Comdty</stp>
        <stp>Last Trade</stp>
        <stp>16/10/2017</stp>
        <stp>16/10/2017</stp>
        <stp>[BBG Class FINAL.xlsm]Ali vol!R63C14</stp>
        <tr r="N63" s="3"/>
      </tp>
      <tp t="b">
        <v>0</v>
        <stp/>
        <stp>##V3_BDHV12</stp>
        <stp>LARF8 Comdty</stp>
        <stp>Last Trade</stp>
        <stp>17/11/2017</stp>
        <stp>17/11/2017</stp>
        <stp>[BBG Class FINAL.xlsm]Ali vol!R39C10</stp>
        <tr r="J39" s="3"/>
      </tp>
      <tp t="b">
        <v>0</v>
        <stp/>
        <stp>##V3_BDHV12</stp>
        <stp>LAPG8 Comdty</stp>
        <stp>Last Trade</stp>
        <stp>06/11/2017</stp>
        <stp>06/11/2017</stp>
        <stp>[BBG Class FINAL.xlsm]Ali vol!R48C16</stp>
        <tr r="P48" s="3"/>
      </tp>
      <tp t="b">
        <v>0</v>
        <stp/>
        <stp>##V3_BDHV12</stp>
        <stp>LAEG8 Comdty</stp>
        <stp>Last Trade</stp>
        <stp>16/10/2017</stp>
        <stp>16/10/2017</stp>
        <stp>[BBG Class FINAL.xlsm]Ali vol!R63C15</stp>
        <tr r="O63" s="3"/>
      </tp>
      <tp t="b">
        <v>0</v>
        <stp/>
        <stp>##V3_BDHV12</stp>
        <stp>LAOG8 Comdty</stp>
        <stp>Last Trade</stp>
        <stp>06/11/2017</stp>
        <stp>06/11/2017</stp>
        <stp>[BBG Class FINAL.xlsm]Ali vol!R48C17</stp>
        <tr r="Q48" s="3"/>
      </tp>
      <tp t="b">
        <v>0</v>
        <stp/>
        <stp>##V3_BDHV12</stp>
        <stp>LACG8 Comdty</stp>
        <stp>Last Trade</stp>
        <stp>06/11/2017</stp>
        <stp>06/11/2017</stp>
        <stp>[BBG Class FINAL.xlsm]Ali vol!R48C14</stp>
        <tr r="N48" s="3"/>
      </tp>
      <tp t="b">
        <v>0</v>
        <stp/>
        <stp>##V3_BDHV12</stp>
        <stp>LAPG8 Comdty</stp>
        <stp>Last Trade</stp>
        <stp>16/10/2017</stp>
        <stp>16/10/2017</stp>
        <stp>[BBG Class FINAL.xlsm]Ali vol!R63C16</stp>
        <tr r="P63" s="3"/>
      </tp>
      <tp t="b">
        <v>0</v>
        <stp/>
        <stp>##V3_BDHV12</stp>
        <stp>LAOG8 Comdty</stp>
        <stp>Last Trade</stp>
        <stp>16/10/2017</stp>
        <stp>16/10/2017</stp>
        <stp>[BBG Class FINAL.xlsm]Ali vol!R63C17</stp>
        <tr r="Q63" s="3"/>
      </tp>
      <tp t="b">
        <v>0</v>
        <stp/>
        <stp>##V3_BDHV12</stp>
        <stp>LAEG8 Comdty</stp>
        <stp>Last Trade</stp>
        <stp>06/11/2017</stp>
        <stp>06/11/2017</stp>
        <stp>[BBG Class FINAL.xlsm]Ali vol!R48C15</stp>
        <tr r="O48" s="3"/>
      </tp>
      <tp t="b">
        <v>0</v>
        <stp/>
        <stp>##V3_BDHV12</stp>
        <stp>LADG8 Comdty</stp>
        <stp>Last Trade</stp>
        <stp>06/11/2017</stp>
        <stp>06/11/2017</stp>
        <stp>[BBG Class FINAL.xlsm]Ali vol!R48C13</stp>
        <tr r="M48" s="3"/>
      </tp>
      <tp t="b">
        <v>0</v>
        <stp/>
        <stp>##V3_BDHV12</stp>
        <stp>LADG8 Comdty</stp>
        <stp>Last Trade</stp>
        <stp>16/10/2017</stp>
        <stp>16/10/2017</stp>
        <stp>[BBG Class FINAL.xlsm]Ali vol!R63C13</stp>
        <tr r="M63" s="3"/>
      </tp>
      <tp t="b">
        <v>0</v>
        <stp/>
        <stp>##V3_BDHV12</stp>
        <stp>LARF8 Comdty</stp>
        <stp>Last Trade</stp>
        <stp>14/11/2017</stp>
        <stp>14/11/2017</stp>
        <stp>[BBG Class FINAL.xlsm]Ali vol!R42C10</stp>
        <tr r="J42" s="3"/>
      </tp>
      <tp t="b">
        <v>0</v>
        <stp/>
        <stp>##V3_BDHV12</stp>
        <stp>LARF8 Comdty</stp>
        <stp>Last Trade</stp>
        <stp>15/11/2017</stp>
        <stp>15/11/2017</stp>
        <stp>[BBG Class FINAL.xlsm]Ali vol!R41C10</stp>
        <tr r="J41" s="3"/>
      </tp>
      <tp t="b">
        <v>0</v>
        <stp/>
        <stp>##V3_BDHV12</stp>
        <stp>LARG8 Comdty</stp>
        <stp>Last Trade</stp>
        <stp>13/10/2017</stp>
        <stp>13/10/2017</stp>
        <stp>[BBG Class FINAL.xlsm]Ali vol!R64C18</stp>
        <tr r="R64" s="3"/>
      </tp>
      <tp t="b">
        <v>0</v>
        <stp/>
        <stp>##V3_BDHV12</stp>
        <stp>LARG8 Comdty</stp>
        <stp>Last Trade</stp>
        <stp>03/11/2017</stp>
        <stp>03/11/2017</stp>
        <stp>[BBG Class FINAL.xlsm]Ali vol!R49C18</stp>
        <tr r="R49" s="3"/>
      </tp>
      <tp t="b">
        <v>0</v>
        <stp/>
        <stp>##V3_BDHV12</stp>
        <stp>LADG8 Comdty</stp>
        <stp>Last Trade</stp>
        <stp>03/11/2017</stp>
        <stp>03/11/2017</stp>
        <stp>[BBG Class FINAL.xlsm]Ali vol!R49C13</stp>
        <tr r="M49" s="3"/>
      </tp>
      <tp t="b">
        <v>0</v>
        <stp/>
        <stp>##V3_BDHV12</stp>
        <stp>LADG8 Comdty</stp>
        <stp>Last Trade</stp>
        <stp>13/10/2017</stp>
        <stp>13/10/2017</stp>
        <stp>[BBG Class FINAL.xlsm]Ali vol!R64C13</stp>
        <tr r="M64" s="3"/>
      </tp>
      <tp t="b">
        <v>0</v>
        <stp/>
        <stp>##V3_BDHV12</stp>
        <stp>LAOG8 Comdty</stp>
        <stp>Last Trade</stp>
        <stp>03/11/2017</stp>
        <stp>03/11/2017</stp>
        <stp>[BBG Class FINAL.xlsm]Ali vol!R49C17</stp>
        <tr r="Q49" s="3"/>
      </tp>
      <tp t="b">
        <v>0</v>
        <stp/>
        <stp>##V3_BDHV12</stp>
        <stp>LAEG8 Comdty</stp>
        <stp>Last Trade</stp>
        <stp>13/10/2017</stp>
        <stp>13/10/2017</stp>
        <stp>[BBG Class FINAL.xlsm]Ali vol!R64C15</stp>
        <tr r="O64" s="3"/>
      </tp>
      <tp t="b">
        <v>0</v>
        <stp/>
        <stp>##V3_BDHV12</stp>
        <stp>LACG8 Comdty</stp>
        <stp>Last Trade</stp>
        <stp>13/10/2017</stp>
        <stp>13/10/2017</stp>
        <stp>[BBG Class FINAL.xlsm]Ali vol!R64C14</stp>
        <tr r="N64" s="3"/>
      </tp>
      <tp t="b">
        <v>0</v>
        <stp/>
        <stp>##V3_BDHV12</stp>
        <stp>LAPG8 Comdty</stp>
        <stp>Last Trade</stp>
        <stp>03/11/2017</stp>
        <stp>03/11/2017</stp>
        <stp>[BBG Class FINAL.xlsm]Ali vol!R49C16</stp>
        <tr r="P49" s="3"/>
      </tp>
      <tp t="b">
        <v>0</v>
        <stp/>
        <stp>##V3_BDHV12</stp>
        <stp>LAEG8 Comdty</stp>
        <stp>Last Trade</stp>
        <stp>03/11/2017</stp>
        <stp>03/11/2017</stp>
        <stp>[BBG Class FINAL.xlsm]Ali vol!R49C15</stp>
        <tr r="O49" s="3"/>
      </tp>
      <tp t="b">
        <v>0</v>
        <stp/>
        <stp>##V3_BDHV12</stp>
        <stp>LAOG8 Comdty</stp>
        <stp>Last Trade</stp>
        <stp>13/10/2017</stp>
        <stp>13/10/2017</stp>
        <stp>[BBG Class FINAL.xlsm]Ali vol!R64C17</stp>
        <tr r="Q64" s="3"/>
      </tp>
      <tp t="b">
        <v>0</v>
        <stp/>
        <stp>##V3_BDHV12</stp>
        <stp>LACG8 Comdty</stp>
        <stp>Last Trade</stp>
        <stp>03/11/2017</stp>
        <stp>03/11/2017</stp>
        <stp>[BBG Class FINAL.xlsm]Ali vol!R49C14</stp>
        <tr r="N49" s="3"/>
      </tp>
      <tp t="b">
        <v>0</v>
        <stp/>
        <stp>##V3_BDHV12</stp>
        <stp>LAPG8 Comdty</stp>
        <stp>Last Trade</stp>
        <stp>13/10/2017</stp>
        <stp>13/10/2017</stp>
        <stp>[BBG Class FINAL.xlsm]Ali vol!R64C16</stp>
        <tr r="P64" s="3"/>
      </tp>
      <tp t="b">
        <v>0</v>
        <stp/>
        <stp>##V3_BDHV12</stp>
        <stp>LARG8 Comdty</stp>
        <stp>Last Trade</stp>
        <stp>12/10/2017</stp>
        <stp>12/10/2017</stp>
        <stp>[BBG Class FINAL.xlsm]Ali vol!R65C18</stp>
        <tr r="R65" s="3"/>
      </tp>
      <tp t="b">
        <v>0</v>
        <stp/>
        <stp>##V3_BDHV12</stp>
        <stp>LARG8 Comdty</stp>
        <stp>Last Trade</stp>
        <stp>02/11/2017</stp>
        <stp>02/11/2017</stp>
        <stp>[BBG Class FINAL.xlsm]Ali vol!R50C18</stp>
        <tr r="R50" s="3"/>
      </tp>
      <tp t="b">
        <v>0</v>
        <stp/>
        <stp>##V3_BDHV12</stp>
        <stp>LADG8 Comdty</stp>
        <stp>Last Trade</stp>
        <stp>02/11/2017</stp>
        <stp>02/11/2017</stp>
        <stp>[BBG Class FINAL.xlsm]Ali vol!R50C13</stp>
        <tr r="M50" s="3"/>
      </tp>
      <tp t="b">
        <v>0</v>
        <stp/>
        <stp>##V3_BDHV12</stp>
        <stp>LADG8 Comdty</stp>
        <stp>Last Trade</stp>
        <stp>12/10/2017</stp>
        <stp>12/10/2017</stp>
        <stp>[BBG Class FINAL.xlsm]Ali vol!R65C13</stp>
        <tr r="M65" s="3"/>
      </tp>
      <tp t="b">
        <v>0</v>
        <stp/>
        <stp>##V3_BDHV12</stp>
        <stp>LARF8 Comdty</stp>
        <stp>Last Trade</stp>
        <stp>13/11/2017</stp>
        <stp>13/11/2017</stp>
        <stp>[BBG Class FINAL.xlsm]Ali vol!R43C10</stp>
        <tr r="J43" s="3"/>
      </tp>
      <tp t="b">
        <v>0</v>
        <stp/>
        <stp>##V3_BDHV12</stp>
        <stp>LACG8 Comdty</stp>
        <stp>Last Trade</stp>
        <stp>12/10/2017</stp>
        <stp>12/10/2017</stp>
        <stp>[BBG Class FINAL.xlsm]Ali vol!R65C14</stp>
        <tr r="N65" s="3"/>
      </tp>
      <tp t="b">
        <v>0</v>
        <stp/>
        <stp>##V3_BDHV12</stp>
        <stp>LAOG8 Comdty</stp>
        <stp>Last Trade</stp>
        <stp>02/11/2017</stp>
        <stp>02/11/2017</stp>
        <stp>[BBG Class FINAL.xlsm]Ali vol!R50C17</stp>
        <tr r="Q50" s="3"/>
      </tp>
      <tp t="b">
        <v>0</v>
        <stp/>
        <stp>##V3_BDHV12</stp>
        <stp>LAEG8 Comdty</stp>
        <stp>Last Trade</stp>
        <stp>12/10/2017</stp>
        <stp>12/10/2017</stp>
        <stp>[BBG Class FINAL.xlsm]Ali vol!R65C15</stp>
        <tr r="O65" s="3"/>
      </tp>
      <tp t="b">
        <v>0</v>
        <stp/>
        <stp>##V3_BDHV12</stp>
        <stp>LAPG8 Comdty</stp>
        <stp>Last Trade</stp>
        <stp>02/11/2017</stp>
        <stp>02/11/2017</stp>
        <stp>[BBG Class FINAL.xlsm]Ali vol!R50C16</stp>
        <tr r="P50" s="3"/>
      </tp>
      <tp t="b">
        <v>0</v>
        <stp/>
        <stp>##V3_BDHV12</stp>
        <stp>LAEG8 Comdty</stp>
        <stp>Last Trade</stp>
        <stp>02/11/2017</stp>
        <stp>02/11/2017</stp>
        <stp>[BBG Class FINAL.xlsm]Ali vol!R50C15</stp>
        <tr r="O50" s="3"/>
      </tp>
      <tp t="b">
        <v>0</v>
        <stp/>
        <stp>##V3_BDHV12</stp>
        <stp>LAPG8 Comdty</stp>
        <stp>Last Trade</stp>
        <stp>12/10/2017</stp>
        <stp>12/10/2017</stp>
        <stp>[BBG Class FINAL.xlsm]Ali vol!R65C16</stp>
        <tr r="P65" s="3"/>
      </tp>
      <tp t="b">
        <v>0</v>
        <stp/>
        <stp>##V3_BDHV12</stp>
        <stp>LACG8 Comdty</stp>
        <stp>Last Trade</stp>
        <stp>02/11/2017</stp>
        <stp>02/11/2017</stp>
        <stp>[BBG Class FINAL.xlsm]Ali vol!R50C14</stp>
        <tr r="N50" s="3"/>
      </tp>
      <tp t="b">
        <v>0</v>
        <stp/>
        <stp>##V3_BDHV12</stp>
        <stp>LAOG8 Comdty</stp>
        <stp>Last Trade</stp>
        <stp>12/10/2017</stp>
        <stp>12/10/2017</stp>
        <stp>[BBG Class FINAL.xlsm]Ali vol!R65C17</stp>
        <tr r="Q65" s="3"/>
      </tp>
      <tp t="b">
        <v>0</v>
        <stp/>
        <stp>##V3_BDHV12</stp>
        <stp>LARG8 Comdty</stp>
        <stp>Last Trade</stp>
        <stp>01/11/2017</stp>
        <stp>01/11/2017</stp>
        <stp>[BBG Class FINAL.xlsm]Ali vol!R51C18</stp>
        <tr r="R51" s="3"/>
      </tp>
      <tp t="b">
        <v>0</v>
        <stp/>
        <stp>##V3_BDHV12</stp>
        <stp>LARG8 Comdty</stp>
        <stp>Last Trade</stp>
        <stp>11/10/2017</stp>
        <stp>11/10/2017</stp>
        <stp>[BBG Class FINAL.xlsm]Ali vol!R66C18</stp>
        <tr r="R66" s="3"/>
      </tp>
      <tp t="b">
        <v>0</v>
        <stp/>
        <stp>##V3_BDHV12</stp>
        <stp>LADG8 Comdty</stp>
        <stp>Last Trade</stp>
        <stp>11/10/2017</stp>
        <stp>11/10/2017</stp>
        <stp>[BBG Class FINAL.xlsm]Ali vol!R66C13</stp>
        <tr r="M66" s="3"/>
      </tp>
      <tp t="b">
        <v>0</v>
        <stp/>
        <stp>##V3_BDHV12</stp>
        <stp>LARF8 Comdty</stp>
        <stp>Last Trade</stp>
        <stp>10/11/2017</stp>
        <stp>10/11/2017</stp>
        <stp>[BBG Class FINAL.xlsm]Ali vol!R44C10</stp>
        <tr r="J44" s="3"/>
      </tp>
      <tp t="b">
        <v>0</v>
        <stp/>
        <stp>##V3_BDHV12</stp>
        <stp>LADG8 Comdty</stp>
        <stp>Last Trade</stp>
        <stp>01/11/2017</stp>
        <stp>01/11/2017</stp>
        <stp>[BBG Class FINAL.xlsm]Ali vol!R51C13</stp>
        <tr r="M51" s="3"/>
      </tp>
      <tp t="b">
        <v>0</v>
        <stp/>
        <stp>##V3_BDHV12</stp>
        <stp>LACG8 Comdty</stp>
        <stp>Last Trade</stp>
        <stp>01/11/2017</stp>
        <stp>01/11/2017</stp>
        <stp>[BBG Class FINAL.xlsm]Ali vol!R51C14</stp>
        <tr r="N51" s="3"/>
      </tp>
      <tp t="b">
        <v>0</v>
        <stp/>
        <stp>##V3_BDHV12</stp>
        <stp>LAOG8 Comdty</stp>
        <stp>Last Trade</stp>
        <stp>11/10/2017</stp>
        <stp>11/10/2017</stp>
        <stp>[BBG Class FINAL.xlsm]Ali vol!R66C17</stp>
        <tr r="Q66" s="3"/>
      </tp>
      <tp t="b">
        <v>0</v>
        <stp/>
        <stp>##V3_BDHV12</stp>
        <stp>LAEG8 Comdty</stp>
        <stp>Last Trade</stp>
        <stp>01/11/2017</stp>
        <stp>01/11/2017</stp>
        <stp>[BBG Class FINAL.xlsm]Ali vol!R51C15</stp>
        <tr r="O51" s="3"/>
      </tp>
      <tp t="b">
        <v>0</v>
        <stp/>
        <stp>##V3_BDHV12</stp>
        <stp>LAPG8 Comdty</stp>
        <stp>Last Trade</stp>
        <stp>11/10/2017</stp>
        <stp>11/10/2017</stp>
        <stp>[BBG Class FINAL.xlsm]Ali vol!R66C16</stp>
        <tr r="P66" s="3"/>
      </tp>
      <tp t="b">
        <v>0</v>
        <stp/>
        <stp>##V3_BDHV12</stp>
        <stp>LAEG8 Comdty</stp>
        <stp>Last Trade</stp>
        <stp>11/10/2017</stp>
        <stp>11/10/2017</stp>
        <stp>[BBG Class FINAL.xlsm]Ali vol!R66C15</stp>
        <tr r="O66" s="3"/>
      </tp>
      <tp t="b">
        <v>0</v>
        <stp/>
        <stp>##V3_BDHV12</stp>
        <stp>LAPG8 Comdty</stp>
        <stp>Last Trade</stp>
        <stp>01/11/2017</stp>
        <stp>01/11/2017</stp>
        <stp>[BBG Class FINAL.xlsm]Ali vol!R51C16</stp>
        <tr r="P51" s="3"/>
      </tp>
      <tp t="b">
        <v>0</v>
        <stp/>
        <stp>##V3_BDHV12</stp>
        <stp>LACG8 Comdty</stp>
        <stp>Last Trade</stp>
        <stp>11/10/2017</stp>
        <stp>11/10/2017</stp>
        <stp>[BBG Class FINAL.xlsm]Ali vol!R66C14</stp>
        <tr r="N66" s="3"/>
      </tp>
      <tp t="b">
        <v>0</v>
        <stp/>
        <stp>##V3_BDHV12</stp>
        <stp>LAOG8 Comdty</stp>
        <stp>Last Trade</stp>
        <stp>01/11/2017</stp>
        <stp>01/11/2017</stp>
        <stp>[BBG Class FINAL.xlsm]Ali vol!R51C17</stp>
        <tr r="Q51" s="3"/>
      </tp>
      <tp t="b">
        <v>0</v>
        <stp/>
        <stp>##V3_BDHV12</stp>
        <stp>LARG8 Comdty</stp>
        <stp>Last Trade</stp>
        <stp>10/10/2017</stp>
        <stp>10/10/2017</stp>
        <stp>[BBG Class FINAL.xlsm]Ali vol!R67C18</stp>
        <tr r="R67" s="3"/>
      </tp>
      <tp t="b">
        <v>0</v>
        <stp/>
        <stp>##V3_BDHV12</stp>
        <stp>LADG8 Comdty</stp>
        <stp>Last Trade</stp>
        <stp>10/10/2017</stp>
        <stp>10/10/2017</stp>
        <stp>[BBG Class FINAL.xlsm]Ali vol!R67C13</stp>
        <tr r="M67" s="3"/>
      </tp>
      <tp t="b">
        <v>0</v>
        <stp/>
        <stp>##V3_BDHV12</stp>
        <stp>LAPG8 Comdty</stp>
        <stp>Last Trade</stp>
        <stp>10/10/2017</stp>
        <stp>10/10/2017</stp>
        <stp>[BBG Class FINAL.xlsm]Ali vol!R67C16</stp>
        <tr r="P67" s="3"/>
      </tp>
      <tp t="b">
        <v>0</v>
        <stp/>
        <stp>##V3_BDHV12</stp>
        <stp>LAOG8 Comdty</stp>
        <stp>Last Trade</stp>
        <stp>10/10/2017</stp>
        <stp>10/10/2017</stp>
        <stp>[BBG Class FINAL.xlsm]Ali vol!R67C17</stp>
        <tr r="Q67" s="3"/>
      </tp>
      <tp t="b">
        <v>0</v>
        <stp/>
        <stp>##V3_BDHV12</stp>
        <stp>LACG8 Comdty</stp>
        <stp>Last Trade</stp>
        <stp>10/10/2017</stp>
        <stp>10/10/2017</stp>
        <stp>[BBG Class FINAL.xlsm]Ali vol!R67C14</stp>
        <tr r="N67" s="3"/>
      </tp>
      <tp t="b">
        <v>0</v>
        <stp/>
        <stp>##V3_BDHV12</stp>
        <stp>LAEG8 Comdty</stp>
        <stp>Last Trade</stp>
        <stp>10/10/2017</stp>
        <stp>10/10/2017</stp>
        <stp>[BBG Class FINAL.xlsm]Ali vol!R67C15</stp>
        <tr r="O67" s="3"/>
      </tp>
      <tp t="b">
        <v>0</v>
        <stp/>
        <stp>##V3_BDHV12</stp>
        <stp>LADG8 Comdty</stp>
        <stp>Last Trade</stp>
        <stp>19/10/2017</stp>
        <stp>19/10/2017</stp>
        <stp>[BBG Class FINAL.xlsm]Ali vol!R60C13</stp>
        <tr r="M60" s="3"/>
      </tp>
      <tp t="b">
        <v>0</v>
        <stp/>
        <stp>##V3_BDHV12</stp>
        <stp>LADG8 Comdty</stp>
        <stp>Last Trade</stp>
        <stp>09/11/2017</stp>
        <stp>09/11/2017</stp>
        <stp>[BBG Class FINAL.xlsm]Ali vol!R45C13</stp>
        <tr r="M45" s="3"/>
      </tp>
      <tp t="b">
        <v>0</v>
        <stp/>
        <stp>##V3_BDHV12</stp>
        <stp>LAEG8 Comdty</stp>
        <stp>Last Trade</stp>
        <stp>09/11/2017</stp>
        <stp>09/11/2017</stp>
        <stp>[BBG Class FINAL.xlsm]Ali vol!R45C15</stp>
        <tr r="O45" s="3"/>
      </tp>
      <tp t="b">
        <v>0</v>
        <stp/>
        <stp>##V3_BDHV12</stp>
        <stp>LAOG8 Comdty</stp>
        <stp>Last Trade</stp>
        <stp>19/10/2017</stp>
        <stp>19/10/2017</stp>
        <stp>[BBG Class FINAL.xlsm]Ali vol!R60C17</stp>
        <tr r="Q60" s="3"/>
      </tp>
      <tp t="b">
        <v>0</v>
        <stp/>
        <stp>##V3_BDHV12</stp>
        <stp>LACG8 Comdty</stp>
        <stp>Last Trade</stp>
        <stp>09/11/2017</stp>
        <stp>09/11/2017</stp>
        <stp>[BBG Class FINAL.xlsm]Ali vol!R45C14</stp>
        <tr r="N45" s="3"/>
      </tp>
      <tp t="b">
        <v>0</v>
        <stp/>
        <stp>##V3_BDHV12</stp>
        <stp>LAPG8 Comdty</stp>
        <stp>Last Trade</stp>
        <stp>19/10/2017</stp>
        <stp>19/10/2017</stp>
        <stp>[BBG Class FINAL.xlsm]Ali vol!R60C16</stp>
        <tr r="P60" s="3"/>
      </tp>
      <tp t="b">
        <v>0</v>
        <stp/>
        <stp>##V3_BDHV12</stp>
        <stp>LAEG8 Comdty</stp>
        <stp>Last Trade</stp>
        <stp>19/10/2017</stp>
        <stp>19/10/2017</stp>
        <stp>[BBG Class FINAL.xlsm]Ali vol!R60C15</stp>
        <tr r="O60" s="3"/>
      </tp>
      <tp t="b">
        <v>0</v>
        <stp/>
        <stp>##V3_BDHV12</stp>
        <stp>LAOG8 Comdty</stp>
        <stp>Last Trade</stp>
        <stp>09/11/2017</stp>
        <stp>09/11/2017</stp>
        <stp>[BBG Class FINAL.xlsm]Ali vol!R45C17</stp>
        <tr r="Q45" s="3"/>
      </tp>
      <tp t="b">
        <v>0</v>
        <stp/>
        <stp>##V3_BDHV12</stp>
        <stp>LACG8 Comdty</stp>
        <stp>Last Trade</stp>
        <stp>19/10/2017</stp>
        <stp>19/10/2017</stp>
        <stp>[BBG Class FINAL.xlsm]Ali vol!R60C14</stp>
        <tr r="N60" s="3"/>
      </tp>
      <tp t="b">
        <v>0</v>
        <stp/>
        <stp>##V3_BDHV12</stp>
        <stp>LAPG8 Comdty</stp>
        <stp>Last Trade</stp>
        <stp>09/11/2017</stp>
        <stp>09/11/2017</stp>
        <stp>[BBG Class FINAL.xlsm]Ali vol!R45C16</stp>
        <tr r="P45" s="3"/>
      </tp>
      <tp t="b">
        <v>0</v>
        <stp/>
        <stp>##V3_BDHV12</stp>
        <stp>LARG8 Comdty</stp>
        <stp>Last Trade</stp>
        <stp>09/11/2017</stp>
        <stp>09/11/2017</stp>
        <stp>[BBG Class FINAL.xlsm]Ali vol!R45C18</stp>
        <tr r="R45" s="3"/>
      </tp>
      <tp t="b">
        <v>0</v>
        <stp/>
        <stp>##V3_BDHV12</stp>
        <stp>LARG8 Comdty</stp>
        <stp>Last Trade</stp>
        <stp>19/10/2017</stp>
        <stp>19/10/2017</stp>
        <stp>[BBG Class FINAL.xlsm]Ali vol!R60C18</stp>
        <tr r="R60" s="3"/>
      </tp>
      <tp t="b">
        <v>0</v>
        <stp/>
        <stp>##V3_BDHV12</stp>
        <stp>LADG8 Comdty</stp>
        <stp>Last Trade</stp>
        <stp>18/10/2017</stp>
        <stp>18/10/2017</stp>
        <stp>[BBG Class FINAL.xlsm]Ali vol!R61C13</stp>
        <tr r="M61" s="3"/>
      </tp>
      <tp t="b">
        <v>0</v>
        <stp/>
        <stp>##V3_BDHV12</stp>
        <stp>LADG8 Comdty</stp>
        <stp>Last Trade</stp>
        <stp>08/11/2017</stp>
        <stp>08/11/2017</stp>
        <stp>[BBG Class FINAL.xlsm]Ali vol!R46C13</stp>
        <tr r="M46" s="3"/>
      </tp>
      <tp t="b">
        <v>0</v>
        <stp/>
        <stp>##V3_BDHV12</stp>
        <stp>LARF8 Comdty</stp>
        <stp>Last Trade</stp>
        <stp>09/10/2017</stp>
        <stp>09/10/2017</stp>
        <stp>[BBG Class FINAL.xlsm]Ali vol!R68C10</stp>
        <tr r="J68" s="3"/>
      </tp>
      <tp t="b">
        <v>0</v>
        <stp/>
        <stp>##V3_BDHV12</stp>
        <stp>LACG8 Comdty</stp>
        <stp>Last Trade</stp>
        <stp>08/11/2017</stp>
        <stp>08/11/2017</stp>
        <stp>[BBG Class FINAL.xlsm]Ali vol!R46C14</stp>
        <tr r="N46" s="3"/>
      </tp>
      <tp t="b">
        <v>0</v>
        <stp/>
        <stp>##V3_BDHV12</stp>
        <stp>LAPG8 Comdty</stp>
        <stp>Last Trade</stp>
        <stp>18/10/2017</stp>
        <stp>18/10/2017</stp>
        <stp>[BBG Class FINAL.xlsm]Ali vol!R61C16</stp>
        <tr r="P61" s="3"/>
      </tp>
      <tp t="b">
        <v>0</v>
        <stp/>
        <stp>##V3_BDHV12</stp>
        <stp>LAEG8 Comdty</stp>
        <stp>Last Trade</stp>
        <stp>08/11/2017</stp>
        <stp>08/11/2017</stp>
        <stp>[BBG Class FINAL.xlsm]Ali vol!R46C15</stp>
        <tr r="O46" s="3"/>
      </tp>
      <tp t="b">
        <v>0</v>
        <stp/>
        <stp>##V3_BDHV12</stp>
        <stp>LAOG8 Comdty</stp>
        <stp>Last Trade</stp>
        <stp>18/10/2017</stp>
        <stp>18/10/2017</stp>
        <stp>[BBG Class FINAL.xlsm]Ali vol!R61C17</stp>
        <tr r="Q61" s="3"/>
      </tp>
      <tp t="b">
        <v>0</v>
        <stp/>
        <stp>##V3_BDHV12</stp>
        <stp>LACG8 Comdty</stp>
        <stp>Last Trade</stp>
        <stp>18/10/2017</stp>
        <stp>18/10/2017</stp>
        <stp>[BBG Class FINAL.xlsm]Ali vol!R61C14</stp>
        <tr r="N61" s="3"/>
      </tp>
      <tp t="b">
        <v>0</v>
        <stp/>
        <stp>##V3_BDHV12</stp>
        <stp>LAPG8 Comdty</stp>
        <stp>Last Trade</stp>
        <stp>08/11/2017</stp>
        <stp>08/11/2017</stp>
        <stp>[BBG Class FINAL.xlsm]Ali vol!R46C16</stp>
        <tr r="P46" s="3"/>
      </tp>
      <tp t="b">
        <v>0</v>
        <stp/>
        <stp>##V3_BDHV12</stp>
        <stp>LAEG8 Comdty</stp>
        <stp>Last Trade</stp>
        <stp>18/10/2017</stp>
        <stp>18/10/2017</stp>
        <stp>[BBG Class FINAL.xlsm]Ali vol!R61C15</stp>
        <tr r="O61" s="3"/>
      </tp>
      <tp t="b">
        <v>0</v>
        <stp/>
        <stp>##V3_BDHV12</stp>
        <stp>LAOG8 Comdty</stp>
        <stp>Last Trade</stp>
        <stp>08/11/2017</stp>
        <stp>08/11/2017</stp>
        <stp>[BBG Class FINAL.xlsm]Ali vol!R46C17</stp>
        <tr r="Q46" s="3"/>
      </tp>
      <tp t="b">
        <v>0</v>
        <stp/>
        <stp>##V3_BDHV12</stp>
        <stp>LARG8 Comdty</stp>
        <stp>Last Trade</stp>
        <stp>08/11/2017</stp>
        <stp>08/11/2017</stp>
        <stp>[BBG Class FINAL.xlsm]Ali vol!R46C18</stp>
        <tr r="R46" s="3"/>
      </tp>
      <tp t="b">
        <v>0</v>
        <stp/>
        <stp>##V3_BDHV12</stp>
        <stp>LARG8 Comdty</stp>
        <stp>Last Trade</stp>
        <stp>18/10/2017</stp>
        <stp>18/10/2017</stp>
        <stp>[BBG Class FINAL.xlsm]Ali vol!R61C18</stp>
        <tr r="R61" s="3"/>
      </tp>
      <tp t="b">
        <v>0</v>
        <stp/>
        <stp>##V3_BDHV12</stp>
        <stp>LARG8 Comdty</stp>
        <stp>Last Trade</stp>
        <stp>16/11/2017</stp>
        <stp>16/11/2017</stp>
        <stp>[BBG Class FINAL.xlsm]Ali vol!R40C18</stp>
        <tr r="R40" s="3"/>
      </tp>
      <tp t="b">
        <v>0</v>
        <stp/>
        <stp>##V3_BDHV12</stp>
        <stp>LAPG8 Comdty</stp>
        <stp>Last Trade</stp>
        <stp>16/11/2017</stp>
        <stp>16/11/2017</stp>
        <stp>[BBG Class FINAL.xlsm]Ali vol!R40C16</stp>
        <tr r="P40" s="3"/>
      </tp>
      <tp t="b">
        <v>0</v>
        <stp/>
        <stp>##V3_BDHV12</stp>
        <stp>LAOG8 Comdty</stp>
        <stp>Last Trade</stp>
        <stp>16/11/2017</stp>
        <stp>16/11/2017</stp>
        <stp>[BBG Class FINAL.xlsm]Ali vol!R40C17</stp>
        <tr r="Q40" s="3"/>
      </tp>
      <tp t="b">
        <v>0</v>
        <stp/>
        <stp>##V3_BDHV12</stp>
        <stp>LACG8 Comdty</stp>
        <stp>Last Trade</stp>
        <stp>16/11/2017</stp>
        <stp>16/11/2017</stp>
        <stp>[BBG Class FINAL.xlsm]Ali vol!R40C14</stp>
        <tr r="N40" s="3"/>
      </tp>
      <tp t="b">
        <v>0</v>
        <stp/>
        <stp>##V3_BDHV12</stp>
        <stp>LAEG8 Comdty</stp>
        <stp>Last Trade</stp>
        <stp>16/11/2017</stp>
        <stp>16/11/2017</stp>
        <stp>[BBG Class FINAL.xlsm]Ali vol!R40C15</stp>
        <tr r="O40" s="3"/>
      </tp>
      <tp t="b">
        <v>0</v>
        <stp/>
        <stp>##V3_BDHV12</stp>
        <stp>LADG8 Comdty</stp>
        <stp>Last Trade</stp>
        <stp>16/11/2017</stp>
        <stp>16/11/2017</stp>
        <stp>[BBG Class FINAL.xlsm]Ali vol!R40C13</stp>
        <tr r="M40" s="3"/>
      </tp>
      <tp t="b">
        <v>0</v>
        <stp/>
        <stp>##V3_BDHV12</stp>
        <stp>LARF8 Comdty</stp>
        <stp>Last Trade</stp>
        <stp>17/10/2017</stp>
        <stp>17/10/2017</stp>
        <stp>[BBG Class FINAL.xlsm]Ali vol!R62C10</stp>
        <tr r="J62" s="3"/>
      </tp>
      <tp t="b">
        <v>0</v>
        <stp/>
        <stp>##V3_BDHV12</stp>
        <stp>LARF8 Comdty</stp>
        <stp>Last Trade</stp>
        <stp>07/11/2017</stp>
        <stp>07/11/2017</stp>
        <stp>[BBG Class FINAL.xlsm]Ali vol!R47C10</stp>
        <tr r="J47" s="3"/>
      </tp>
      <tp t="b">
        <v>0</v>
        <stp/>
        <stp>##V3_BDHV12</stp>
        <stp>LARG8 Comdty</stp>
        <stp>Last Trade</stp>
        <stp>17/11/2017</stp>
        <stp>17/11/2017</stp>
        <stp>[BBG Class FINAL.xlsm]Ali vol!R39C18</stp>
        <tr r="R39" s="3"/>
      </tp>
      <tp t="b">
        <v>0</v>
        <stp/>
        <stp>##V3_BDHV12</stp>
        <stp>LADG8 Comdty</stp>
        <stp>Last Trade</stp>
        <stp>17/11/2017</stp>
        <stp>17/11/2017</stp>
        <stp>[BBG Class FINAL.xlsm]Ali vol!R39C13</stp>
        <tr r="M39" s="3"/>
      </tp>
      <tp t="b">
        <v>0</v>
        <stp/>
        <stp>##V3_BDHV12</stp>
        <stp>LACG8 Comdty</stp>
        <stp>Last Trade</stp>
        <stp>17/11/2017</stp>
        <stp>17/11/2017</stp>
        <stp>[BBG Class FINAL.xlsm]Ali vol!R39C14</stp>
        <tr r="N39" s="3"/>
      </tp>
      <tp t="b">
        <v>0</v>
        <stp/>
        <stp>##V3_BDHV12</stp>
        <stp>LARF8 Comdty</stp>
        <stp>Last Trade</stp>
        <stp>16/10/2017</stp>
        <stp>16/10/2017</stp>
        <stp>[BBG Class FINAL.xlsm]Ali vol!R63C10</stp>
        <tr r="J63" s="3"/>
      </tp>
      <tp t="b">
        <v>0</v>
        <stp/>
        <stp>##V3_BDHV12</stp>
        <stp>LAEG8 Comdty</stp>
        <stp>Last Trade</stp>
        <stp>17/11/2017</stp>
        <stp>17/11/2017</stp>
        <stp>[BBG Class FINAL.xlsm]Ali vol!R39C15</stp>
        <tr r="O39" s="3"/>
      </tp>
      <tp t="b">
        <v>0</v>
        <stp/>
        <stp>##V3_BDHV12</stp>
        <stp>LARF8 Comdty</stp>
        <stp>Last Trade</stp>
        <stp>06/11/2017</stp>
        <stp>06/11/2017</stp>
        <stp>[BBG Class FINAL.xlsm]Ali vol!R48C10</stp>
        <tr r="J48" s="3"/>
      </tp>
      <tp t="b">
        <v>0</v>
        <stp/>
        <stp>##V3_BDHV12</stp>
        <stp>LAPG8 Comdty</stp>
        <stp>Last Trade</stp>
        <stp>17/11/2017</stp>
        <stp>17/11/2017</stp>
        <stp>[BBG Class FINAL.xlsm]Ali vol!R39C16</stp>
        <tr r="P39" s="3"/>
      </tp>
      <tp t="b">
        <v>0</v>
        <stp/>
        <stp>##V3_BDHV12</stp>
        <stp>LAOG8 Comdty</stp>
        <stp>Last Trade</stp>
        <stp>17/11/2017</stp>
        <stp>17/11/2017</stp>
        <stp>[BBG Class FINAL.xlsm]Ali vol!R39C17</stp>
        <tr r="Q39" s="3"/>
      </tp>
      <tp t="b">
        <v>0</v>
        <stp/>
        <stp>##V3_BDHV12</stp>
        <stp>LARG8 Comdty</stp>
        <stp>Last Trade</stp>
        <stp>14/11/2017</stp>
        <stp>14/11/2017</stp>
        <stp>[BBG Class FINAL.xlsm]Ali vol!R42C18</stp>
        <tr r="R42" s="3"/>
      </tp>
      <tp t="b">
        <v>0</v>
        <stp/>
        <stp>##V3_BDHV12</stp>
        <stp>LACG8 Comdty</stp>
        <stp>Last Trade</stp>
        <stp>14/11/2017</stp>
        <stp>14/11/2017</stp>
        <stp>[BBG Class FINAL.xlsm]Ali vol!R42C14</stp>
        <tr r="N42" s="3"/>
      </tp>
      <tp t="b">
        <v>0</v>
        <stp/>
        <stp>##V3_BDHV12</stp>
        <stp>LAEG8 Comdty</stp>
        <stp>Last Trade</stp>
        <stp>14/11/2017</stp>
        <stp>14/11/2017</stp>
        <stp>[BBG Class FINAL.xlsm]Ali vol!R42C15</stp>
        <tr r="O42" s="3"/>
      </tp>
      <tp t="b">
        <v>0</v>
        <stp/>
        <stp>##V3_BDHV12</stp>
        <stp>LAPG8 Comdty</stp>
        <stp>Last Trade</stp>
        <stp>14/11/2017</stp>
        <stp>14/11/2017</stp>
        <stp>[BBG Class FINAL.xlsm]Ali vol!R42C16</stp>
        <tr r="P42" s="3"/>
      </tp>
      <tp t="b">
        <v>0</v>
        <stp/>
        <stp>##V3_BDHV12</stp>
        <stp>LAOG8 Comdty</stp>
        <stp>Last Trade</stp>
        <stp>14/11/2017</stp>
        <stp>14/11/2017</stp>
        <stp>[BBG Class FINAL.xlsm]Ali vol!R42C17</stp>
        <tr r="Q42" s="3"/>
      </tp>
      <tp t="b">
        <v>0</v>
        <stp/>
        <stp>##V3_BDHV12</stp>
        <stp>LADG8 Comdty</stp>
        <stp>Last Trade</stp>
        <stp>14/11/2017</stp>
        <stp>14/11/2017</stp>
        <stp>[BBG Class FINAL.xlsm]Ali vol!R42C13</stp>
        <tr r="M42" s="3"/>
      </tp>
      <tp t="b">
        <v>0</v>
        <stp/>
        <stp>##V3_BDHV12</stp>
        <stp>LARG8 Comdty</stp>
        <stp>Last Trade</stp>
        <stp>15/11/2017</stp>
        <stp>15/11/2017</stp>
        <stp>[BBG Class FINAL.xlsm]Ali vol!R41C18</stp>
        <tr r="R41" s="3"/>
      </tp>
      <tp t="b">
        <v>0</v>
        <stp/>
        <stp>##V3_BDHV12</stp>
        <stp>LAEG8 Comdty</stp>
        <stp>Last Trade</stp>
        <stp>15/11/2017</stp>
        <stp>15/11/2017</stp>
        <stp>[BBG Class FINAL.xlsm]Ali vol!R41C15</stp>
        <tr r="O41" s="3"/>
      </tp>
      <tp t="b">
        <v>0</v>
        <stp/>
        <stp>##V3_BDHV12</stp>
        <stp>LACG8 Comdty</stp>
        <stp>Last Trade</stp>
        <stp>15/11/2017</stp>
        <stp>15/11/2017</stp>
        <stp>[BBG Class FINAL.xlsm]Ali vol!R41C14</stp>
        <tr r="N41" s="3"/>
      </tp>
      <tp t="b">
        <v>0</v>
        <stp/>
        <stp>##V3_BDHV12</stp>
        <stp>LAOG8 Comdty</stp>
        <stp>Last Trade</stp>
        <stp>15/11/2017</stp>
        <stp>15/11/2017</stp>
        <stp>[BBG Class FINAL.xlsm]Ali vol!R41C17</stp>
        <tr r="Q41" s="3"/>
      </tp>
      <tp t="b">
        <v>0</v>
        <stp/>
        <stp>##V3_BDHV12</stp>
        <stp>LAPG8 Comdty</stp>
        <stp>Last Trade</stp>
        <stp>15/11/2017</stp>
        <stp>15/11/2017</stp>
        <stp>[BBG Class FINAL.xlsm]Ali vol!R41C16</stp>
        <tr r="P41" s="3"/>
      </tp>
      <tp t="b">
        <v>0</v>
        <stp/>
        <stp>##V3_BDHV12</stp>
        <stp>LADG8 Comdty</stp>
        <stp>Last Trade</stp>
        <stp>15/11/2017</stp>
        <stp>15/11/2017</stp>
        <stp>[BBG Class FINAL.xlsm]Ali vol!R41C13</stp>
        <tr r="M41" s="3"/>
      </tp>
      <tp t="b">
        <v>0</v>
        <stp/>
        <stp>##V3_BDHV12</stp>
        <stp>LARF8 Comdty</stp>
        <stp>Last Trade</stp>
        <stp>13/10/2017</stp>
        <stp>13/10/2017</stp>
        <stp>[BBG Class FINAL.xlsm]Ali vol!R64C10</stp>
        <tr r="J64" s="3"/>
      </tp>
      <tp t="b">
        <v>0</v>
        <stp/>
        <stp>##V3_BDHV12</stp>
        <stp>LARF8 Comdty</stp>
        <stp>Last Trade</stp>
        <stp>03/11/2017</stp>
        <stp>03/11/2017</stp>
        <stp>[BBG Class FINAL.xlsm]Ali vol!R49C10</stp>
        <tr r="J49" s="3"/>
      </tp>
      <tp t="b">
        <v>0</v>
        <stp/>
        <stp>##V3_BDHV12</stp>
        <stp>LARG8 Comdty</stp>
        <stp>Last Trade</stp>
        <stp>13/11/2017</stp>
        <stp>13/11/2017</stp>
        <stp>[BBG Class FINAL.xlsm]Ali vol!R43C18</stp>
        <tr r="R43" s="3"/>
      </tp>
      <tp t="b">
        <v>0</v>
        <stp/>
        <stp>##V3_BDHV12</stp>
        <stp>LADG8 Comdty</stp>
        <stp>Last Trade</stp>
        <stp>13/11/2017</stp>
        <stp>13/11/2017</stp>
        <stp>[BBG Class FINAL.xlsm]Ali vol!R43C13</stp>
        <tr r="M43" s="3"/>
      </tp>
      <tp t="b">
        <v>0</v>
        <stp/>
        <stp>##V3_BDHV12</stp>
        <stp>LARF8 Comdty</stp>
        <stp>Last Trade</stp>
        <stp>12/10/2017</stp>
        <stp>12/10/2017</stp>
        <stp>[BBG Class FINAL.xlsm]Ali vol!R65C10</stp>
        <tr r="J65" s="3"/>
      </tp>
      <tp t="b">
        <v>0</v>
        <stp/>
        <stp>##V3_BDHV12</stp>
        <stp>LARF8 Comdty</stp>
        <stp>Last Trade</stp>
        <stp>02/11/2017</stp>
        <stp>02/11/2017</stp>
        <stp>[BBG Class FINAL.xlsm]Ali vol!R50C10</stp>
        <tr r="J50" s="3"/>
      </tp>
      <tp t="b">
        <v>0</v>
        <stp/>
        <stp>##V3_BDHV12</stp>
        <stp>LAOG8 Comdty</stp>
        <stp>Last Trade</stp>
        <stp>13/11/2017</stp>
        <stp>13/11/2017</stp>
        <stp>[BBG Class FINAL.xlsm]Ali vol!R43C17</stp>
        <tr r="Q43" s="3"/>
      </tp>
      <tp t="b">
        <v>0</v>
        <stp/>
        <stp>##V3_BDHV12</stp>
        <stp>LAPG8 Comdty</stp>
        <stp>Last Trade</stp>
        <stp>13/11/2017</stp>
        <stp>13/11/2017</stp>
        <stp>[BBG Class FINAL.xlsm]Ali vol!R43C16</stp>
        <tr r="P43" s="3"/>
      </tp>
      <tp t="b">
        <v>0</v>
        <stp/>
        <stp>##V3_BDHV12</stp>
        <stp>LAEG8 Comdty</stp>
        <stp>Last Trade</stp>
        <stp>13/11/2017</stp>
        <stp>13/11/2017</stp>
        <stp>[BBG Class FINAL.xlsm]Ali vol!R43C15</stp>
        <tr r="O43" s="3"/>
      </tp>
      <tp t="b">
        <v>0</v>
        <stp/>
        <stp>##V3_BDHV12</stp>
        <stp>LACG8 Comdty</stp>
        <stp>Last Trade</stp>
        <stp>13/11/2017</stp>
        <stp>13/11/2017</stp>
        <stp>[BBG Class FINAL.xlsm]Ali vol!R43C14</stp>
        <tr r="N43" s="3"/>
      </tp>
      <tp t="b">
        <v>0</v>
        <stp/>
        <stp>##V3_BDHV12</stp>
        <stp>LARG8 Comdty</stp>
        <stp>Last Trade</stp>
        <stp>10/11/2017</stp>
        <stp>10/11/2017</stp>
        <stp>[BBG Class FINAL.xlsm]Ali vol!R44C18</stp>
        <tr r="R44" s="3"/>
      </tp>
      <tp t="b">
        <v>0</v>
        <stp/>
        <stp>##V3_BDHV12</stp>
        <stp>LARF8 Comdty</stp>
        <stp>Last Trade</stp>
        <stp>01/11/2017</stp>
        <stp>01/11/2017</stp>
        <stp>[BBG Class FINAL.xlsm]Ali vol!R51C10</stp>
        <tr r="J51" s="3"/>
      </tp>
      <tp t="b">
        <v>0</v>
        <stp/>
        <stp>##V3_BDHV12</stp>
        <stp>LADG8 Comdty</stp>
        <stp>Last Trade</stp>
        <stp>10/11/2017</stp>
        <stp>10/11/2017</stp>
        <stp>[BBG Class FINAL.xlsm]Ali vol!R44C13</stp>
        <tr r="M44" s="3"/>
      </tp>
      <tp t="b">
        <v>0</v>
        <stp/>
        <stp>##V3_BDHV12</stp>
        <stp>LARF8 Comdty</stp>
        <stp>Last Trade</stp>
        <stp>11/10/2017</stp>
        <stp>11/10/2017</stp>
        <stp>[BBG Class FINAL.xlsm]Ali vol!R66C10</stp>
        <tr r="J66" s="3"/>
      </tp>
      <tp t="b">
        <v>0</v>
        <stp/>
        <stp>##V3_BDHV12</stp>
        <stp>LACG8 Comdty</stp>
        <stp>Last Trade</stp>
        <stp>10/11/2017</stp>
        <stp>10/11/2017</stp>
        <stp>[BBG Class FINAL.xlsm]Ali vol!R44C14</stp>
        <tr r="N44" s="3"/>
      </tp>
      <tp t="b">
        <v>0</v>
        <stp/>
        <stp>##V3_BDHV12</stp>
        <stp>LAEG8 Comdty</stp>
        <stp>Last Trade</stp>
        <stp>10/11/2017</stp>
        <stp>10/11/2017</stp>
        <stp>[BBG Class FINAL.xlsm]Ali vol!R44C15</stp>
        <tr r="O44" s="3"/>
      </tp>
      <tp t="b">
        <v>0</v>
        <stp/>
        <stp>##V3_BDHV12</stp>
        <stp>LAPG8 Comdty</stp>
        <stp>Last Trade</stp>
        <stp>10/11/2017</stp>
        <stp>10/11/2017</stp>
        <stp>[BBG Class FINAL.xlsm]Ali vol!R44C16</stp>
        <tr r="P44" s="3"/>
      </tp>
      <tp t="b">
        <v>0</v>
        <stp/>
        <stp>##V3_BDHV12</stp>
        <stp>LAOG8 Comdty</stp>
        <stp>Last Trade</stp>
        <stp>10/11/2017</stp>
        <stp>10/11/2017</stp>
        <stp>[BBG Class FINAL.xlsm]Ali vol!R44C17</stp>
        <tr r="Q44" s="3"/>
      </tp>
      <tp t="b">
        <v>0</v>
        <stp/>
        <stp>##V3_BDHV12</stp>
        <stp>LARF8 Comdty</stp>
        <stp>Last Trade</stp>
        <stp>10/10/2017</stp>
        <stp>10/10/2017</stp>
        <stp>[BBG Class FINAL.xlsm]Ali vol!R67C10</stp>
        <tr r="J67" s="3"/>
      </tp>
      <tp t="b">
        <v>0</v>
        <stp/>
        <stp>##V3_BDHV12</stp>
        <stp>LARF8 Comdty</stp>
        <stp>Last Trade</stp>
        <stp>09/11/2017</stp>
        <stp>09/11/2017</stp>
        <stp>[BBG Class FINAL.xlsm]Ali vol!R45C10</stp>
        <tr r="J45" s="3"/>
      </tp>
      <tp t="b">
        <v>0</v>
        <stp/>
        <stp>##V3_BDHV12</stp>
        <stp>LARF8 Comdty</stp>
        <stp>Last Trade</stp>
        <stp>19/10/2017</stp>
        <stp>19/10/2017</stp>
        <stp>[BBG Class FINAL.xlsm]Ali vol!R60C10</stp>
        <tr r="J60" s="3"/>
      </tp>
      <tp t="b">
        <v>0</v>
        <stp/>
        <stp>##V3_BDHV12</stp>
        <stp>LADG8 Comdty</stp>
        <stp>Last Trade</stp>
        <stp>09/10/2017</stp>
        <stp>09/10/2017</stp>
        <stp>[BBG Class FINAL.xlsm]Ali vol!R68C13</stp>
        <tr r="M68" s="3"/>
      </tp>
      <tp t="b">
        <v>0</v>
        <stp/>
        <stp>##V3_BDHV12</stp>
        <stp>LARF8 Comdty</stp>
        <stp>Last Trade</stp>
        <stp>08/11/2017</stp>
        <stp>08/11/2017</stp>
        <stp>[BBG Class FINAL.xlsm]Ali vol!R46C10</stp>
        <tr r="J46" s="3"/>
      </tp>
      <tp t="b">
        <v>0</v>
        <stp/>
        <stp>##V3_BDHV12</stp>
        <stp>LARF8 Comdty</stp>
        <stp>Last Trade</stp>
        <stp>18/10/2017</stp>
        <stp>18/10/2017</stp>
        <stp>[BBG Class FINAL.xlsm]Ali vol!R61C10</stp>
        <tr r="J61" s="3"/>
      </tp>
      <tp t="b">
        <v>0</v>
        <stp/>
        <stp>##V3_BDHV12</stp>
        <stp>LAOG8 Comdty</stp>
        <stp>Last Trade</stp>
        <stp>09/10/2017</stp>
        <stp>09/10/2017</stp>
        <stp>[BBG Class FINAL.xlsm]Ali vol!R68C17</stp>
        <tr r="Q68" s="3"/>
      </tp>
      <tp t="b">
        <v>0</v>
        <stp/>
        <stp>##V3_BDHV12</stp>
        <stp>LAPG8 Comdty</stp>
        <stp>Last Trade</stp>
        <stp>09/10/2017</stp>
        <stp>09/10/2017</stp>
        <stp>[BBG Class FINAL.xlsm]Ali vol!R68C16</stp>
        <tr r="P68" s="3"/>
      </tp>
      <tp t="b">
        <v>0</v>
        <stp/>
        <stp>##V3_BDHV12</stp>
        <stp>LAEG8 Comdty</stp>
        <stp>Last Trade</stp>
        <stp>09/10/2017</stp>
        <stp>09/10/2017</stp>
        <stp>[BBG Class FINAL.xlsm]Ali vol!R68C15</stp>
        <tr r="O68" s="3"/>
      </tp>
      <tp t="b">
        <v>0</v>
        <stp/>
        <stp>##V3_BDHV12</stp>
        <stp>LACG8 Comdty</stp>
        <stp>Last Trade</stp>
        <stp>09/10/2017</stp>
        <stp>09/10/2017</stp>
        <stp>[BBG Class FINAL.xlsm]Ali vol!R68C14</stp>
        <tr r="N68" s="3"/>
      </tp>
      <tp t="b">
        <v>0</v>
        <stp/>
        <stp>##V3_BDHV12</stp>
        <stp>LARG8 Comdty</stp>
        <stp>Last Trade</stp>
        <stp>09/10/2017</stp>
        <stp>09/10/2017</stp>
        <stp>[BBG Class FINAL.xlsm]Ali vol!R68C18</stp>
        <tr r="R68" s="3"/>
      </tp>
      <tp t="b">
        <v>0</v>
        <stp/>
        <stp>##V3_BDHV12</stp>
        <stp>LARF8 Comdty</stp>
        <stp>Last Trade</stp>
        <stp>04/12/2017</stp>
        <stp>04/12/2017</stp>
        <stp>[BBG Class FINAL.xlsm]Ali vol!R28C10</stp>
        <tr r="J28" s="3"/>
      </tp>
      <tp t="b">
        <v>0</v>
        <stp/>
        <stp>##V3_BDHV12</stp>
        <stp>LARF8 Comdty</stp>
        <stp>Last Trade</stp>
        <stp>24/10/2017</stp>
        <stp>24/10/2017</stp>
        <stp>[BBG Class FINAL.xlsm]Ali vol!R57C10</stp>
        <tr r="J57" s="3"/>
      </tp>
      <tp t="b">
        <v>0</v>
        <stp/>
        <stp>##V3_BDHV12</stp>
        <stp>LARG8 Comdty</stp>
        <stp>Last Trade</stp>
        <stp>24/11/2017</stp>
        <stp>24/11/2017</stp>
        <stp>[BBG Class FINAL.xlsm]Ali vol!R34C18</stp>
        <tr r="R34" s="3"/>
      </tp>
      <tp t="b">
        <v>0</v>
        <stp/>
        <stp>##V3_BDHV12</stp>
        <stp>LADG8 Comdty</stp>
        <stp>Last Trade</stp>
        <stp>24/11/2017</stp>
        <stp>24/11/2017</stp>
        <stp>[BBG Class FINAL.xlsm]Ali vol!R34C13</stp>
        <tr r="M34" s="3"/>
      </tp>
      <tp t="b">
        <v>0</v>
        <stp/>
        <stp>##V3_BDHV12</stp>
        <stp>LARF8 Comdty</stp>
        <stp>Last Trade</stp>
        <stp>05/12/2017</stp>
        <stp>05/12/2017</stp>
        <stp>[BBG Class FINAL.xlsm]Ali vol!R27C10</stp>
        <tr r="J27" s="3"/>
      </tp>
      <tp t="b">
        <v>0</v>
        <stp/>
        <stp>##V3_BDHV12</stp>
        <stp>LAOG8 Comdty</stp>
        <stp>Last Trade</stp>
        <stp>24/11/2017</stp>
        <stp>24/11/2017</stp>
        <stp>[BBG Class FINAL.xlsm]Ali vol!R34C17</stp>
        <tr r="Q34" s="3"/>
      </tp>
      <tp t="b">
        <v>0</v>
        <stp/>
        <stp>##V3_BDHV12</stp>
        <stp>LARF8 Comdty</stp>
        <stp>Last Trade</stp>
        <stp>25/10/2017</stp>
        <stp>25/10/2017</stp>
        <stp>[BBG Class FINAL.xlsm]Ali vol!R56C10</stp>
        <tr r="J56" s="3"/>
      </tp>
      <tp t="b">
        <v>0</v>
        <stp/>
        <stp>##V3_BDHV12</stp>
        <stp>LAPG8 Comdty</stp>
        <stp>Last Trade</stp>
        <stp>24/11/2017</stp>
        <stp>24/11/2017</stp>
        <stp>[BBG Class FINAL.xlsm]Ali vol!R34C16</stp>
        <tr r="P34" s="3"/>
      </tp>
      <tp t="b">
        <v>0</v>
        <stp/>
        <stp>##V3_BDHV12</stp>
        <stp>LAEG8 Comdty</stp>
        <stp>Last Trade</stp>
        <stp>24/11/2017</stp>
        <stp>24/11/2017</stp>
        <stp>[BBG Class FINAL.xlsm]Ali vol!R34C15</stp>
        <tr r="O34" s="3"/>
      </tp>
      <tp t="b">
        <v>0</v>
        <stp/>
        <stp>##V3_BDHV12</stp>
        <stp>LACG8 Comdty</stp>
        <stp>Last Trade</stp>
        <stp>24/11/2017</stp>
        <stp>24/11/2017</stp>
        <stp>[BBG Class FINAL.xlsm]Ali vol!R34C14</stp>
        <tr r="N34" s="3"/>
      </tp>
      <tp t="b">
        <v>0</v>
        <stp/>
        <stp>##V3_BDHV12</stp>
        <stp>LARG8 Comdty</stp>
        <stp>Last Trade</stp>
        <stp>27/11/2017</stp>
        <stp>27/11/2017</stp>
        <stp>[BBG Class FINAL.xlsm]Ali vol!R33C18</stp>
        <tr r="R33" s="3"/>
      </tp>
      <tp t="b">
        <v>0</v>
        <stp/>
        <stp>##V3_BDHV12</stp>
        <stp>LARF8 Comdty</stp>
        <stp>Last Trade</stp>
        <stp>06/12/2017</stp>
        <stp>06/12/2017</stp>
        <stp>[BBG Class FINAL.xlsm]Ali vol!R26C10</stp>
        <tr r="J26" s="3"/>
      </tp>
      <tp t="b">
        <v>0</v>
        <stp/>
        <stp>##V3_BDHV12</stp>
        <stp>LADG8 Comdty</stp>
        <stp>Last Trade</stp>
        <stp>27/11/2017</stp>
        <stp>27/11/2017</stp>
        <stp>[BBG Class FINAL.xlsm]Ali vol!R33C13</stp>
        <tr r="M33" s="3"/>
      </tp>
      <tp t="b">
        <v>0</v>
        <stp/>
        <stp>##V3_BDHV12</stp>
        <stp>LACG8 Comdty</stp>
        <stp>Last Trade</stp>
        <stp>27/11/2017</stp>
        <stp>27/11/2017</stp>
        <stp>[BBG Class FINAL.xlsm]Ali vol!R33C14</stp>
        <tr r="N33" s="3"/>
      </tp>
      <tp t="b">
        <v>0</v>
        <stp/>
        <stp>##V3_BDHV12</stp>
        <stp>LAEG8 Comdty</stp>
        <stp>Last Trade</stp>
        <stp>27/11/2017</stp>
        <stp>27/11/2017</stp>
        <stp>[BBG Class FINAL.xlsm]Ali vol!R33C15</stp>
        <tr r="O33" s="3"/>
      </tp>
      <tp t="b">
        <v>0</v>
        <stp/>
        <stp>##V3_BDHV12</stp>
        <stp>LAPG8 Comdty</stp>
        <stp>Last Trade</stp>
        <stp>27/11/2017</stp>
        <stp>27/11/2017</stp>
        <stp>[BBG Class FINAL.xlsm]Ali vol!R33C16</stp>
        <tr r="P33" s="3"/>
      </tp>
      <tp t="b">
        <v>0</v>
        <stp/>
        <stp>##V3_BDHV12</stp>
        <stp>LAOG8 Comdty</stp>
        <stp>Last Trade</stp>
        <stp>27/11/2017</stp>
        <stp>27/11/2017</stp>
        <stp>[BBG Class FINAL.xlsm]Ali vol!R33C17</stp>
        <tr r="Q33" s="3"/>
      </tp>
      <tp t="b">
        <v>0</v>
        <stp/>
        <stp>##V3_BDHV12</stp>
        <stp>LARF8 Comdty</stp>
        <stp>Last Trade</stp>
        <stp>26/10/2017</stp>
        <stp>26/10/2017</stp>
        <stp>[BBG Class FINAL.xlsm]Ali vol!R55C10</stp>
        <tr r="J55" s="3"/>
      </tp>
      <tp t="b">
        <v>0</v>
        <stp/>
        <stp>##V3_BDHV12</stp>
        <stp>LARF8 Comdty</stp>
        <stp>Last Trade</stp>
        <stp>07/12/2017</stp>
        <stp>07/12/2017</stp>
        <stp>[BBG Class FINAL.xlsm]Ali vol!R25C10</stp>
        <tr r="J25" s="3"/>
      </tp>
      <tp t="b">
        <v>0</v>
        <stp/>
        <stp>##V3_BDHV12</stp>
        <stp>LARF8 Comdty</stp>
        <stp>Last Trade</stp>
        <stp>27/10/2017</stp>
        <stp>27/10/2017</stp>
        <stp>[BBG Class FINAL.xlsm]Ali vol!R54C10</stp>
        <tr r="J54" s="3"/>
      </tp>
      <tp t="b">
        <v>0</v>
        <stp/>
        <stp>##V3_BDHV12</stp>
        <stp>LARG8 Comdty</stp>
        <stp>Last Trade</stp>
        <stp>31/10/2017</stp>
        <stp>31/10/2017</stp>
        <stp>[BBG Class FINAL.xlsm]Ali vol!R52C18</stp>
        <tr r="R52" s="3"/>
      </tp>
      <tp t="b">
        <v>0</v>
        <stp/>
        <stp>##V3_BDHV12</stp>
        <stp>LARG8 Comdty</stp>
        <stp>Last Trade</stp>
        <stp>21/11/2017</stp>
        <stp>21/11/2017</stp>
        <stp>[BBG Class FINAL.xlsm]Ali vol!R37C18</stp>
        <tr r="R37" s="3"/>
      </tp>
      <tp t="b">
        <v>0</v>
        <stp/>
        <stp>##V3_BDHV12</stp>
        <stp>LARG8 Comdty</stp>
        <stp>Last Trade</stp>
        <stp>11/12/2017</stp>
        <stp>11/12/2017</stp>
        <stp>[BBG Class FINAL.xlsm]Ali vol!R23C18</stp>
        <tr r="R23" s="3"/>
      </tp>
      <tp t="b">
        <v>0</v>
        <stp/>
        <stp>##V3_BDHV12</stp>
        <stp>LAOG8 Comdty</stp>
        <stp>Last Trade</stp>
        <stp>11/12/2017</stp>
        <stp>11/12/2017</stp>
        <stp>[BBG Class FINAL.xlsm]Ali vol!R23C17</stp>
        <tr r="Q23" s="3"/>
      </tp>
      <tp t="b">
        <v>0</v>
        <stp/>
        <stp>##V3_BDHV12</stp>
        <stp>LAPG8 Comdty</stp>
        <stp>Last Trade</stp>
        <stp>21/11/2017</stp>
        <stp>21/11/2017</stp>
        <stp>[BBG Class FINAL.xlsm]Ali vol!R37C16</stp>
        <tr r="P37" s="3"/>
      </tp>
      <tp t="b">
        <v>0</v>
        <stp/>
        <stp>##V3_BDHV12</stp>
        <stp>LAOG8 Comdty</stp>
        <stp>Last Trade</stp>
        <stp>21/11/2017</stp>
        <stp>21/11/2017</stp>
        <stp>[BBG Class FINAL.xlsm]Ali vol!R37C17</stp>
        <tr r="Q37" s="3"/>
      </tp>
      <tp t="b">
        <v>0</v>
        <stp/>
        <stp>##V3_BDHV12</stp>
        <stp>LAPG8 Comdty</stp>
        <stp>Last Trade</stp>
        <stp>11/12/2017</stp>
        <stp>11/12/2017</stp>
        <stp>[BBG Class FINAL.xlsm]Ali vol!R23C16</stp>
        <tr r="P23" s="3"/>
      </tp>
      <tp t="b">
        <v>0</v>
        <stp/>
        <stp>##V3_BDHV12</stp>
        <stp>LARF8 Comdty</stp>
        <stp>Last Trade</stp>
        <stp>20/10/2017</stp>
        <stp>20/10/2017</stp>
        <stp>[BBG Class FINAL.xlsm]Ali vol!R59C10</stp>
        <tr r="J59" s="3"/>
      </tp>
      <tp t="b">
        <v>0</v>
        <stp/>
        <stp>##V3_BDHV12</stp>
        <stp>LAEG8 Comdty</stp>
        <stp>Last Trade</stp>
        <stp>11/12/2017</stp>
        <stp>11/12/2017</stp>
        <stp>[BBG Class FINAL.xlsm]Ali vol!R23C15</stp>
        <tr r="O23" s="3"/>
      </tp>
      <tp t="b">
        <v>0</v>
        <stp/>
        <stp>##V3_BDHV12</stp>
        <stp>LACG8 Comdty</stp>
        <stp>Last Trade</stp>
        <stp>21/11/2017</stp>
        <stp>21/11/2017</stp>
        <stp>[BBG Class FINAL.xlsm]Ali vol!R37C14</stp>
        <tr r="N37" s="3"/>
      </tp>
      <tp t="b">
        <v>0</v>
        <stp/>
        <stp>##V3_BDHV12</stp>
        <stp>LADG8 Comdty</stp>
        <stp>Last Trade</stp>
        <stp>31/10/2017</stp>
        <stp>31/10/2017</stp>
        <stp>[BBG Class FINAL.xlsm]Ali vol!R52C13</stp>
        <tr r="M52" s="3"/>
      </tp>
      <tp t="b">
        <v>0</v>
        <stp/>
        <stp>##V3_BDHV12</stp>
        <stp>LAEG8 Comdty</stp>
        <stp>Last Trade</stp>
        <stp>21/11/2017</stp>
        <stp>21/11/2017</stp>
        <stp>[BBG Class FINAL.xlsm]Ali vol!R37C15</stp>
        <tr r="O37" s="3"/>
      </tp>
      <tp t="b">
        <v>0</v>
        <stp/>
        <stp>##V3_BDHV12</stp>
        <stp>LACG8 Comdty</stp>
        <stp>Last Trade</stp>
        <stp>11/12/2017</stp>
        <stp>11/12/2017</stp>
        <stp>[BBG Class FINAL.xlsm]Ali vol!R23C14</stp>
        <tr r="N23" s="3"/>
      </tp>
      <tp t="b">
        <v>0</v>
        <stp/>
        <stp>##V3_BDHV12</stp>
        <stp>LADG8 Comdty</stp>
        <stp>Last Trade</stp>
        <stp>11/12/2017</stp>
        <stp>11/12/2017</stp>
        <stp>[BBG Class FINAL.xlsm]Ali vol!R23C13</stp>
        <tr r="M23" s="3"/>
      </tp>
      <tp t="b">
        <v>0</v>
        <stp/>
        <stp>##V3_BDHV12</stp>
        <stp>LACG8 Comdty</stp>
        <stp>Last Trade</stp>
        <stp>31/10/2017</stp>
        <stp>31/10/2017</stp>
        <stp>[BBG Class FINAL.xlsm]Ali vol!R52C14</stp>
        <tr r="N52" s="3"/>
      </tp>
      <tp t="b">
        <v>0</v>
        <stp/>
        <stp>##V3_BDHV12</stp>
        <stp>LAEG8 Comdty</stp>
        <stp>Last Trade</stp>
        <stp>31/10/2017</stp>
        <stp>31/10/2017</stp>
        <stp>[BBG Class FINAL.xlsm]Ali vol!R52C15</stp>
        <tr r="O52" s="3"/>
      </tp>
      <tp t="b">
        <v>0</v>
        <stp/>
        <stp>##V3_BDHV12</stp>
        <stp>LADG8 Comdty</stp>
        <stp>Last Trade</stp>
        <stp>21/11/2017</stp>
        <stp>21/11/2017</stp>
        <stp>[BBG Class FINAL.xlsm]Ali vol!R37C13</stp>
        <tr r="M37" s="3"/>
      </tp>
      <tp t="b">
        <v>0</v>
        <stp/>
        <stp>##V3_BDHV12</stp>
        <stp>LAPG8 Comdty</stp>
        <stp>Last Trade</stp>
        <stp>31/10/2017</stp>
        <stp>31/10/2017</stp>
        <stp>[BBG Class FINAL.xlsm]Ali vol!R52C16</stp>
        <tr r="P52" s="3"/>
      </tp>
      <tp t="b">
        <v>0</v>
        <stp/>
        <stp>##V3_BDHV12</stp>
        <stp>LAOG8 Comdty</stp>
        <stp>Last Trade</stp>
        <stp>31/10/2017</stp>
        <stp>31/10/2017</stp>
        <stp>[BBG Class FINAL.xlsm]Ali vol!R52C17</stp>
        <tr r="Q52" s="3"/>
      </tp>
      <tp t="b">
        <v>0</v>
        <stp/>
        <stp>##V3_BDHV12</stp>
        <stp>LARF8 Comdty</stp>
        <stp>Last Trade</stp>
        <stp>30/11/2017</stp>
        <stp>30/11/2017</stp>
        <stp>[BBG Class FINAL.xlsm]Ali vol!R30C10</stp>
        <tr r="J30" s="3"/>
      </tp>
      <tp t="b">
        <v>0</v>
        <stp/>
        <stp>##V3_BDHV12</stp>
        <stp>LARG8 Comdty</stp>
        <stp>Last Trade</stp>
        <stp>30/10/2017</stp>
        <stp>30/10/2017</stp>
        <stp>[BBG Class FINAL.xlsm]Ali vol!R53C18</stp>
        <tr r="R53" s="3"/>
      </tp>
      <tp t="b">
        <v>0</v>
        <stp/>
        <stp>##V3_BDHV12</stp>
        <stp>LARG8 Comdty</stp>
        <stp>Last Trade</stp>
        <stp>20/11/2017</stp>
        <stp>20/11/2017</stp>
        <stp>[BBG Class FINAL.xlsm]Ali vol!R38C18</stp>
        <tr r="R38" s="3"/>
      </tp>
      <tp t="b">
        <v>0</v>
        <stp/>
        <stp>##V3_BDHV12</stp>
        <stp>LAOG8 Comdty</stp>
        <stp>Last Trade</stp>
        <stp>20/11/2017</stp>
        <stp>20/11/2017</stp>
        <stp>[BBG Class FINAL.xlsm]Ali vol!R38C17</stp>
        <tr r="Q38" s="3"/>
      </tp>
      <tp t="b">
        <v>0</v>
        <stp/>
        <stp>##V3_BDHV12</stp>
        <stp>LAPG8 Comdty</stp>
        <stp>Last Trade</stp>
        <stp>20/11/2017</stp>
        <stp>20/11/2017</stp>
        <stp>[BBG Class FINAL.xlsm]Ali vol!R38C16</stp>
        <tr r="P38" s="3"/>
      </tp>
      <tp t="b">
        <v>0</v>
        <stp/>
        <stp>##V3_BDHV12</stp>
        <stp>LADG8 Comdty</stp>
        <stp>Last Trade</stp>
        <stp>30/10/2017</stp>
        <stp>30/10/2017</stp>
        <stp>[BBG Class FINAL.xlsm]Ali vol!R53C13</stp>
        <tr r="M53" s="3"/>
      </tp>
      <tp t="b">
        <v>0</v>
        <stp/>
        <stp>##V3_BDHV12</stp>
        <stp>LAEG8 Comdty</stp>
        <stp>Last Trade</stp>
        <stp>20/11/2017</stp>
        <stp>20/11/2017</stp>
        <stp>[BBG Class FINAL.xlsm]Ali vol!R38C15</stp>
        <tr r="O38" s="3"/>
      </tp>
      <tp t="b">
        <v>0</v>
        <stp/>
        <stp>##V3_BDHV12</stp>
        <stp>LACG8 Comdty</stp>
        <stp>Last Trade</stp>
        <stp>20/11/2017</stp>
        <stp>20/11/2017</stp>
        <stp>[BBG Class FINAL.xlsm]Ali vol!R38C14</stp>
        <tr r="N38" s="3"/>
      </tp>
      <tp t="b">
        <v>0</v>
        <stp/>
        <stp>##V3_BDHV12</stp>
        <stp>LAEG8 Comdty</stp>
        <stp>Last Trade</stp>
        <stp>30/10/2017</stp>
        <stp>30/10/2017</stp>
        <stp>[BBG Class FINAL.xlsm]Ali vol!R53C15</stp>
        <tr r="O53" s="3"/>
      </tp>
      <tp t="b">
        <v>0</v>
        <stp/>
        <stp>##V3_BDHV12</stp>
        <stp>LADG8 Comdty</stp>
        <stp>Last Trade</stp>
        <stp>20/11/2017</stp>
        <stp>20/11/2017</stp>
        <stp>[BBG Class FINAL.xlsm]Ali vol!R38C13</stp>
        <tr r="M38" s="3"/>
      </tp>
      <tp t="b">
        <v>0</v>
        <stp/>
        <stp>##V3_BDHV12</stp>
        <stp>LACG8 Comdty</stp>
        <stp>Last Trade</stp>
        <stp>30/10/2017</stp>
        <stp>30/10/2017</stp>
        <stp>[BBG Class FINAL.xlsm]Ali vol!R53C14</stp>
        <tr r="N53" s="3"/>
      </tp>
      <tp t="b">
        <v>0</v>
        <stp/>
        <stp>##V3_BDHV12</stp>
        <stp>LAOG8 Comdty</stp>
        <stp>Last Trade</stp>
        <stp>30/10/2017</stp>
        <stp>30/10/2017</stp>
        <stp>[BBG Class FINAL.xlsm]Ali vol!R53C17</stp>
        <tr r="Q53" s="3"/>
      </tp>
      <tp t="b">
        <v>0</v>
        <stp/>
        <stp>##V3_BDHV12</stp>
        <stp>LAPG8 Comdty</stp>
        <stp>Last Trade</stp>
        <stp>30/10/2017</stp>
        <stp>30/10/2017</stp>
        <stp>[BBG Class FINAL.xlsm]Ali vol!R53C16</stp>
        <tr r="P53" s="3"/>
      </tp>
      <tp t="b">
        <v>0</v>
        <stp/>
        <stp>##V3_BDHV12</stp>
        <stp>LARF8 Comdty</stp>
        <stp>Last Trade</stp>
        <stp>01/12/2017</stp>
        <stp>01/12/2017</stp>
        <stp>[BBG Class FINAL.xlsm]Ali vol!R29C10</stp>
        <tr r="J29" s="3"/>
      </tp>
      <tp t="b">
        <v>0</v>
        <stp/>
        <stp>##V3_BDHV12</stp>
        <stp>LARG8 Comdty</stp>
        <stp>Last Trade</stp>
        <stp>23/11/2017</stp>
        <stp>23/11/2017</stp>
        <stp>[BBG Class FINAL.xlsm]Ali vol!R35C18</stp>
        <tr r="R35" s="3"/>
      </tp>
      <tp t="b">
        <v>0</v>
        <stp/>
        <stp>##V3_BDHV12</stp>
        <stp>LACG8 Comdty</stp>
        <stp>Last Trade</stp>
        <stp>23/11/2017</stp>
        <stp>23/11/2017</stp>
        <stp>[BBG Class FINAL.xlsm]Ali vol!R35C14</stp>
        <tr r="N35" s="3"/>
      </tp>
      <tp t="b">
        <v>0</v>
        <stp/>
        <stp>##V3_BDHV12</stp>
        <stp>LAEG8 Comdty</stp>
        <stp>Last Trade</stp>
        <stp>23/11/2017</stp>
        <stp>23/11/2017</stp>
        <stp>[BBG Class FINAL.xlsm]Ali vol!R35C15</stp>
        <tr r="O35" s="3"/>
      </tp>
      <tp t="b">
        <v>0</v>
        <stp/>
        <stp>##V3_BDHV12</stp>
        <stp>LAPG8 Comdty</stp>
        <stp>Last Trade</stp>
        <stp>23/11/2017</stp>
        <stp>23/11/2017</stp>
        <stp>[BBG Class FINAL.xlsm]Ali vol!R35C16</stp>
        <tr r="P35" s="3"/>
      </tp>
      <tp t="b">
        <v>0</v>
        <stp/>
        <stp>##V3_BDHV12</stp>
        <stp>LAOG8 Comdty</stp>
        <stp>Last Trade</stp>
        <stp>23/11/2017</stp>
        <stp>23/11/2017</stp>
        <stp>[BBG Class FINAL.xlsm]Ali vol!R35C17</stp>
        <tr r="Q35" s="3"/>
      </tp>
      <tp t="b">
        <v>0</v>
        <stp/>
        <stp>##V3_BDHV12</stp>
        <stp>LADG8 Comdty</stp>
        <stp>Last Trade</stp>
        <stp>23/11/2017</stp>
        <stp>23/11/2017</stp>
        <stp>[BBG Class FINAL.xlsm]Ali vol!R35C13</stp>
        <tr r="M35" s="3"/>
      </tp>
      <tp t="b">
        <v>0</v>
        <stp/>
        <stp>##V3_BDHV12</stp>
        <stp>LARG8 Comdty</stp>
        <stp>Last Trade</stp>
        <stp>12/12/2017</stp>
        <stp>12/12/2017</stp>
        <stp>[BBG Class FINAL.xlsm]Ali vol!R22C18</stp>
        <tr r="R22" s="3"/>
      </tp>
      <tp t="b">
        <v>0</v>
        <stp/>
        <stp>##V3_BDHV12</stp>
        <stp>LARG8 Comdty</stp>
        <stp>Last Trade</stp>
        <stp>22/11/2017</stp>
        <stp>22/11/2017</stp>
        <stp>[BBG Class FINAL.xlsm]Ali vol!R36C18</stp>
        <tr r="R36" s="3"/>
      </tp>
      <tp t="b">
        <v>0</v>
        <stp/>
        <stp>##V3_BDHV12</stp>
        <stp>LAEG8 Comdty</stp>
        <stp>Last Trade</stp>
        <stp>22/11/2017</stp>
        <stp>22/11/2017</stp>
        <stp>[BBG Class FINAL.xlsm]Ali vol!R36C15</stp>
        <tr r="O36" s="3"/>
      </tp>
      <tp t="b">
        <v>0</v>
        <stp/>
        <stp>##V3_BDHV12</stp>
        <stp>LACG8 Comdty</stp>
        <stp>Last Trade</stp>
        <stp>12/12/2017</stp>
        <stp>12/12/2017</stp>
        <stp>[BBG Class FINAL.xlsm]Ali vol!R22C14</stp>
        <tr r="N22" s="3"/>
      </tp>
      <tp t="b">
        <v>0</v>
        <stp/>
        <stp>##V3_BDHV12</stp>
        <stp>LAEG8 Comdty</stp>
        <stp>Last Trade</stp>
        <stp>12/12/2017</stp>
        <stp>12/12/2017</stp>
        <stp>[BBG Class FINAL.xlsm]Ali vol!R22C15</stp>
        <tr r="O22" s="3"/>
      </tp>
      <tp t="b">
        <v>0</v>
        <stp/>
        <stp>##V3_BDHV12</stp>
        <stp>LACG8 Comdty</stp>
        <stp>Last Trade</stp>
        <stp>22/11/2017</stp>
        <stp>22/11/2017</stp>
        <stp>[BBG Class FINAL.xlsm]Ali vol!R36C14</stp>
        <tr r="N36" s="3"/>
      </tp>
      <tp t="b">
        <v>0</v>
        <stp/>
        <stp>##V3_BDHV12</stp>
        <stp>LAOG8 Comdty</stp>
        <stp>Last Trade</stp>
        <stp>22/11/2017</stp>
        <stp>22/11/2017</stp>
        <stp>[BBG Class FINAL.xlsm]Ali vol!R36C17</stp>
        <tr r="Q36" s="3"/>
      </tp>
      <tp t="b">
        <v>0</v>
        <stp/>
        <stp>##V3_BDHV12</stp>
        <stp>LAPG8 Comdty</stp>
        <stp>Last Trade</stp>
        <stp>12/12/2017</stp>
        <stp>12/12/2017</stp>
        <stp>[BBG Class FINAL.xlsm]Ali vol!R22C16</stp>
        <tr r="P22" s="3"/>
      </tp>
      <tp t="b">
        <v>0</v>
        <stp/>
        <stp>##V3_BDHV12</stp>
        <stp>LARF8 Comdty</stp>
        <stp>Last Trade</stp>
        <stp>23/10/2017</stp>
        <stp>23/10/2017</stp>
        <stp>[BBG Class FINAL.xlsm]Ali vol!R58C10</stp>
        <tr r="J58" s="3"/>
      </tp>
      <tp t="b">
        <v>0</v>
        <stp/>
        <stp>##V3_BDHV12</stp>
        <stp>LAOG8 Comdty</stp>
        <stp>Last Trade</stp>
        <stp>12/12/2017</stp>
        <stp>12/12/2017</stp>
        <stp>[BBG Class FINAL.xlsm]Ali vol!R22C17</stp>
        <tr r="Q22" s="3"/>
      </tp>
      <tp t="b">
        <v>0</v>
        <stp/>
        <stp>##V3_BDHV12</stp>
        <stp>LAPG8 Comdty</stp>
        <stp>Last Trade</stp>
        <stp>22/11/2017</stp>
        <stp>22/11/2017</stp>
        <stp>[BBG Class FINAL.xlsm]Ali vol!R36C16</stp>
        <tr r="P36" s="3"/>
      </tp>
      <tp t="b">
        <v>0</v>
        <stp/>
        <stp>##V3_BDHV12</stp>
        <stp>LADG8 Comdty</stp>
        <stp>Last Trade</stp>
        <stp>22/11/2017</stp>
        <stp>22/11/2017</stp>
        <stp>[BBG Class FINAL.xlsm]Ali vol!R36C13</stp>
        <tr r="M36" s="3"/>
      </tp>
      <tp t="b">
        <v>0</v>
        <stp/>
        <stp>##V3_BDHV12</stp>
        <stp>LADG8 Comdty</stp>
        <stp>Last Trade</stp>
        <stp>12/12/2017</stp>
        <stp>12/12/2017</stp>
        <stp>[BBG Class FINAL.xlsm]Ali vol!R22C13</stp>
        <tr r="M22" s="3"/>
      </tp>
      <tp t="b">
        <v>0</v>
        <stp/>
        <stp>##V3_BDHV12</stp>
        <stp>LAPG8 Comdty</stp>
        <stp>Last Trade</stp>
        <stp>29/11/2017</stp>
        <stp>29/11/2017</stp>
        <stp>[BBG Class FINAL.xlsm]Ali vol!R31C16</stp>
        <tr r="P31" s="3"/>
      </tp>
      <tp t="b">
        <v>0</v>
        <stp/>
        <stp>##V3_BDHV12</stp>
        <stp>LAOG8 Comdty</stp>
        <stp>Last Trade</stp>
        <stp>29/11/2017</stp>
        <stp>29/11/2017</stp>
        <stp>[BBG Class FINAL.xlsm]Ali vol!R31C17</stp>
        <tr r="Q31" s="3"/>
      </tp>
      <tp t="b">
        <v>0</v>
        <stp/>
        <stp>##V3_BDHV12</stp>
        <stp>LACG8 Comdty</stp>
        <stp>Last Trade</stp>
        <stp>29/11/2017</stp>
        <stp>29/11/2017</stp>
        <stp>[BBG Class FINAL.xlsm]Ali vol!R31C14</stp>
        <tr r="N31" s="3"/>
      </tp>
      <tp t="b">
        <v>0</v>
        <stp/>
        <stp>##V3_BDHV12</stp>
        <stp>LAEG8 Comdty</stp>
        <stp>Last Trade</stp>
        <stp>29/11/2017</stp>
        <stp>29/11/2017</stp>
        <stp>[BBG Class FINAL.xlsm]Ali vol!R31C15</stp>
        <tr r="O31" s="3"/>
      </tp>
      <tp t="b">
        <v>0</v>
        <stp/>
        <stp>##V3_BDHV12</stp>
        <stp>LADG8 Comdty</stp>
        <stp>Last Trade</stp>
        <stp>29/11/2017</stp>
        <stp>29/11/2017</stp>
        <stp>[BBG Class FINAL.xlsm]Ali vol!R31C13</stp>
        <tr r="M31" s="3"/>
      </tp>
      <tp t="b">
        <v>0</v>
        <stp/>
        <stp>##V3_BDHV12</stp>
        <stp>LARF8 Comdty</stp>
        <stp>Last Trade</stp>
        <stp>08/12/2017</stp>
        <stp>08/12/2017</stp>
        <stp>[BBG Class FINAL.xlsm]Ali vol!R24C10</stp>
        <tr r="J24" s="3"/>
      </tp>
      <tp t="b">
        <v>0</v>
        <stp/>
        <stp>##V3_BDHV12</stp>
        <stp>LARG8 Comdty</stp>
        <stp>Last Trade</stp>
        <stp>29/11/2017</stp>
        <stp>29/11/2017</stp>
        <stp>[BBG Class FINAL.xlsm]Ali vol!R31C18</stp>
        <tr r="R31" s="3"/>
      </tp>
      <tp t="b">
        <v>0</v>
        <stp/>
        <stp>##V3_BDHV12</stp>
        <stp>LAOG8 Comdty</stp>
        <stp>Last Trade</stp>
        <stp>28/11/2017</stp>
        <stp>28/11/2017</stp>
        <stp>[BBG Class FINAL.xlsm]Ali vol!R32C17</stp>
        <tr r="Q32" s="3"/>
      </tp>
      <tp t="b">
        <v>0</v>
        <stp/>
        <stp>##V3_BDHV12</stp>
        <stp>LAPG8 Comdty</stp>
        <stp>Last Trade</stp>
        <stp>28/11/2017</stp>
        <stp>28/11/2017</stp>
        <stp>[BBG Class FINAL.xlsm]Ali vol!R32C16</stp>
        <tr r="P32" s="3"/>
      </tp>
      <tp t="b">
        <v>0</v>
        <stp/>
        <stp>##V3_BDHV12</stp>
        <stp>LAEG8 Comdty</stp>
        <stp>Last Trade</stp>
        <stp>28/11/2017</stp>
        <stp>28/11/2017</stp>
        <stp>[BBG Class FINAL.xlsm]Ali vol!R32C15</stp>
        <tr r="O32" s="3"/>
      </tp>
      <tp t="b">
        <v>0</v>
        <stp/>
        <stp>##V3_BDHV12</stp>
        <stp>LACG8 Comdty</stp>
        <stp>Last Trade</stp>
        <stp>28/11/2017</stp>
        <stp>28/11/2017</stp>
        <stp>[BBG Class FINAL.xlsm]Ali vol!R32C14</stp>
        <tr r="N32" s="3"/>
      </tp>
      <tp t="b">
        <v>0</v>
        <stp/>
        <stp>##V3_BDHV12</stp>
        <stp>LADG8 Comdty</stp>
        <stp>Last Trade</stp>
        <stp>28/11/2017</stp>
        <stp>28/11/2017</stp>
        <stp>[BBG Class FINAL.xlsm]Ali vol!R32C13</stp>
        <tr r="M32" s="3"/>
      </tp>
      <tp t="b">
        <v>0</v>
        <stp/>
        <stp>##V3_BDHV12</stp>
        <stp>LARG8 Comdty</stp>
        <stp>Last Trade</stp>
        <stp>28/11/2017</stp>
        <stp>28/11/2017</stp>
        <stp>[BBG Class FINAL.xlsm]Ali vol!R32C18</stp>
        <tr r="R32" s="3"/>
      </tp>
      <tp t="b">
        <v>0</v>
        <stp/>
        <stp>##V3_BDHV12</stp>
        <stp>LARG8 Comdty</stp>
        <stp>Last Trade</stp>
        <stp>04/12/2017</stp>
        <stp>04/12/2017</stp>
        <stp>[BBG Class FINAL.xlsm]Ali vol!R28C18</stp>
        <tr r="R28" s="3"/>
      </tp>
      <tp t="b">
        <v>0</v>
        <stp/>
        <stp>##V3_BDHV12</stp>
        <stp>LARG8 Comdty</stp>
        <stp>Last Trade</stp>
        <stp>24/10/2017</stp>
        <stp>24/10/2017</stp>
        <stp>[BBG Class FINAL.xlsm]Ali vol!R57C18</stp>
        <tr r="R57" s="3"/>
      </tp>
      <tp t="b">
        <v>0</v>
        <stp/>
        <stp>##V3_BDHV12</stp>
        <stp>LAEG8 Comdty</stp>
        <stp>Last Trade</stp>
        <stp>24/10/2017</stp>
        <stp>24/10/2017</stp>
        <stp>[BBG Class FINAL.xlsm]Ali vol!R57C15</stp>
        <tr r="O57" s="3"/>
      </tp>
      <tp t="b">
        <v>0</v>
        <stp/>
        <stp>##V3_BDHV12</stp>
        <stp>LACG8 Comdty</stp>
        <stp>Last Trade</stp>
        <stp>24/10/2017</stp>
        <stp>24/10/2017</stp>
        <stp>[BBG Class FINAL.xlsm]Ali vol!R57C14</stp>
        <tr r="N57" s="3"/>
      </tp>
      <tp t="b">
        <v>0</v>
        <stp/>
        <stp>##V3_BDHV12</stp>
        <stp>LADG8 Comdty</stp>
        <stp>Last Trade</stp>
        <stp>04/12/2017</stp>
        <stp>04/12/2017</stp>
        <stp>[BBG Class FINAL.xlsm]Ali vol!R28C13</stp>
        <tr r="M28" s="3"/>
      </tp>
      <tp t="b">
        <v>0</v>
        <stp/>
        <stp>##V3_BDHV12</stp>
        <stp>LAOG8 Comdty</stp>
        <stp>Last Trade</stp>
        <stp>24/10/2017</stp>
        <stp>24/10/2017</stp>
        <stp>[BBG Class FINAL.xlsm]Ali vol!R57C17</stp>
        <tr r="Q57" s="3"/>
      </tp>
      <tp t="b">
        <v>0</v>
        <stp/>
        <stp>##V3_BDHV12</stp>
        <stp>LAPG8 Comdty</stp>
        <stp>Last Trade</stp>
        <stp>24/10/2017</stp>
        <stp>24/10/2017</stp>
        <stp>[BBG Class FINAL.xlsm]Ali vol!R57C16</stp>
        <tr r="P57" s="3"/>
      </tp>
      <tp t="b">
        <v>0</v>
        <stp/>
        <stp>##V3_BDHV12</stp>
        <stp>LAPG8 Comdty</stp>
        <stp>Last Trade</stp>
        <stp>04/12/2017</stp>
        <stp>04/12/2017</stp>
        <stp>[BBG Class FINAL.xlsm]Ali vol!R28C16</stp>
        <tr r="P28" s="3"/>
      </tp>
      <tp t="b">
        <v>0</v>
        <stp/>
        <stp>##V3_BDHV12</stp>
        <stp>LAOG8 Comdty</stp>
        <stp>Last Trade</stp>
        <stp>04/12/2017</stp>
        <stp>04/12/2017</stp>
        <stp>[BBG Class FINAL.xlsm]Ali vol!R28C17</stp>
        <tr r="Q28" s="3"/>
      </tp>
      <tp t="b">
        <v>0</v>
        <stp/>
        <stp>##V3_BDHV12</stp>
        <stp>LADG8 Comdty</stp>
        <stp>Last Trade</stp>
        <stp>24/10/2017</stp>
        <stp>24/10/2017</stp>
        <stp>[BBG Class FINAL.xlsm]Ali vol!R57C13</stp>
        <tr r="M57" s="3"/>
      </tp>
      <tp t="b">
        <v>0</v>
        <stp/>
        <stp>##V3_BDHV12</stp>
        <stp>LACG8 Comdty</stp>
        <stp>Last Trade</stp>
        <stp>04/12/2017</stp>
        <stp>04/12/2017</stp>
        <stp>[BBG Class FINAL.xlsm]Ali vol!R28C14</stp>
        <tr r="N28" s="3"/>
      </tp>
      <tp t="b">
        <v>0</v>
        <stp/>
        <stp>##V3_BDHV12</stp>
        <stp>LAEG8 Comdty</stp>
        <stp>Last Trade</stp>
        <stp>04/12/2017</stp>
        <stp>04/12/2017</stp>
        <stp>[BBG Class FINAL.xlsm]Ali vol!R28C15</stp>
        <tr r="O28" s="3"/>
      </tp>
      <tp t="b">
        <v>0</v>
        <stp/>
        <stp>##V3_BDHV12</stp>
        <stp>LARG8 Comdty</stp>
        <stp>Last Trade</stp>
        <stp>05/12/2017</stp>
        <stp>05/12/2017</stp>
        <stp>[BBG Class FINAL.xlsm]Ali vol!R27C18</stp>
        <tr r="R27" s="3"/>
      </tp>
      <tp t="b">
        <v>0</v>
        <stp/>
        <stp>##V3_BDHV12</stp>
        <stp>LARG8 Comdty</stp>
        <stp>Last Trade</stp>
        <stp>25/10/2017</stp>
        <stp>25/10/2017</stp>
        <stp>[BBG Class FINAL.xlsm]Ali vol!R56C18</stp>
        <tr r="R56" s="3"/>
      </tp>
      <tp t="b">
        <v>0</v>
        <stp/>
        <stp>##V3_BDHV12</stp>
        <stp>LACG8 Comdty</stp>
        <stp>Last Trade</stp>
        <stp>25/10/2017</stp>
        <stp>25/10/2017</stp>
        <stp>[BBG Class FINAL.xlsm]Ali vol!R56C14</stp>
        <tr r="N56" s="3"/>
      </tp>
      <tp t="b">
        <v>0</v>
        <stp/>
        <stp>##V3_BDHV12</stp>
        <stp>LADG8 Comdty</stp>
        <stp>Last Trade</stp>
        <stp>05/12/2017</stp>
        <stp>05/12/2017</stp>
        <stp>[BBG Class FINAL.xlsm]Ali vol!R27C13</stp>
        <tr r="M27" s="3"/>
      </tp>
      <tp t="b">
        <v>0</v>
        <stp/>
        <stp>##V3_BDHV12</stp>
        <stp>LAEG8 Comdty</stp>
        <stp>Last Trade</stp>
        <stp>25/10/2017</stp>
        <stp>25/10/2017</stp>
        <stp>[BBG Class FINAL.xlsm]Ali vol!R56C15</stp>
        <tr r="O56" s="3"/>
      </tp>
      <tp t="b">
        <v>0</v>
        <stp/>
        <stp>##V3_BDHV12</stp>
        <stp>LAPG8 Comdty</stp>
        <stp>Last Trade</stp>
        <stp>25/10/2017</stp>
        <stp>25/10/2017</stp>
        <stp>[BBG Class FINAL.xlsm]Ali vol!R56C16</stp>
        <tr r="P56" s="3"/>
      </tp>
      <tp t="b">
        <v>0</v>
        <stp/>
        <stp>##V3_BDHV12</stp>
        <stp>LAOG8 Comdty</stp>
        <stp>Last Trade</stp>
        <stp>25/10/2017</stp>
        <stp>25/10/2017</stp>
        <stp>[BBG Class FINAL.xlsm]Ali vol!R56C17</stp>
        <tr r="Q56" s="3"/>
      </tp>
      <tp t="b">
        <v>0</v>
        <stp/>
        <stp>##V3_BDHV12</stp>
        <stp>LARF8 Comdty</stp>
        <stp>Last Trade</stp>
        <stp>24/11/2017</stp>
        <stp>24/11/2017</stp>
        <stp>[BBG Class FINAL.xlsm]Ali vol!R34C10</stp>
        <tr r="J34" s="3"/>
      </tp>
      <tp t="b">
        <v>0</v>
        <stp/>
        <stp>##V3_BDHV12</stp>
        <stp>LAOG8 Comdty</stp>
        <stp>Last Trade</stp>
        <stp>05/12/2017</stp>
        <stp>05/12/2017</stp>
        <stp>[BBG Class FINAL.xlsm]Ali vol!R27C17</stp>
        <tr r="Q27" s="3"/>
      </tp>
      <tp t="b">
        <v>0</v>
        <stp/>
        <stp>##V3_BDHV12</stp>
        <stp>LAPG8 Comdty</stp>
        <stp>Last Trade</stp>
        <stp>05/12/2017</stp>
        <stp>05/12/2017</stp>
        <stp>[BBG Class FINAL.xlsm]Ali vol!R27C16</stp>
        <tr r="P27" s="3"/>
      </tp>
      <tp t="b">
        <v>0</v>
        <stp/>
        <stp>##V3_BDHV12</stp>
        <stp>LAEG8 Comdty</stp>
        <stp>Last Trade</stp>
        <stp>05/12/2017</stp>
        <stp>05/12/2017</stp>
        <stp>[BBG Class FINAL.xlsm]Ali vol!R27C15</stp>
        <tr r="O27" s="3"/>
      </tp>
      <tp t="b">
        <v>0</v>
        <stp/>
        <stp>##V3_BDHV12</stp>
        <stp>LACG8 Comdty</stp>
        <stp>Last Trade</stp>
        <stp>05/12/2017</stp>
        <stp>05/12/2017</stp>
        <stp>[BBG Class FINAL.xlsm]Ali vol!R27C14</stp>
        <tr r="N27" s="3"/>
      </tp>
      <tp t="b">
        <v>0</v>
        <stp/>
        <stp>##V3_BDHV12</stp>
        <stp>LADG8 Comdty</stp>
        <stp>Last Trade</stp>
        <stp>25/10/2017</stp>
        <stp>25/10/2017</stp>
        <stp>[BBG Class FINAL.xlsm]Ali vol!R56C13</stp>
        <tr r="M56" s="3"/>
      </tp>
      <tp t="b">
        <v>0</v>
        <stp/>
        <stp>##V3_BDHV12</stp>
        <stp>LARG8 Comdty</stp>
        <stp>Last Trade</stp>
        <stp>06/12/2017</stp>
        <stp>06/12/2017</stp>
        <stp>[BBG Class FINAL.xlsm]Ali vol!R26C18</stp>
        <tr r="R26" s="3"/>
      </tp>
      <tp t="b">
        <v>0</v>
        <stp/>
        <stp>##V3_BDHV12</stp>
        <stp>LARG8 Comdty</stp>
        <stp>Last Trade</stp>
        <stp>26/10/2017</stp>
        <stp>26/10/2017</stp>
        <stp>[BBG Class FINAL.xlsm]Ali vol!R55C18</stp>
        <tr r="R55" s="3"/>
      </tp>
      <tp t="b">
        <v>0</v>
        <stp/>
        <stp>##V3_BDHV12</stp>
        <stp>LAOG8 Comdty</stp>
        <stp>Last Trade</stp>
        <stp>26/10/2017</stp>
        <stp>26/10/2017</stp>
        <stp>[BBG Class FINAL.xlsm]Ali vol!R55C17</stp>
        <tr r="Q55" s="3"/>
      </tp>
      <tp t="b">
        <v>0</v>
        <stp/>
        <stp>##V3_BDHV12</stp>
        <stp>LARF8 Comdty</stp>
        <stp>Last Trade</stp>
        <stp>27/11/2017</stp>
        <stp>27/11/2017</stp>
        <stp>[BBG Class FINAL.xlsm]Ali vol!R33C10</stp>
        <tr r="J33" s="3"/>
      </tp>
      <tp t="b">
        <v>0</v>
        <stp/>
        <stp>##V3_BDHV12</stp>
        <stp>LAPG8 Comdty</stp>
        <stp>Last Trade</stp>
        <stp>26/10/2017</stp>
        <stp>26/10/2017</stp>
        <stp>[BBG Class FINAL.xlsm]Ali vol!R55C16</stp>
        <tr r="P55" s="3"/>
      </tp>
      <tp t="b">
        <v>0</v>
        <stp/>
        <stp>##V3_BDHV12</stp>
        <stp>LAEG8 Comdty</stp>
        <stp>Last Trade</stp>
        <stp>26/10/2017</stp>
        <stp>26/10/2017</stp>
        <stp>[BBG Class FINAL.xlsm]Ali vol!R55C15</stp>
        <tr r="O55" s="3"/>
      </tp>
      <tp t="b">
        <v>0</v>
        <stp/>
        <stp>##V3_BDHV12</stp>
        <stp>LACG8 Comdty</stp>
        <stp>Last Trade</stp>
        <stp>26/10/2017</stp>
        <stp>26/10/2017</stp>
        <stp>[BBG Class FINAL.xlsm]Ali vol!R55C14</stp>
        <tr r="N55" s="3"/>
      </tp>
      <tp t="b">
        <v>0</v>
        <stp/>
        <stp>##V3_BDHV12</stp>
        <stp>LADG8 Comdty</stp>
        <stp>Last Trade</stp>
        <stp>06/12/2017</stp>
        <stp>06/12/2017</stp>
        <stp>[BBG Class FINAL.xlsm]Ali vol!R26C13</stp>
        <tr r="M26" s="3"/>
      </tp>
      <tp t="b">
        <v>0</v>
        <stp/>
        <stp>##V3_BDHV12</stp>
        <stp>LACG8 Comdty</stp>
        <stp>Last Trade</stp>
        <stp>06/12/2017</stp>
        <stp>06/12/2017</stp>
        <stp>[BBG Class FINAL.xlsm]Ali vol!R26C14</stp>
        <tr r="N26" s="3"/>
      </tp>
      <tp t="b">
        <v>0</v>
        <stp/>
        <stp>##V3_BDHV12</stp>
        <stp>LADG8 Comdty</stp>
        <stp>Last Trade</stp>
        <stp>26/10/2017</stp>
        <stp>26/10/2017</stp>
        <stp>[BBG Class FINAL.xlsm]Ali vol!R55C13</stp>
        <tr r="M55" s="3"/>
      </tp>
      <tp t="b">
        <v>0</v>
        <stp/>
        <stp>##V3_BDHV12</stp>
        <stp>LAEG8 Comdty</stp>
        <stp>Last Trade</stp>
        <stp>06/12/2017</stp>
        <stp>06/12/2017</stp>
        <stp>[BBG Class FINAL.xlsm]Ali vol!R26C15</stp>
        <tr r="O26" s="3"/>
      </tp>
      <tp t="b">
        <v>0</v>
        <stp/>
        <stp>##V3_BDHV12</stp>
        <stp>LAPG8 Comdty</stp>
        <stp>Last Trade</stp>
        <stp>06/12/2017</stp>
        <stp>06/12/2017</stp>
        <stp>[BBG Class FINAL.xlsm]Ali vol!R26C16</stp>
        <tr r="P26" s="3"/>
      </tp>
      <tp t="b">
        <v>0</v>
        <stp/>
        <stp>##V3_BDHV12</stp>
        <stp>LAOG8 Comdty</stp>
        <stp>Last Trade</stp>
        <stp>06/12/2017</stp>
        <stp>06/12/2017</stp>
        <stp>[BBG Class FINAL.xlsm]Ali vol!R26C17</stp>
        <tr r="Q26" s="3"/>
      </tp>
      <tp t="b">
        <v>0</v>
        <stp/>
        <stp>##V3_BDHV12</stp>
        <stp>LARG8 Comdty</stp>
        <stp>Last Trade</stp>
        <stp>07/12/2017</stp>
        <stp>07/12/2017</stp>
        <stp>[BBG Class FINAL.xlsm]Ali vol!R25C18</stp>
        <tr r="R25" s="3"/>
      </tp>
      <tp t="b">
        <v>0</v>
        <stp/>
        <stp>##V3_BDHV12</stp>
        <stp>LARG8 Comdty</stp>
        <stp>Last Trade</stp>
        <stp>27/10/2017</stp>
        <stp>27/10/2017</stp>
        <stp>[BBG Class FINAL.xlsm]Ali vol!R54C18</stp>
        <tr r="R54" s="3"/>
      </tp>
      <tp t="b">
        <v>0</v>
        <stp/>
        <stp>##V3_BDHV12</stp>
        <stp>LAPG8 Comdty</stp>
        <stp>Last Trade</stp>
        <stp>27/10/2017</stp>
        <stp>27/10/2017</stp>
        <stp>[BBG Class FINAL.xlsm]Ali vol!R54C16</stp>
        <tr r="P54" s="3"/>
      </tp>
      <tp t="b">
        <v>0</v>
        <stp/>
        <stp>##V3_BDHV12</stp>
        <stp>LAOG8 Comdty</stp>
        <stp>Last Trade</stp>
        <stp>27/10/2017</stp>
        <stp>27/10/2017</stp>
        <stp>[BBG Class FINAL.xlsm]Ali vol!R54C17</stp>
        <tr r="Q54" s="3"/>
      </tp>
      <tp t="b">
        <v>0</v>
        <stp/>
        <stp>##V3_BDHV12</stp>
        <stp>LACG8 Comdty</stp>
        <stp>Last Trade</stp>
        <stp>27/10/2017</stp>
        <stp>27/10/2017</stp>
        <stp>[BBG Class FINAL.xlsm]Ali vol!R54C14</stp>
        <tr r="N54" s="3"/>
      </tp>
      <tp t="b">
        <v>0</v>
        <stp/>
        <stp>##V3_BDHV12</stp>
        <stp>LADG8 Comdty</stp>
        <stp>Last Trade</stp>
        <stp>07/12/2017</stp>
        <stp>07/12/2017</stp>
        <stp>[BBG Class FINAL.xlsm]Ali vol!R25C13</stp>
        <tr r="M25" s="3"/>
      </tp>
      <tp t="b">
        <v>0</v>
        <stp/>
        <stp>##V3_BDHV12</stp>
        <stp>LAEG8 Comdty</stp>
        <stp>Last Trade</stp>
        <stp>27/10/2017</stp>
        <stp>27/10/2017</stp>
        <stp>[BBG Class FINAL.xlsm]Ali vol!R54C15</stp>
        <tr r="O54" s="3"/>
      </tp>
      <tp t="b">
        <v>0</v>
        <stp/>
        <stp>##V3_BDHV12</stp>
        <stp>LAEG8 Comdty</stp>
        <stp>Last Trade</stp>
        <stp>07/12/2017</stp>
        <stp>07/12/2017</stp>
        <stp>[BBG Class FINAL.xlsm]Ali vol!R25C15</stp>
        <tr r="O25" s="3"/>
      </tp>
      <tp t="b">
        <v>0</v>
        <stp/>
        <stp>##V3_BDHV12</stp>
        <stp>LACG8 Comdty</stp>
        <stp>Last Trade</stp>
        <stp>07/12/2017</stp>
        <stp>07/12/2017</stp>
        <stp>[BBG Class FINAL.xlsm]Ali vol!R25C14</stp>
        <tr r="N25" s="3"/>
      </tp>
      <tp t="b">
        <v>0</v>
        <stp/>
        <stp>##V3_BDHV12</stp>
        <stp>LADG8 Comdty</stp>
        <stp>Last Trade</stp>
        <stp>27/10/2017</stp>
        <stp>27/10/2017</stp>
        <stp>[BBG Class FINAL.xlsm]Ali vol!R54C13</stp>
        <tr r="M54" s="3"/>
      </tp>
      <tp t="b">
        <v>0</v>
        <stp/>
        <stp>##V3_BDHV12</stp>
        <stp>LAOG8 Comdty</stp>
        <stp>Last Trade</stp>
        <stp>07/12/2017</stp>
        <stp>07/12/2017</stp>
        <stp>[BBG Class FINAL.xlsm]Ali vol!R25C17</stp>
        <tr r="Q25" s="3"/>
      </tp>
      <tp t="b">
        <v>0</v>
        <stp/>
        <stp>##V3_BDHV12</stp>
        <stp>LAPG8 Comdty</stp>
        <stp>Last Trade</stp>
        <stp>07/12/2017</stp>
        <stp>07/12/2017</stp>
        <stp>[BBG Class FINAL.xlsm]Ali vol!R25C16</stp>
        <tr r="P25" s="3"/>
      </tp>
      <tp t="b">
        <v>0</v>
        <stp/>
        <stp>##V3_BDHV12</stp>
        <stp>LARG8 Comdty</stp>
        <stp>Last Trade</stp>
        <stp>20/10/2017</stp>
        <stp>20/10/2017</stp>
        <stp>[BBG Class FINAL.xlsm]Ali vol!R59C18</stp>
        <tr r="R59" s="3"/>
      </tp>
      <tp t="b">
        <v>0</v>
        <stp/>
        <stp>##V3_BDHV12</stp>
        <stp>LARG8 Comdty</stp>
        <stp>Last Trade</stp>
        <stp>30/11/2017</stp>
        <stp>30/11/2017</stp>
        <stp>[BBG Class FINAL.xlsm]Ali vol!R30C18</stp>
        <tr r="R30" s="3"/>
      </tp>
      <tp t="b">
        <v>0</v>
        <stp/>
        <stp>##V3_BDHV12</stp>
        <stp>LAOG8 Comdty</stp>
        <stp>Last Trade</stp>
        <stp>30/11/2017</stp>
        <stp>30/11/2017</stp>
        <stp>[BBG Class FINAL.xlsm]Ali vol!R30C17</stp>
        <tr r="Q30" s="3"/>
      </tp>
      <tp t="b">
        <v>0</v>
        <stp/>
        <stp>##V3_BDHV12</stp>
        <stp>LARF8 Comdty</stp>
        <stp>Last Trade</stp>
        <stp>31/10/2017</stp>
        <stp>31/10/2017</stp>
        <stp>[BBG Class FINAL.xlsm]Ali vol!R52C10</stp>
        <tr r="J52" s="3"/>
      </tp>
      <tp t="b">
        <v>0</v>
        <stp/>
        <stp>##V3_BDHV12</stp>
        <stp>LAPG8 Comdty</stp>
        <stp>Last Trade</stp>
        <stp>30/11/2017</stp>
        <stp>30/11/2017</stp>
        <stp>[BBG Class FINAL.xlsm]Ali vol!R30C16</stp>
        <tr r="P30" s="3"/>
      </tp>
      <tp t="b">
        <v>0</v>
        <stp/>
        <stp>##V3_BDHV12</stp>
        <stp>LAEG8 Comdty</stp>
        <stp>Last Trade</stp>
        <stp>30/11/2017</stp>
        <stp>30/11/2017</stp>
        <stp>[BBG Class FINAL.xlsm]Ali vol!R30C15</stp>
        <tr r="O30" s="3"/>
      </tp>
      <tp t="b">
        <v>0</v>
        <stp/>
        <stp>##V3_BDHV12</stp>
        <stp>LADG8 Comdty</stp>
        <stp>Last Trade</stp>
        <stp>20/10/2017</stp>
        <stp>20/10/2017</stp>
        <stp>[BBG Class FINAL.xlsm]Ali vol!R59C13</stp>
        <tr r="M59" s="3"/>
      </tp>
      <tp t="b">
        <v>0</v>
        <stp/>
        <stp>##V3_BDHV12</stp>
        <stp>LACG8 Comdty</stp>
        <stp>Last Trade</stp>
        <stp>30/11/2017</stp>
        <stp>30/11/2017</stp>
        <stp>[BBG Class FINAL.xlsm]Ali vol!R30C14</stp>
        <tr r="N30" s="3"/>
      </tp>
      <tp t="b">
        <v>0</v>
        <stp/>
        <stp>##V3_BDHV12</stp>
        <stp>LADG8 Comdty</stp>
        <stp>Last Trade</stp>
        <stp>30/11/2017</stp>
        <stp>30/11/2017</stp>
        <stp>[BBG Class FINAL.xlsm]Ali vol!R30C13</stp>
        <tr r="M30" s="3"/>
      </tp>
      <tp t="b">
        <v>0</v>
        <stp/>
        <stp>##V3_BDHV12</stp>
        <stp>LAEG8 Comdty</stp>
        <stp>Last Trade</stp>
        <stp>20/10/2017</stp>
        <stp>20/10/2017</stp>
        <stp>[BBG Class FINAL.xlsm]Ali vol!R59C15</stp>
        <tr r="O59" s="3"/>
      </tp>
      <tp t="b">
        <v>0</v>
        <stp/>
        <stp>##V3_BDHV12</stp>
        <stp>LACG8 Comdty</stp>
        <stp>Last Trade</stp>
        <stp>20/10/2017</stp>
        <stp>20/10/2017</stp>
        <stp>[BBG Class FINAL.xlsm]Ali vol!R59C14</stp>
        <tr r="N59" s="3"/>
      </tp>
      <tp t="b">
        <v>0</v>
        <stp/>
        <stp>##V3_BDHV12</stp>
        <stp>LAOG8 Comdty</stp>
        <stp>Last Trade</stp>
        <stp>20/10/2017</stp>
        <stp>20/10/2017</stp>
        <stp>[BBG Class FINAL.xlsm]Ali vol!R59C17</stp>
        <tr r="Q59" s="3"/>
      </tp>
      <tp t="b">
        <v>0</v>
        <stp/>
        <stp>##V3_BDHV12</stp>
        <stp>LARF8 Comdty</stp>
        <stp>Last Trade</stp>
        <stp>21/11/2017</stp>
        <stp>21/11/2017</stp>
        <stp>[BBG Class FINAL.xlsm]Ali vol!R37C10</stp>
        <tr r="J37" s="3"/>
      </tp>
      <tp t="b">
        <v>0</v>
        <stp/>
        <stp>##V3_BDHV12</stp>
        <stp>LARF8 Comdty</stp>
        <stp>Last Trade</stp>
        <stp>11/12/2017</stp>
        <stp>11/12/2017</stp>
        <stp>[BBG Class FINAL.xlsm]Ali vol!R23C10</stp>
        <tr r="J23" s="3"/>
      </tp>
      <tp t="b">
        <v>0</v>
        <stp/>
        <stp>##V3_BDHV12</stp>
        <stp>LAPG8 Comdty</stp>
        <stp>Last Trade</stp>
        <stp>20/10/2017</stp>
        <stp>20/10/2017</stp>
        <stp>[BBG Class FINAL.xlsm]Ali vol!R59C16</stp>
        <tr r="P59" s="3"/>
      </tp>
      <tp t="b">
        <v>0</v>
        <stp/>
        <stp>##V3_BDHV12</stp>
        <stp>LARG8 Comdty</stp>
        <stp>Last Trade</stp>
        <stp>01/12/2017</stp>
        <stp>01/12/2017</stp>
        <stp>[BBG Class FINAL.xlsm]Ali vol!R29C18</stp>
        <tr r="R29" s="3"/>
      </tp>
      <tp t="b">
        <v>0</v>
        <stp/>
        <stp>##V3_BDHV12</stp>
        <stp>LAOG8 Comdty</stp>
        <stp>Last Trade</stp>
        <stp>01/12/2017</stp>
        <stp>01/12/2017</stp>
        <stp>[BBG Class FINAL.xlsm]Ali vol!R29C17</stp>
        <tr r="Q29" s="3"/>
      </tp>
      <tp t="b">
        <v>0</v>
        <stp/>
        <stp>##V3_BDHV12</stp>
        <stp>LARF8 Comdty</stp>
        <stp>Last Trade</stp>
        <stp>30/10/2017</stp>
        <stp>30/10/2017</stp>
        <stp>[BBG Class FINAL.xlsm]Ali vol!R53C10</stp>
        <tr r="J53" s="3"/>
      </tp>
      <tp t="b">
        <v>0</v>
        <stp/>
        <stp>##V3_BDHV12</stp>
        <stp>LAPG8 Comdty</stp>
        <stp>Last Trade</stp>
        <stp>01/12/2017</stp>
        <stp>01/12/2017</stp>
        <stp>[BBG Class FINAL.xlsm]Ali vol!R29C16</stp>
        <tr r="P29" s="3"/>
      </tp>
      <tp t="b">
        <v>0</v>
        <stp/>
        <stp>##V3_BDHV12</stp>
        <stp>LAEG8 Comdty</stp>
        <stp>Last Trade</stp>
        <stp>01/12/2017</stp>
        <stp>01/12/2017</stp>
        <stp>[BBG Class FINAL.xlsm]Ali vol!R29C15</stp>
        <tr r="O29" s="3"/>
      </tp>
      <tp t="b">
        <v>0</v>
        <stp/>
        <stp>##V3_BDHV12</stp>
        <stp>LACG8 Comdty</stp>
        <stp>Last Trade</stp>
        <stp>01/12/2017</stp>
        <stp>01/12/2017</stp>
        <stp>[BBG Class FINAL.xlsm]Ali vol!R29C14</stp>
        <tr r="N29" s="3"/>
      </tp>
      <tp t="b">
        <v>0</v>
        <stp/>
        <stp>##V3_BDHV12</stp>
        <stp>LADG8 Comdty</stp>
        <stp>Last Trade</stp>
        <stp>01/12/2017</stp>
        <stp>01/12/2017</stp>
        <stp>[BBG Class FINAL.xlsm]Ali vol!R29C13</stp>
        <tr r="M29" s="3"/>
      </tp>
      <tp t="b">
        <v>0</v>
        <stp/>
        <stp>##V3_BDHV12</stp>
        <stp>LARF8 Comdty</stp>
        <stp>Last Trade</stp>
        <stp>20/11/2017</stp>
        <stp>20/11/2017</stp>
        <stp>[BBG Class FINAL.xlsm]Ali vol!R38C10</stp>
        <tr r="J38" s="3"/>
      </tp>
      <tp t="b">
        <v>0</v>
        <stp/>
        <stp>##V3_BDHV12</stp>
        <stp>LARF8 Comdty</stp>
        <stp>Last Trade</stp>
        <stp>23/11/2017</stp>
        <stp>23/11/2017</stp>
        <stp>[BBG Class FINAL.xlsm]Ali vol!R35C10</stp>
        <tr r="J35" s="3"/>
      </tp>
      <tp t="b">
        <v>0</v>
        <stp/>
        <stp>##V3_BDHV12</stp>
        <stp>LARG8 Comdty</stp>
        <stp>Last Trade</stp>
        <stp>23/10/2017</stp>
        <stp>23/10/2017</stp>
        <stp>[BBG Class FINAL.xlsm]Ali vol!R58C18</stp>
        <tr r="R58" s="3"/>
      </tp>
      <tp t="b">
        <v>0</v>
        <stp/>
        <stp>##V3_BDHV12</stp>
        <stp>LADG8 Comdty</stp>
        <stp>Last Trade</stp>
        <stp>23/10/2017</stp>
        <stp>23/10/2017</stp>
        <stp>[BBG Class FINAL.xlsm]Ali vol!R58C13</stp>
        <tr r="M58" s="3"/>
      </tp>
      <tp t="b">
        <v>0</v>
        <stp/>
        <stp>##V3_BDHV12</stp>
        <stp>LARF8 Comdty</stp>
        <stp>Last Trade</stp>
        <stp>12/12/2017</stp>
        <stp>12/12/2017</stp>
        <stp>[BBG Class FINAL.xlsm]Ali vol!R22C10</stp>
        <tr r="J22" s="3"/>
      </tp>
      <tp t="b">
        <v>0</v>
        <stp/>
        <stp>##V3_BDHV12</stp>
        <stp>LAPG8 Comdty</stp>
        <stp>Last Trade</stp>
        <stp>23/10/2017</stp>
        <stp>23/10/2017</stp>
        <stp>[BBG Class FINAL.xlsm]Ali vol!R58C16</stp>
        <tr r="P58" s="3"/>
      </tp>
      <tp t="b">
        <v>0</v>
        <stp/>
        <stp>##V3_BDHV12</stp>
        <stp>LAOG8 Comdty</stp>
        <stp>Last Trade</stp>
        <stp>23/10/2017</stp>
        <stp>23/10/2017</stp>
        <stp>[BBG Class FINAL.xlsm]Ali vol!R58C17</stp>
        <tr r="Q58" s="3"/>
      </tp>
      <tp t="b">
        <v>0</v>
        <stp/>
        <stp>##V3_BDHV12</stp>
        <stp>LARF8 Comdty</stp>
        <stp>Last Trade</stp>
        <stp>22/11/2017</stp>
        <stp>22/11/2017</stp>
        <stp>[BBG Class FINAL.xlsm]Ali vol!R36C10</stp>
        <tr r="J36" s="3"/>
      </tp>
      <tp t="b">
        <v>0</v>
        <stp/>
        <stp>##V3_BDHV12</stp>
        <stp>LACG8 Comdty</stp>
        <stp>Last Trade</stp>
        <stp>23/10/2017</stp>
        <stp>23/10/2017</stp>
        <stp>[BBG Class FINAL.xlsm]Ali vol!R58C14</stp>
        <tr r="N58" s="3"/>
      </tp>
      <tp t="b">
        <v>0</v>
        <stp/>
        <stp>##V3_BDHV12</stp>
        <stp>LAEG8 Comdty</stp>
        <stp>Last Trade</stp>
        <stp>23/10/2017</stp>
        <stp>23/10/2017</stp>
        <stp>[BBG Class FINAL.xlsm]Ali vol!R58C15</stp>
        <tr r="O58" s="3"/>
      </tp>
      <tp t="b">
        <v>0</v>
        <stp/>
        <stp>##V3_BDHV12</stp>
        <stp>LAPG8 Comdty</stp>
        <stp>Last Trade</stp>
        <stp>08/12/2017</stp>
        <stp>08/12/2017</stp>
        <stp>[BBG Class FINAL.xlsm]Ali vol!R24C16</stp>
        <tr r="P24" s="3"/>
      </tp>
      <tp t="b">
        <v>0</v>
        <stp/>
        <stp>##V3_BDHV12</stp>
        <stp>LAOG8 Comdty</stp>
        <stp>Last Trade</stp>
        <stp>08/12/2017</stp>
        <stp>08/12/2017</stp>
        <stp>[BBG Class FINAL.xlsm]Ali vol!R24C17</stp>
        <tr r="Q24" s="3"/>
      </tp>
      <tp t="b">
        <v>0</v>
        <stp/>
        <stp>##V3_BDHV12</stp>
        <stp>LACG8 Comdty</stp>
        <stp>Last Trade</stp>
        <stp>08/12/2017</stp>
        <stp>08/12/2017</stp>
        <stp>[BBG Class FINAL.xlsm]Ali vol!R24C14</stp>
        <tr r="N24" s="3"/>
      </tp>
      <tp t="b">
        <v>0</v>
        <stp/>
        <stp>##V3_BDHV12</stp>
        <stp>LAEG8 Comdty</stp>
        <stp>Last Trade</stp>
        <stp>08/12/2017</stp>
        <stp>08/12/2017</stp>
        <stp>[BBG Class FINAL.xlsm]Ali vol!R24C15</stp>
        <tr r="O24" s="3"/>
      </tp>
      <tp t="b">
        <v>0</v>
        <stp/>
        <stp>##V3_BDHV12</stp>
        <stp>LADG8 Comdty</stp>
        <stp>Last Trade</stp>
        <stp>08/12/2017</stp>
        <stp>08/12/2017</stp>
        <stp>[BBG Class FINAL.xlsm]Ali vol!R24C13</stp>
        <tr r="M24" s="3"/>
      </tp>
      <tp t="b">
        <v>0</v>
        <stp/>
        <stp>##V3_BDHV12</stp>
        <stp>LARF8 Comdty</stp>
        <stp>Last Trade</stp>
        <stp>29/11/2017</stp>
        <stp>29/11/2017</stp>
        <stp>[BBG Class FINAL.xlsm]Ali vol!R31C10</stp>
        <tr r="J31" s="3"/>
      </tp>
      <tp t="b">
        <v>0</v>
        <stp/>
        <stp>##V3_BDHV12</stp>
        <stp>LARG8 Comdty</stp>
        <stp>Last Trade</stp>
        <stp>08/12/2017</stp>
        <stp>08/12/2017</stp>
        <stp>[BBG Class FINAL.xlsm]Ali vol!R24C18</stp>
        <tr r="R24" s="3"/>
      </tp>
      <tp t="b">
        <v>0</v>
        <stp/>
        <stp>##V3_BDHV12</stp>
        <stp>LARF8 Comdty</stp>
        <stp>Last Trade</stp>
        <stp>28/11/2017</stp>
        <stp>28/11/2017</stp>
        <stp>[BBG Class FINAL.xlsm]Ali vol!R32C10</stp>
        <tr r="J32" s="3"/>
      </tp>
      <tp t="b">
        <v>0</v>
        <stp/>
        <stp>##V3_BDHV12</stp>
        <stp>LAOH8 Comdty</stp>
        <stp>Last Trade</stp>
        <stp>27/10/2017</stp>
        <stp>27/10/2017</stp>
        <stp>[BBG Class FINAL.xlsm]Ali vol!R54C26</stp>
        <tr r="Z54" s="3"/>
      </tp>
      <tp t="b">
        <v>0</v>
        <stp/>
        <stp>##V3_BDHV12</stp>
        <stp>LARH8 Comdty</stp>
        <stp>Last Trade</stp>
        <stp>27/10/2017</stp>
        <stp>27/10/2017</stp>
        <stp>[BBG Class FINAL.xlsm]Ali vol!R54C27</stp>
        <tr r="AA54" s="3"/>
      </tp>
      <tp t="b">
        <v>0</v>
        <stp/>
        <stp>##V3_BDHV12</stp>
        <stp>LACH8 Comdty</stp>
        <stp>Last Trade</stp>
        <stp>07/12/2017</stp>
        <stp>07/12/2017</stp>
        <stp>[BBG Class FINAL.xlsm]Ali vol!R25C23</stp>
        <tr r="W25" s="3"/>
      </tp>
      <tp t="b">
        <v>0</v>
        <stp/>
        <stp>##V3_BDHV12</stp>
        <stp>LAEH8 Comdty</stp>
        <stp>Last Trade</stp>
        <stp>27/10/2017</stp>
        <stp>27/10/2017</stp>
        <stp>[BBG Class FINAL.xlsm]Ali vol!R54C24</stp>
        <tr r="X54" s="3"/>
      </tp>
      <tp t="b">
        <v>0</v>
        <stp/>
        <stp>##V3_BDHV12</stp>
        <stp>LADH8 Comdty</stp>
        <stp>Last Trade</stp>
        <stp>07/12/2017</stp>
        <stp>07/12/2017</stp>
        <stp>[BBG Class FINAL.xlsm]Ali vol!R25C22</stp>
        <tr r="V25" s="3"/>
      </tp>
      <tp t="b">
        <v>0</v>
        <stp/>
        <stp>##V3_BDHV12</stp>
        <stp>LAPH8 Comdty</stp>
        <stp>Last Trade</stp>
        <stp>27/10/2017</stp>
        <stp>27/10/2017</stp>
        <stp>[BBG Class FINAL.xlsm]Ali vol!R54C25</stp>
        <tr r="Y54" s="3"/>
      </tp>
      <tp t="b">
        <v>0</v>
        <stp/>
        <stp>##V3_BDHV12</stp>
        <stp>LADH8 Comdty</stp>
        <stp>Last Trade</stp>
        <stp>27/10/2017</stp>
        <stp>27/10/2017</stp>
        <stp>[BBG Class FINAL.xlsm]Ali vol!R54C22</stp>
        <tr r="V54" s="3"/>
      </tp>
      <tp t="b">
        <v>0</v>
        <stp/>
        <stp>##V3_BDHV12</stp>
        <stp>LAPH8 Comdty</stp>
        <stp>Last Trade</stp>
        <stp>07/12/2017</stp>
        <stp>07/12/2017</stp>
        <stp>[BBG Class FINAL.xlsm]Ali vol!R25C25</stp>
        <tr r="Y25" s="3"/>
      </tp>
      <tp t="b">
        <v>0</v>
        <stp/>
        <stp>##V3_BDHV12</stp>
        <stp>LACH8 Comdty</stp>
        <stp>Last Trade</stp>
        <stp>27/10/2017</stp>
        <stp>27/10/2017</stp>
        <stp>[BBG Class FINAL.xlsm]Ali vol!R54C23</stp>
        <tr r="W54" s="3"/>
      </tp>
      <tp t="b">
        <v>0</v>
        <stp/>
        <stp>##V3_BDHV12</stp>
        <stp>LAEH8 Comdty</stp>
        <stp>Last Trade</stp>
        <stp>07/12/2017</stp>
        <stp>07/12/2017</stp>
        <stp>[BBG Class FINAL.xlsm]Ali vol!R25C24</stp>
        <tr r="X25" s="3"/>
      </tp>
      <tp t="b">
        <v>0</v>
        <stp/>
        <stp>##V3_BDHV12</stp>
        <stp>LARH8 Comdty</stp>
        <stp>Last Trade</stp>
        <stp>07/12/2017</stp>
        <stp>07/12/2017</stp>
        <stp>[BBG Class FINAL.xlsm]Ali vol!R25C27</stp>
        <tr r="AA25" s="3"/>
      </tp>
      <tp t="b">
        <v>0</v>
        <stp/>
        <stp>##V3_BDHV12</stp>
        <stp>LAOH8 Comdty</stp>
        <stp>Last Trade</stp>
        <stp>07/12/2017</stp>
        <stp>07/12/2017</stp>
        <stp>[BBG Class FINAL.xlsm]Ali vol!R25C26</stp>
        <tr r="Z25" s="3"/>
      </tp>
      <tp t="b">
        <v>0</v>
        <stp/>
        <stp>##V3_BDHV12</stp>
        <stp>LARH8 Comdty</stp>
        <stp>Last Trade</stp>
        <stp>26/10/2017</stp>
        <stp>26/10/2017</stp>
        <stp>[BBG Class FINAL.xlsm]Ali vol!R55C27</stp>
        <tr r="AA55" s="3"/>
      </tp>
      <tp t="b">
        <v>0</v>
        <stp/>
        <stp>##V3_BDHV12</stp>
        <stp>LAOH8 Comdty</stp>
        <stp>Last Trade</stp>
        <stp>26/10/2017</stp>
        <stp>26/10/2017</stp>
        <stp>[BBG Class FINAL.xlsm]Ali vol!R55C26</stp>
        <tr r="Z55" s="3"/>
      </tp>
      <tp t="b">
        <v>0</v>
        <stp/>
        <stp>##V3_BDHV12</stp>
        <stp>LADH8 Comdty</stp>
        <stp>Last Trade</stp>
        <stp>06/12/2017</stp>
        <stp>06/12/2017</stp>
        <stp>[BBG Class FINAL.xlsm]Ali vol!R26C22</stp>
        <tr r="V26" s="3"/>
      </tp>
      <tp t="b">
        <v>0</v>
        <stp/>
        <stp>##V3_BDHV12</stp>
        <stp>LAPH8 Comdty</stp>
        <stp>Last Trade</stp>
        <stp>26/10/2017</stp>
        <stp>26/10/2017</stp>
        <stp>[BBG Class FINAL.xlsm]Ali vol!R55C25</stp>
        <tr r="Y55" s="3"/>
      </tp>
      <tp t="b">
        <v>0</v>
        <stp/>
        <stp>##V3_BDHV12</stp>
        <stp>LACH8 Comdty</stp>
        <stp>Last Trade</stp>
        <stp>06/12/2017</stp>
        <stp>06/12/2017</stp>
        <stp>[BBG Class FINAL.xlsm]Ali vol!R26C23</stp>
        <tr r="W26" s="3"/>
      </tp>
      <tp t="b">
        <v>0</v>
        <stp/>
        <stp>##V3_BDHV12</stp>
        <stp>LAEH8 Comdty</stp>
        <stp>Last Trade</stp>
        <stp>26/10/2017</stp>
        <stp>26/10/2017</stp>
        <stp>[BBG Class FINAL.xlsm]Ali vol!R55C24</stp>
        <tr r="X55" s="3"/>
      </tp>
      <tp t="b">
        <v>0</v>
        <stp/>
        <stp>##V3_BDHV12</stp>
        <stp>LACH8 Comdty</stp>
        <stp>Last Trade</stp>
        <stp>26/10/2017</stp>
        <stp>26/10/2017</stp>
        <stp>[BBG Class FINAL.xlsm]Ali vol!R55C23</stp>
        <tr r="W55" s="3"/>
      </tp>
      <tp t="b">
        <v>0</v>
        <stp/>
        <stp>##V3_BDHV12</stp>
        <stp>LAEH8 Comdty</stp>
        <stp>Last Trade</stp>
        <stp>06/12/2017</stp>
        <stp>06/12/2017</stp>
        <stp>[BBG Class FINAL.xlsm]Ali vol!R26C24</stp>
        <tr r="X26" s="3"/>
      </tp>
      <tp t="b">
        <v>0</v>
        <stp/>
        <stp>##V3_BDHV12</stp>
        <stp>LADH8 Comdty</stp>
        <stp>Last Trade</stp>
        <stp>26/10/2017</stp>
        <stp>26/10/2017</stp>
        <stp>[BBG Class FINAL.xlsm]Ali vol!R55C22</stp>
        <tr r="V55" s="3"/>
      </tp>
      <tp t="b">
        <v>0</v>
        <stp/>
        <stp>##V3_BDHV12</stp>
        <stp>LAPH8 Comdty</stp>
        <stp>Last Trade</stp>
        <stp>06/12/2017</stp>
        <stp>06/12/2017</stp>
        <stp>[BBG Class FINAL.xlsm]Ali vol!R26C25</stp>
        <tr r="Y26" s="3"/>
      </tp>
      <tp t="b">
        <v>0</v>
        <stp/>
        <stp>##V3_BDHV12</stp>
        <stp>LAOH8 Comdty</stp>
        <stp>Last Trade</stp>
        <stp>06/12/2017</stp>
        <stp>06/12/2017</stp>
        <stp>[BBG Class FINAL.xlsm]Ali vol!R26C26</stp>
        <tr r="Z26" s="3"/>
      </tp>
      <tp t="b">
        <v>0</v>
        <stp/>
        <stp>##V3_BDHV12</stp>
        <stp>LARH8 Comdty</stp>
        <stp>Last Trade</stp>
        <stp>06/12/2017</stp>
        <stp>06/12/2017</stp>
        <stp>[BBG Class FINAL.xlsm]Ali vol!R26C27</stp>
        <tr r="AA26" s="3"/>
      </tp>
      <tp t="b">
        <v>0</v>
        <stp/>
        <stp>##V3_BDHV12</stp>
        <stp>LACH8 Comdty</stp>
        <stp>Last Trade</stp>
        <stp>05/12/2017</stp>
        <stp>05/12/2017</stp>
        <stp>[BBG Class FINAL.xlsm]Ali vol!R27C23</stp>
        <tr r="W27" s="3"/>
      </tp>
      <tp t="b">
        <v>0</v>
        <stp/>
        <stp>##V3_BDHV12</stp>
        <stp>LAEH8 Comdty</stp>
        <stp>Last Trade</stp>
        <stp>25/10/2017</stp>
        <stp>25/10/2017</stp>
        <stp>[BBG Class FINAL.xlsm]Ali vol!R56C24</stp>
        <tr r="X56" s="3"/>
      </tp>
      <tp t="b">
        <v>0</v>
        <stp/>
        <stp>##V3_BDHV12</stp>
        <stp>LADH8 Comdty</stp>
        <stp>Last Trade</stp>
        <stp>05/12/2017</stp>
        <stp>05/12/2017</stp>
        <stp>[BBG Class FINAL.xlsm]Ali vol!R27C22</stp>
        <tr r="V27" s="3"/>
      </tp>
      <tp t="b">
        <v>0</v>
        <stp/>
        <stp>##V3_BDHV12</stp>
        <stp>LAPH8 Comdty</stp>
        <stp>Last Trade</stp>
        <stp>25/10/2017</stp>
        <stp>25/10/2017</stp>
        <stp>[BBG Class FINAL.xlsm]Ali vol!R56C25</stp>
        <tr r="Y56" s="3"/>
      </tp>
      <tp t="b">
        <v>0</v>
        <stp/>
        <stp>##V3_BDHV12</stp>
        <stp>LAOH8 Comdty</stp>
        <stp>Last Trade</stp>
        <stp>25/10/2017</stp>
        <stp>25/10/2017</stp>
        <stp>[BBG Class FINAL.xlsm]Ali vol!R56C26</stp>
        <tr r="Z56" s="3"/>
      </tp>
      <tp t="b">
        <v>0</v>
        <stp/>
        <stp>##V3_BDHV12</stp>
        <stp>LARH8 Comdty</stp>
        <stp>Last Trade</stp>
        <stp>25/10/2017</stp>
        <stp>25/10/2017</stp>
        <stp>[BBG Class FINAL.xlsm]Ali vol!R56C27</stp>
        <tr r="AA56" s="3"/>
      </tp>
      <tp t="b">
        <v>0</v>
        <stp/>
        <stp>##V3_BDHV12</stp>
        <stp>LARH8 Comdty</stp>
        <stp>Last Trade</stp>
        <stp>05/12/2017</stp>
        <stp>05/12/2017</stp>
        <stp>[BBG Class FINAL.xlsm]Ali vol!R27C27</stp>
        <tr r="AA27" s="3"/>
      </tp>
      <tp t="b">
        <v>0</v>
        <stp/>
        <stp>##V3_BDHV12</stp>
        <stp>LAOH8 Comdty</stp>
        <stp>Last Trade</stp>
        <stp>05/12/2017</stp>
        <stp>05/12/2017</stp>
        <stp>[BBG Class FINAL.xlsm]Ali vol!R27C26</stp>
        <tr r="Z27" s="3"/>
      </tp>
      <tp t="b">
        <v>0</v>
        <stp/>
        <stp>##V3_BDHV12</stp>
        <stp>LADH8 Comdty</stp>
        <stp>Last Trade</stp>
        <stp>25/10/2017</stp>
        <stp>25/10/2017</stp>
        <stp>[BBG Class FINAL.xlsm]Ali vol!R56C22</stp>
        <tr r="V56" s="3"/>
      </tp>
      <tp t="b">
        <v>0</v>
        <stp/>
        <stp>##V3_BDHV12</stp>
        <stp>LAPH8 Comdty</stp>
        <stp>Last Trade</stp>
        <stp>05/12/2017</stp>
        <stp>05/12/2017</stp>
        <stp>[BBG Class FINAL.xlsm]Ali vol!R27C25</stp>
        <tr r="Y27" s="3"/>
      </tp>
      <tp t="b">
        <v>0</v>
        <stp/>
        <stp>##V3_BDHV12</stp>
        <stp>LACH8 Comdty</stp>
        <stp>Last Trade</stp>
        <stp>25/10/2017</stp>
        <stp>25/10/2017</stp>
        <stp>[BBG Class FINAL.xlsm]Ali vol!R56C23</stp>
        <tr r="W56" s="3"/>
      </tp>
      <tp t="b">
        <v>0</v>
        <stp/>
        <stp>##V3_BDHV12</stp>
        <stp>LAEH8 Comdty</stp>
        <stp>Last Trade</stp>
        <stp>05/12/2017</stp>
        <stp>05/12/2017</stp>
        <stp>[BBG Class FINAL.xlsm]Ali vol!R27C24</stp>
        <tr r="X27" s="3"/>
      </tp>
      <tp t="b">
        <v>0</v>
        <stp/>
        <stp>##V3_BDHV12</stp>
        <stp>LADH8 Comdty</stp>
        <stp>Last Trade</stp>
        <stp>04/12/2017</stp>
        <stp>04/12/2017</stp>
        <stp>[BBG Class FINAL.xlsm]Ali vol!R28C22</stp>
        <tr r="V28" s="3"/>
      </tp>
      <tp t="b">
        <v>0</v>
        <stp/>
        <stp>##V3_BDHV12</stp>
        <stp>LAPH8 Comdty</stp>
        <stp>Last Trade</stp>
        <stp>24/10/2017</stp>
        <stp>24/10/2017</stp>
        <stp>[BBG Class FINAL.xlsm]Ali vol!R57C25</stp>
        <tr r="Y57" s="3"/>
      </tp>
      <tp t="b">
        <v>0</v>
        <stp/>
        <stp>##V3_BDHV12</stp>
        <stp>LAEH8 Comdty</stp>
        <stp>Last Trade</stp>
        <stp>24/10/2017</stp>
        <stp>24/10/2017</stp>
        <stp>[BBG Class FINAL.xlsm]Ali vol!R57C24</stp>
        <tr r="X57" s="3"/>
      </tp>
      <tp t="b">
        <v>0</v>
        <stp/>
        <stp>##V3_BDHV12</stp>
        <stp>LACH8 Comdty</stp>
        <stp>Last Trade</stp>
        <stp>04/12/2017</stp>
        <stp>04/12/2017</stp>
        <stp>[BBG Class FINAL.xlsm]Ali vol!R28C23</stp>
        <tr r="W28" s="3"/>
      </tp>
      <tp t="b">
        <v>0</v>
        <stp/>
        <stp>##V3_BDHV12</stp>
        <stp>LARH8 Comdty</stp>
        <stp>Last Trade</stp>
        <stp>24/10/2017</stp>
        <stp>24/10/2017</stp>
        <stp>[BBG Class FINAL.xlsm]Ali vol!R57C27</stp>
        <tr r="AA57" s="3"/>
      </tp>
      <tp t="b">
        <v>0</v>
        <stp/>
        <stp>##V3_BDHV12</stp>
        <stp>LAOH8 Comdty</stp>
        <stp>Last Trade</stp>
        <stp>24/10/2017</stp>
        <stp>24/10/2017</stp>
        <stp>[BBG Class FINAL.xlsm]Ali vol!R57C26</stp>
        <tr r="Z57" s="3"/>
      </tp>
      <tp t="b">
        <v>0</v>
        <stp/>
        <stp>##V3_BDHV12</stp>
        <stp>LAOH8 Comdty</stp>
        <stp>Last Trade</stp>
        <stp>04/12/2017</stp>
        <stp>04/12/2017</stp>
        <stp>[BBG Class FINAL.xlsm]Ali vol!R28C26</stp>
        <tr r="Z28" s="3"/>
      </tp>
      <tp t="b">
        <v>0</v>
        <stp/>
        <stp>##V3_BDHV12</stp>
        <stp>LARH8 Comdty</stp>
        <stp>Last Trade</stp>
        <stp>04/12/2017</stp>
        <stp>04/12/2017</stp>
        <stp>[BBG Class FINAL.xlsm]Ali vol!R28C27</stp>
        <tr r="AA28" s="3"/>
      </tp>
      <tp t="b">
        <v>0</v>
        <stp/>
        <stp>##V3_BDHV12</stp>
        <stp>LACH8 Comdty</stp>
        <stp>Last Trade</stp>
        <stp>24/10/2017</stp>
        <stp>24/10/2017</stp>
        <stp>[BBG Class FINAL.xlsm]Ali vol!R57C23</stp>
        <tr r="W57" s="3"/>
      </tp>
      <tp t="b">
        <v>0</v>
        <stp/>
        <stp>##V3_BDHV12</stp>
        <stp>LAEH8 Comdty</stp>
        <stp>Last Trade</stp>
        <stp>04/12/2017</stp>
        <stp>04/12/2017</stp>
        <stp>[BBG Class FINAL.xlsm]Ali vol!R28C24</stp>
        <tr r="X28" s="3"/>
      </tp>
      <tp t="b">
        <v>0</v>
        <stp/>
        <stp>##V3_BDHV12</stp>
        <stp>LADH8 Comdty</stp>
        <stp>Last Trade</stp>
        <stp>24/10/2017</stp>
        <stp>24/10/2017</stp>
        <stp>[BBG Class FINAL.xlsm]Ali vol!R57C22</stp>
        <tr r="V57" s="3"/>
      </tp>
      <tp t="b">
        <v>0</v>
        <stp/>
        <stp>##V3_BDHV12</stp>
        <stp>LAPH8 Comdty</stp>
        <stp>Last Trade</stp>
        <stp>04/12/2017</stp>
        <stp>04/12/2017</stp>
        <stp>[BBG Class FINAL.xlsm]Ali vol!R28C25</stp>
        <tr r="Y28" s="3"/>
      </tp>
      <tp t="b">
        <v>0</v>
        <stp/>
        <stp>##V3_BDHV12</stp>
        <stp>LADH8 Comdty</stp>
        <stp>Last Trade</stp>
        <stp>23/10/2017</stp>
        <stp>23/10/2017</stp>
        <stp>[BBG Class FINAL.xlsm]Ali vol!R58C22</stp>
        <tr r="V58" s="3"/>
      </tp>
      <tp t="b">
        <v>0</v>
        <stp/>
        <stp>##V3_BDHV12</stp>
        <stp>LACH8 Comdty</stp>
        <stp>Last Trade</stp>
        <stp>23/10/2017</stp>
        <stp>23/10/2017</stp>
        <stp>[BBG Class FINAL.xlsm]Ali vol!R58C23</stp>
        <tr r="W58" s="3"/>
      </tp>
      <tp t="b">
        <v>0</v>
        <stp/>
        <stp>##V3_BDHV12</stp>
        <stp>LAOH8 Comdty</stp>
        <stp>Last Trade</stp>
        <stp>23/10/2017</stp>
        <stp>23/10/2017</stp>
        <stp>[BBG Class FINAL.xlsm]Ali vol!R58C26</stp>
        <tr r="Z58" s="3"/>
      </tp>
      <tp t="b">
        <v>0</v>
        <stp/>
        <stp>##V3_BDHV12</stp>
        <stp>LARH8 Comdty</stp>
        <stp>Last Trade</stp>
        <stp>23/10/2017</stp>
        <stp>23/10/2017</stp>
        <stp>[BBG Class FINAL.xlsm]Ali vol!R58C27</stp>
        <tr r="AA58" s="3"/>
      </tp>
      <tp t="b">
        <v>0</v>
        <stp/>
        <stp>##V3_BDHV12</stp>
        <stp>LAEH8 Comdty</stp>
        <stp>Last Trade</stp>
        <stp>23/10/2017</stp>
        <stp>23/10/2017</stp>
        <stp>[BBG Class FINAL.xlsm]Ali vol!R58C24</stp>
        <tr r="X58" s="3"/>
      </tp>
      <tp t="b">
        <v>0</v>
        <stp/>
        <stp>##V3_BDHV12</stp>
        <stp>LAPH8 Comdty</stp>
        <stp>Last Trade</stp>
        <stp>23/10/2017</stp>
        <stp>23/10/2017</stp>
        <stp>[BBG Class FINAL.xlsm]Ali vol!R58C25</stp>
        <tr r="Y58" s="3"/>
      </tp>
      <tp t="b">
        <v>0</v>
        <stp/>
        <stp>##V3_BDHV12</stp>
        <stp>LARH8 Comdty</stp>
        <stp>Last Trade</stp>
        <stp>01/12/2017</stp>
        <stp>01/12/2017</stp>
        <stp>[BBG Class FINAL.xlsm]Ali vol!R29C27</stp>
        <tr r="AA29" s="3"/>
      </tp>
      <tp t="b">
        <v>0</v>
        <stp/>
        <stp>##V3_BDHV12</stp>
        <stp>LAOH8 Comdty</stp>
        <stp>Last Trade</stp>
        <stp>01/12/2017</stp>
        <stp>01/12/2017</stp>
        <stp>[BBG Class FINAL.xlsm]Ali vol!R29C26</stp>
        <tr r="Z29" s="3"/>
      </tp>
      <tp t="b">
        <v>0</v>
        <stp/>
        <stp>##V3_BDHV12</stp>
        <stp>LAPH8 Comdty</stp>
        <stp>Last Trade</stp>
        <stp>01/12/2017</stp>
        <stp>01/12/2017</stp>
        <stp>[BBG Class FINAL.xlsm]Ali vol!R29C25</stp>
        <tr r="Y29" s="3"/>
      </tp>
      <tp t="b">
        <v>0</v>
        <stp/>
        <stp>##V3_BDHV12</stp>
        <stp>LAEH8 Comdty</stp>
        <stp>Last Trade</stp>
        <stp>01/12/2017</stp>
        <stp>01/12/2017</stp>
        <stp>[BBG Class FINAL.xlsm]Ali vol!R29C24</stp>
        <tr r="X29" s="3"/>
      </tp>
      <tp t="b">
        <v>0</v>
        <stp/>
        <stp>##V3_BDHV12</stp>
        <stp>LACH8 Comdty</stp>
        <stp>Last Trade</stp>
        <stp>01/12/2017</stp>
        <stp>01/12/2017</stp>
        <stp>[BBG Class FINAL.xlsm]Ali vol!R29C23</stp>
        <tr r="W29" s="3"/>
      </tp>
      <tp t="b">
        <v>0</v>
        <stp/>
        <stp>##V3_BDHV12</stp>
        <stp>LADH8 Comdty</stp>
        <stp>Last Trade</stp>
        <stp>01/12/2017</stp>
        <stp>01/12/2017</stp>
        <stp>[BBG Class FINAL.xlsm]Ali vol!R29C22</stp>
        <tr r="V29" s="3"/>
      </tp>
      <tp t="b">
        <v>0</v>
        <stp/>
        <stp>##V3_BDHV12</stp>
        <stp>LARH8 Comdty</stp>
        <stp>Last Trade</stp>
        <stp>30/11/2017</stp>
        <stp>30/11/2017</stp>
        <stp>[BBG Class FINAL.xlsm]Ali vol!R30C27</stp>
        <tr r="AA30" s="3"/>
      </tp>
      <tp t="b">
        <v>0</v>
        <stp/>
        <stp>##V3_BDHV12</stp>
        <stp>LAOH8 Comdty</stp>
        <stp>Last Trade</stp>
        <stp>30/11/2017</stp>
        <stp>30/11/2017</stp>
        <stp>[BBG Class FINAL.xlsm]Ali vol!R30C26</stp>
        <tr r="Z30" s="3"/>
      </tp>
      <tp t="b">
        <v>0</v>
        <stp/>
        <stp>##V3_BDHV12</stp>
        <stp>LACH8 Comdty</stp>
        <stp>Last Trade</stp>
        <stp>20/10/2017</stp>
        <stp>20/10/2017</stp>
        <stp>[BBG Class FINAL.xlsm]Ali vol!R59C23</stp>
        <tr r="W59" s="3"/>
      </tp>
      <tp t="b">
        <v>0</v>
        <stp/>
        <stp>##V3_BDHV12</stp>
        <stp>LAPH8 Comdty</stp>
        <stp>Last Trade</stp>
        <stp>30/11/2017</stp>
        <stp>30/11/2017</stp>
        <stp>[BBG Class FINAL.xlsm]Ali vol!R30C25</stp>
        <tr r="Y30" s="3"/>
      </tp>
      <tp t="b">
        <v>0</v>
        <stp/>
        <stp>##V3_BDHV12</stp>
        <stp>LAEH8 Comdty</stp>
        <stp>Last Trade</stp>
        <stp>30/11/2017</stp>
        <stp>30/11/2017</stp>
        <stp>[BBG Class FINAL.xlsm]Ali vol!R30C24</stp>
        <tr r="X30" s="3"/>
      </tp>
      <tp t="b">
        <v>0</v>
        <stp/>
        <stp>##V3_BDHV12</stp>
        <stp>LADH8 Comdty</stp>
        <stp>Last Trade</stp>
        <stp>20/10/2017</stp>
        <stp>20/10/2017</stp>
        <stp>[BBG Class FINAL.xlsm]Ali vol!R59C22</stp>
        <tr r="V59" s="3"/>
      </tp>
      <tp t="b">
        <v>0</v>
        <stp/>
        <stp>##V3_BDHV12</stp>
        <stp>LACH8 Comdty</stp>
        <stp>Last Trade</stp>
        <stp>30/11/2017</stp>
        <stp>30/11/2017</stp>
        <stp>[BBG Class FINAL.xlsm]Ali vol!R30C23</stp>
        <tr r="W30" s="3"/>
      </tp>
      <tp t="b">
        <v>0</v>
        <stp/>
        <stp>##V3_BDHV12</stp>
        <stp>LAPH8 Comdty</stp>
        <stp>Last Trade</stp>
        <stp>20/10/2017</stp>
        <stp>20/10/2017</stp>
        <stp>[BBG Class FINAL.xlsm]Ali vol!R59C25</stp>
        <tr r="Y59" s="3"/>
      </tp>
      <tp t="b">
        <v>0</v>
        <stp/>
        <stp>##V3_BDHV12</stp>
        <stp>LADH8 Comdty</stp>
        <stp>Last Trade</stp>
        <stp>30/11/2017</stp>
        <stp>30/11/2017</stp>
        <stp>[BBG Class FINAL.xlsm]Ali vol!R30C22</stp>
        <tr r="V30" s="3"/>
      </tp>
      <tp t="b">
        <v>0</v>
        <stp/>
        <stp>##V3_BDHV12</stp>
        <stp>LAEH8 Comdty</stp>
        <stp>Last Trade</stp>
        <stp>20/10/2017</stp>
        <stp>20/10/2017</stp>
        <stp>[BBG Class FINAL.xlsm]Ali vol!R59C24</stp>
        <tr r="X59" s="3"/>
      </tp>
      <tp t="b">
        <v>0</v>
        <stp/>
        <stp>##V3_BDHV12</stp>
        <stp>LARH8 Comdty</stp>
        <stp>Last Trade</stp>
        <stp>20/10/2017</stp>
        <stp>20/10/2017</stp>
        <stp>[BBG Class FINAL.xlsm]Ali vol!R59C27</stp>
        <tr r="AA59" s="3"/>
      </tp>
      <tp t="b">
        <v>0</v>
        <stp/>
        <stp>##V3_BDHV12</stp>
        <stp>LAOH8 Comdty</stp>
        <stp>Last Trade</stp>
        <stp>20/10/2017</stp>
        <stp>20/10/2017</stp>
        <stp>[BBG Class FINAL.xlsm]Ali vol!R59C26</stp>
        <tr r="Z59" s="3"/>
      </tp>
      <tp t="b">
        <v>0</v>
        <stp/>
        <stp>##V3_BDHV12</stp>
        <stp>LAOH8 Comdty</stp>
        <stp>Last Trade</stp>
        <stp>08/12/2017</stp>
        <stp>08/12/2017</stp>
        <stp>[BBG Class FINAL.xlsm]Ali vol!R24C26</stp>
        <tr r="Z24" s="3"/>
      </tp>
      <tp t="b">
        <v>0</v>
        <stp/>
        <stp>##V3_BDHV12</stp>
        <stp>LARH8 Comdty</stp>
        <stp>Last Trade</stp>
        <stp>08/12/2017</stp>
        <stp>08/12/2017</stp>
        <stp>[BBG Class FINAL.xlsm]Ali vol!R24C27</stp>
        <tr r="AA24" s="3"/>
      </tp>
      <tp t="b">
        <v>0</v>
        <stp/>
        <stp>##V3_BDHV12</stp>
        <stp>LAEH8 Comdty</stp>
        <stp>Last Trade</stp>
        <stp>08/12/2017</stp>
        <stp>08/12/2017</stp>
        <stp>[BBG Class FINAL.xlsm]Ali vol!R24C24</stp>
        <tr r="X24" s="3"/>
      </tp>
      <tp t="b">
        <v>0</v>
        <stp/>
        <stp>##V3_BDHV12</stp>
        <stp>LAPH8 Comdty</stp>
        <stp>Last Trade</stp>
        <stp>08/12/2017</stp>
        <stp>08/12/2017</stp>
        <stp>[BBG Class FINAL.xlsm]Ali vol!R24C25</stp>
        <tr r="Y24" s="3"/>
      </tp>
      <tp t="b">
        <v>0</v>
        <stp/>
        <stp>##V3_BDHV12</stp>
        <stp>LADH8 Comdty</stp>
        <stp>Last Trade</stp>
        <stp>08/12/2017</stp>
        <stp>08/12/2017</stp>
        <stp>[BBG Class FINAL.xlsm]Ali vol!R24C22</stp>
        <tr r="V24" s="3"/>
      </tp>
      <tp t="b">
        <v>0</v>
        <stp/>
        <stp>##V3_BDHV12</stp>
        <stp>LACH8 Comdty</stp>
        <stp>Last Trade</stp>
        <stp>08/12/2017</stp>
        <stp>08/12/2017</stp>
        <stp>[BBG Class FINAL.xlsm]Ali vol!R24C23</stp>
        <tr r="W24" s="3"/>
      </tp>
      <tp t="b">
        <v>0</v>
        <stp/>
        <stp>##V3_BDHV12</stp>
        <stp>LADH8 Comdty</stp>
        <stp>Last Trade</stp>
        <stp>27/11/2017</stp>
        <stp>27/11/2017</stp>
        <stp>[BBG Class FINAL.xlsm]Ali vol!R33C22</stp>
        <tr r="V33" s="3"/>
      </tp>
      <tp t="b">
        <v>0</v>
        <stp/>
        <stp>##V3_BDHV12</stp>
        <stp>LACH8 Comdty</stp>
        <stp>Last Trade</stp>
        <stp>27/11/2017</stp>
        <stp>27/11/2017</stp>
        <stp>[BBG Class FINAL.xlsm]Ali vol!R33C23</stp>
        <tr r="W33" s="3"/>
      </tp>
      <tp t="b">
        <v>0</v>
        <stp/>
        <stp>##V3_BDHV12</stp>
        <stp>LAEH8 Comdty</stp>
        <stp>Last Trade</stp>
        <stp>27/11/2017</stp>
        <stp>27/11/2017</stp>
        <stp>[BBG Class FINAL.xlsm]Ali vol!R33C24</stp>
        <tr r="X33" s="3"/>
      </tp>
      <tp t="b">
        <v>0</v>
        <stp/>
        <stp>##V3_BDHV12</stp>
        <stp>LAPH8 Comdty</stp>
        <stp>Last Trade</stp>
        <stp>27/11/2017</stp>
        <stp>27/11/2017</stp>
        <stp>[BBG Class FINAL.xlsm]Ali vol!R33C25</stp>
        <tr r="Y33" s="3"/>
      </tp>
      <tp t="b">
        <v>0</v>
        <stp/>
        <stp>##V3_BDHV12</stp>
        <stp>LAOH8 Comdty</stp>
        <stp>Last Trade</stp>
        <stp>27/11/2017</stp>
        <stp>27/11/2017</stp>
        <stp>[BBG Class FINAL.xlsm]Ali vol!R33C26</stp>
        <tr r="Z33" s="3"/>
      </tp>
      <tp t="b">
        <v>0</v>
        <stp/>
        <stp>##V3_BDHV12</stp>
        <stp>LARH8 Comdty</stp>
        <stp>Last Trade</stp>
        <stp>27/11/2017</stp>
        <stp>27/11/2017</stp>
        <stp>[BBG Class FINAL.xlsm]Ali vol!R33C27</stp>
        <tr r="AA33" s="3"/>
      </tp>
      <tp t="b">
        <v>0</v>
        <stp/>
        <stp>##V3_BDHV12</stp>
        <stp>LACH8 Comdty</stp>
        <stp>Last Trade</stp>
        <stp>24/11/2017</stp>
        <stp>24/11/2017</stp>
        <stp>[BBG Class FINAL.xlsm]Ali vol!R34C23</stp>
        <tr r="W34" s="3"/>
      </tp>
      <tp t="b">
        <v>0</v>
        <stp/>
        <stp>##V3_BDHV12</stp>
        <stp>LADH8 Comdty</stp>
        <stp>Last Trade</stp>
        <stp>24/11/2017</stp>
        <stp>24/11/2017</stp>
        <stp>[BBG Class FINAL.xlsm]Ali vol!R34C22</stp>
        <tr r="V34" s="3"/>
      </tp>
      <tp t="b">
        <v>0</v>
        <stp/>
        <stp>##V3_BDHV12</stp>
        <stp>LARH8 Comdty</stp>
        <stp>Last Trade</stp>
        <stp>24/11/2017</stp>
        <stp>24/11/2017</stp>
        <stp>[BBG Class FINAL.xlsm]Ali vol!R34C27</stp>
        <tr r="AA34" s="3"/>
      </tp>
      <tp t="b">
        <v>0</v>
        <stp/>
        <stp>##V3_BDHV12</stp>
        <stp>LAOH8 Comdty</stp>
        <stp>Last Trade</stp>
        <stp>24/11/2017</stp>
        <stp>24/11/2017</stp>
        <stp>[BBG Class FINAL.xlsm]Ali vol!R34C26</stp>
        <tr r="Z34" s="3"/>
      </tp>
      <tp t="b">
        <v>0</v>
        <stp/>
        <stp>##V3_BDHV12</stp>
        <stp>LAPH8 Comdty</stp>
        <stp>Last Trade</stp>
        <stp>24/11/2017</stp>
        <stp>24/11/2017</stp>
        <stp>[BBG Class FINAL.xlsm]Ali vol!R34C25</stp>
        <tr r="Y34" s="3"/>
      </tp>
      <tp t="b">
        <v>0</v>
        <stp/>
        <stp>##V3_BDHV12</stp>
        <stp>LAEH8 Comdty</stp>
        <stp>Last Trade</stp>
        <stp>24/11/2017</stp>
        <stp>24/11/2017</stp>
        <stp>[BBG Class FINAL.xlsm]Ali vol!R34C24</stp>
        <tr r="X34" s="3"/>
      </tp>
      <tp t="b">
        <v>0</v>
        <stp/>
        <stp>##V3_BDHV12</stp>
        <stp>LAPH8 Comdty</stp>
        <stp>Last Trade</stp>
        <stp>22/11/2017</stp>
        <stp>22/11/2017</stp>
        <stp>[BBG Class FINAL.xlsm]Ali vol!R36C25</stp>
        <tr r="Y36" s="3"/>
      </tp>
      <tp t="b">
        <v>0</v>
        <stp/>
        <stp>##V3_BDHV12</stp>
        <stp>LAEH8 Comdty</stp>
        <stp>Last Trade</stp>
        <stp>22/11/2017</stp>
        <stp>22/11/2017</stp>
        <stp>[BBG Class FINAL.xlsm]Ali vol!R36C24</stp>
        <tr r="X36" s="3"/>
      </tp>
      <tp t="b">
        <v>0</v>
        <stp/>
        <stp>##V3_BDHV12</stp>
        <stp>LARH8 Comdty</stp>
        <stp>Last Trade</stp>
        <stp>22/11/2017</stp>
        <stp>22/11/2017</stp>
        <stp>[BBG Class FINAL.xlsm]Ali vol!R36C27</stp>
        <tr r="AA36" s="3"/>
      </tp>
      <tp t="b">
        <v>0</v>
        <stp/>
        <stp>##V3_BDHV12</stp>
        <stp>LAOH8 Comdty</stp>
        <stp>Last Trade</stp>
        <stp>22/11/2017</stp>
        <stp>22/11/2017</stp>
        <stp>[BBG Class FINAL.xlsm]Ali vol!R36C26</stp>
        <tr r="Z36" s="3"/>
      </tp>
      <tp t="b">
        <v>0</v>
        <stp/>
        <stp>##V3_BDHV12</stp>
        <stp>LACH8 Comdty</stp>
        <stp>Last Trade</stp>
        <stp>22/11/2017</stp>
        <stp>22/11/2017</stp>
        <stp>[BBG Class FINAL.xlsm]Ali vol!R36C23</stp>
        <tr r="W36" s="3"/>
      </tp>
      <tp t="b">
        <v>0</v>
        <stp/>
        <stp>##V3_BDHV12</stp>
        <stp>LADH8 Comdty</stp>
        <stp>Last Trade</stp>
        <stp>22/11/2017</stp>
        <stp>22/11/2017</stp>
        <stp>[BBG Class FINAL.xlsm]Ali vol!R36C22</stp>
        <tr r="V36" s="3"/>
      </tp>
      <tp t="b">
        <v>0</v>
        <stp/>
        <stp>##V3_BDHV12</stp>
        <stp>LAEH8 Comdty</stp>
        <stp>Last Trade</stp>
        <stp>23/11/2017</stp>
        <stp>23/11/2017</stp>
        <stp>[BBG Class FINAL.xlsm]Ali vol!R35C24</stp>
        <tr r="X35" s="3"/>
      </tp>
      <tp t="b">
        <v>0</v>
        <stp/>
        <stp>##V3_BDHV12</stp>
        <stp>LAPH8 Comdty</stp>
        <stp>Last Trade</stp>
        <stp>23/11/2017</stp>
        <stp>23/11/2017</stp>
        <stp>[BBG Class FINAL.xlsm]Ali vol!R35C25</stp>
        <tr r="Y35" s="3"/>
      </tp>
      <tp t="b">
        <v>0</v>
        <stp/>
        <stp>##V3_BDHV12</stp>
        <stp>LAOH8 Comdty</stp>
        <stp>Last Trade</stp>
        <stp>23/11/2017</stp>
        <stp>23/11/2017</stp>
        <stp>[BBG Class FINAL.xlsm]Ali vol!R35C26</stp>
        <tr r="Z35" s="3"/>
      </tp>
      <tp t="b">
        <v>0</v>
        <stp/>
        <stp>##V3_BDHV12</stp>
        <stp>LARH8 Comdty</stp>
        <stp>Last Trade</stp>
        <stp>23/11/2017</stp>
        <stp>23/11/2017</stp>
        <stp>[BBG Class FINAL.xlsm]Ali vol!R35C27</stp>
        <tr r="AA35" s="3"/>
      </tp>
      <tp t="b">
        <v>0</v>
        <stp/>
        <stp>##V3_BDHV12</stp>
        <stp>LADH8 Comdty</stp>
        <stp>Last Trade</stp>
        <stp>23/11/2017</stp>
        <stp>23/11/2017</stp>
        <stp>[BBG Class FINAL.xlsm]Ali vol!R35C22</stp>
        <tr r="V35" s="3"/>
      </tp>
      <tp t="b">
        <v>0</v>
        <stp/>
        <stp>##V3_BDHV12</stp>
        <stp>LACH8 Comdty</stp>
        <stp>Last Trade</stp>
        <stp>23/11/2017</stp>
        <stp>23/11/2017</stp>
        <stp>[BBG Class FINAL.xlsm]Ali vol!R35C23</stp>
        <tr r="W35" s="3"/>
      </tp>
      <tp t="b">
        <v>0</v>
        <stp/>
        <stp>##V3_BDHV12</stp>
        <stp>LARH8 Comdty</stp>
        <stp>Last Trade</stp>
        <stp>20/11/2017</stp>
        <stp>20/11/2017</stp>
        <stp>[BBG Class FINAL.xlsm]Ali vol!R38C27</stp>
        <tr r="AA38" s="3"/>
      </tp>
      <tp t="b">
        <v>0</v>
        <stp/>
        <stp>##V3_BDHV12</stp>
        <stp>LAOH8 Comdty</stp>
        <stp>Last Trade</stp>
        <stp>20/11/2017</stp>
        <stp>20/11/2017</stp>
        <stp>[BBG Class FINAL.xlsm]Ali vol!R38C26</stp>
        <tr r="Z38" s="3"/>
      </tp>
      <tp t="b">
        <v>0</v>
        <stp/>
        <stp>##V3_BDHV12</stp>
        <stp>LACH8 Comdty</stp>
        <stp>Last Trade</stp>
        <stp>30/10/2017</stp>
        <stp>30/10/2017</stp>
        <stp>[BBG Class FINAL.xlsm]Ali vol!R53C23</stp>
        <tr r="W53" s="3"/>
      </tp>
      <tp t="b">
        <v>0</v>
        <stp/>
        <stp>##V3_BDHV12</stp>
        <stp>LAPH8 Comdty</stp>
        <stp>Last Trade</stp>
        <stp>20/11/2017</stp>
        <stp>20/11/2017</stp>
        <stp>[BBG Class FINAL.xlsm]Ali vol!R38C25</stp>
        <tr r="Y38" s="3"/>
      </tp>
      <tp t="b">
        <v>0</v>
        <stp/>
        <stp>##V3_BDHV12</stp>
        <stp>LADH8 Comdty</stp>
        <stp>Last Trade</stp>
        <stp>30/10/2017</stp>
        <stp>30/10/2017</stp>
        <stp>[BBG Class FINAL.xlsm]Ali vol!R53C22</stp>
        <tr r="V53" s="3"/>
      </tp>
      <tp t="b">
        <v>0</v>
        <stp/>
        <stp>##V3_BDHV12</stp>
        <stp>LAEH8 Comdty</stp>
        <stp>Last Trade</stp>
        <stp>20/11/2017</stp>
        <stp>20/11/2017</stp>
        <stp>[BBG Class FINAL.xlsm]Ali vol!R38C24</stp>
        <tr r="X38" s="3"/>
      </tp>
      <tp t="b">
        <v>0</v>
        <stp/>
        <stp>##V3_BDHV12</stp>
        <stp>LACH8 Comdty</stp>
        <stp>Last Trade</stp>
        <stp>20/11/2017</stp>
        <stp>20/11/2017</stp>
        <stp>[BBG Class FINAL.xlsm]Ali vol!R38C23</stp>
        <tr r="W38" s="3"/>
      </tp>
      <tp t="b">
        <v>0</v>
        <stp/>
        <stp>##V3_BDHV12</stp>
        <stp>LAPH8 Comdty</stp>
        <stp>Last Trade</stp>
        <stp>30/10/2017</stp>
        <stp>30/10/2017</stp>
        <stp>[BBG Class FINAL.xlsm]Ali vol!R53C25</stp>
        <tr r="Y53" s="3"/>
      </tp>
      <tp t="b">
        <v>0</v>
        <stp/>
        <stp>##V3_BDHV12</stp>
        <stp>LAEH8 Comdty</stp>
        <stp>Last Trade</stp>
        <stp>30/10/2017</stp>
        <stp>30/10/2017</stp>
        <stp>[BBG Class FINAL.xlsm]Ali vol!R53C24</stp>
        <tr r="X53" s="3"/>
      </tp>
      <tp t="b">
        <v>0</v>
        <stp/>
        <stp>##V3_BDHV12</stp>
        <stp>LADH8 Comdty</stp>
        <stp>Last Trade</stp>
        <stp>20/11/2017</stp>
        <stp>20/11/2017</stp>
        <stp>[BBG Class FINAL.xlsm]Ali vol!R38C22</stp>
        <tr r="V38" s="3"/>
      </tp>
      <tp t="b">
        <v>0</v>
        <stp/>
        <stp>##V3_BDHV12</stp>
        <stp>LARH8 Comdty</stp>
        <stp>Last Trade</stp>
        <stp>30/10/2017</stp>
        <stp>30/10/2017</stp>
        <stp>[BBG Class FINAL.xlsm]Ali vol!R53C27</stp>
        <tr r="AA53" s="3"/>
      </tp>
      <tp t="b">
        <v>0</v>
        <stp/>
        <stp>##V3_BDHV12</stp>
        <stp>LAOH8 Comdty</stp>
        <stp>Last Trade</stp>
        <stp>30/10/2017</stp>
        <stp>30/10/2017</stp>
        <stp>[BBG Class FINAL.xlsm]Ali vol!R53C26</stp>
        <tr r="Z53" s="3"/>
      </tp>
      <tp t="b">
        <v>0</v>
        <stp/>
        <stp>##V3_BDHV12</stp>
        <stp>LAOH8 Comdty</stp>
        <stp>Last Trade</stp>
        <stp>21/11/2017</stp>
        <stp>21/11/2017</stp>
        <stp>[BBG Class FINAL.xlsm]Ali vol!R37C26</stp>
        <tr r="Z37" s="3"/>
      </tp>
      <tp t="b">
        <v>0</v>
        <stp/>
        <stp>##V3_BDHV12</stp>
        <stp>LARH8 Comdty</stp>
        <stp>Last Trade</stp>
        <stp>11/12/2017</stp>
        <stp>11/12/2017</stp>
        <stp>[BBG Class FINAL.xlsm]Ali vol!R23C27</stp>
        <tr r="AA23" s="3"/>
      </tp>
      <tp t="b">
        <v>0</v>
        <stp/>
        <stp>##V3_BDHV12</stp>
        <stp>LAOH8 Comdty</stp>
        <stp>Last Trade</stp>
        <stp>11/12/2017</stp>
        <stp>11/12/2017</stp>
        <stp>[BBG Class FINAL.xlsm]Ali vol!R23C26</stp>
        <tr r="Z23" s="3"/>
      </tp>
      <tp t="b">
        <v>0</v>
        <stp/>
        <stp>##V3_BDHV12</stp>
        <stp>LARH8 Comdty</stp>
        <stp>Last Trade</stp>
        <stp>21/11/2017</stp>
        <stp>21/11/2017</stp>
        <stp>[BBG Class FINAL.xlsm]Ali vol!R37C27</stp>
        <tr r="AA37" s="3"/>
      </tp>
      <tp t="b">
        <v>0</v>
        <stp/>
        <stp>##V3_BDHV12</stp>
        <stp>LADH8 Comdty</stp>
        <stp>Last Trade</stp>
        <stp>31/10/2017</stp>
        <stp>31/10/2017</stp>
        <stp>[BBG Class FINAL.xlsm]Ali vol!R52C22</stp>
        <tr r="V52" s="3"/>
      </tp>
      <tp t="b">
        <v>0</v>
        <stp/>
        <stp>##V3_BDHV12</stp>
        <stp>LAEH8 Comdty</stp>
        <stp>Last Trade</stp>
        <stp>21/11/2017</stp>
        <stp>21/11/2017</stp>
        <stp>[BBG Class FINAL.xlsm]Ali vol!R37C24</stp>
        <tr r="X37" s="3"/>
      </tp>
      <tp t="b">
        <v>0</v>
        <stp/>
        <stp>##V3_BDHV12</stp>
        <stp>LAPH8 Comdty</stp>
        <stp>Last Trade</stp>
        <stp>11/12/2017</stp>
        <stp>11/12/2017</stp>
        <stp>[BBG Class FINAL.xlsm]Ali vol!R23C25</stp>
        <tr r="Y23" s="3"/>
      </tp>
      <tp t="b">
        <v>0</v>
        <stp/>
        <stp>##V3_BDHV12</stp>
        <stp>LAEH8 Comdty</stp>
        <stp>Last Trade</stp>
        <stp>11/12/2017</stp>
        <stp>11/12/2017</stp>
        <stp>[BBG Class FINAL.xlsm]Ali vol!R23C24</stp>
        <tr r="X23" s="3"/>
      </tp>
      <tp t="b">
        <v>0</v>
        <stp/>
        <stp>##V3_BDHV12</stp>
        <stp>LACH8 Comdty</stp>
        <stp>Last Trade</stp>
        <stp>31/10/2017</stp>
        <stp>31/10/2017</stp>
        <stp>[BBG Class FINAL.xlsm]Ali vol!R52C23</stp>
        <tr r="W52" s="3"/>
      </tp>
      <tp t="b">
        <v>0</v>
        <stp/>
        <stp>##V3_BDHV12</stp>
        <stp>LAPH8 Comdty</stp>
        <stp>Last Trade</stp>
        <stp>21/11/2017</stp>
        <stp>21/11/2017</stp>
        <stp>[BBG Class FINAL.xlsm]Ali vol!R37C25</stp>
        <tr r="Y37" s="3"/>
      </tp>
      <tp t="b">
        <v>0</v>
        <stp/>
        <stp>##V3_BDHV12</stp>
        <stp>LAEH8 Comdty</stp>
        <stp>Last Trade</stp>
        <stp>31/10/2017</stp>
        <stp>31/10/2017</stp>
        <stp>[BBG Class FINAL.xlsm]Ali vol!R52C24</stp>
        <tr r="X52" s="3"/>
      </tp>
      <tp t="b">
        <v>0</v>
        <stp/>
        <stp>##V3_BDHV12</stp>
        <stp>LADH8 Comdty</stp>
        <stp>Last Trade</stp>
        <stp>21/11/2017</stp>
        <stp>21/11/2017</stp>
        <stp>[BBG Class FINAL.xlsm]Ali vol!R37C22</stp>
        <tr r="V37" s="3"/>
      </tp>
      <tp t="b">
        <v>0</v>
        <stp/>
        <stp>##V3_BDHV12</stp>
        <stp>LACH8 Comdty</stp>
        <stp>Last Trade</stp>
        <stp>11/12/2017</stp>
        <stp>11/12/2017</stp>
        <stp>[BBG Class FINAL.xlsm]Ali vol!R23C23</stp>
        <tr r="W23" s="3"/>
      </tp>
      <tp t="b">
        <v>0</v>
        <stp/>
        <stp>##V3_BDHV12</stp>
        <stp>LADH8 Comdty</stp>
        <stp>Last Trade</stp>
        <stp>11/12/2017</stp>
        <stp>11/12/2017</stp>
        <stp>[BBG Class FINAL.xlsm]Ali vol!R23C22</stp>
        <tr r="V23" s="3"/>
      </tp>
      <tp t="b">
        <v>0</v>
        <stp/>
        <stp>##V3_BDHV12</stp>
        <stp>LACH8 Comdty</stp>
        <stp>Last Trade</stp>
        <stp>21/11/2017</stp>
        <stp>21/11/2017</stp>
        <stp>[BBG Class FINAL.xlsm]Ali vol!R37C23</stp>
        <tr r="W37" s="3"/>
      </tp>
      <tp t="b">
        <v>0</v>
        <stp/>
        <stp>##V3_BDHV12</stp>
        <stp>LAPH8 Comdty</stp>
        <stp>Last Trade</stp>
        <stp>31/10/2017</stp>
        <stp>31/10/2017</stp>
        <stp>[BBG Class FINAL.xlsm]Ali vol!R52C25</stp>
        <tr r="Y52" s="3"/>
      </tp>
      <tp t="b">
        <v>0</v>
        <stp/>
        <stp>##V3_BDHV12</stp>
        <stp>LAOH8 Comdty</stp>
        <stp>Last Trade</stp>
        <stp>31/10/2017</stp>
        <stp>31/10/2017</stp>
        <stp>[BBG Class FINAL.xlsm]Ali vol!R52C26</stp>
        <tr r="Z52" s="3"/>
      </tp>
      <tp t="b">
        <v>0</v>
        <stp/>
        <stp>##V3_BDHV12</stp>
        <stp>LARH8 Comdty</stp>
        <stp>Last Trade</stp>
        <stp>31/10/2017</stp>
        <stp>31/10/2017</stp>
        <stp>[BBG Class FINAL.xlsm]Ali vol!R52C27</stp>
        <tr r="AA52" s="3"/>
      </tp>
      <tp t="b">
        <v>0</v>
        <stp/>
        <stp>##V3_BDHV12</stp>
        <stp>LARH8 Comdty</stp>
        <stp>Last Trade</stp>
        <stp>28/11/2017</stp>
        <stp>28/11/2017</stp>
        <stp>[BBG Class FINAL.xlsm]Ali vol!R32C27</stp>
        <tr r="AA32" s="3"/>
      </tp>
      <tp t="b">
        <v>0</v>
        <stp/>
        <stp>##V3_BDHV12</stp>
        <stp>LAOH8 Comdty</stp>
        <stp>Last Trade</stp>
        <stp>28/11/2017</stp>
        <stp>28/11/2017</stp>
        <stp>[BBG Class FINAL.xlsm]Ali vol!R32C26</stp>
        <tr r="Z32" s="3"/>
      </tp>
      <tp t="b">
        <v>0</v>
        <stp/>
        <stp>##V3_BDHV12</stp>
        <stp>LAPH8 Comdty</stp>
        <stp>Last Trade</stp>
        <stp>28/11/2017</stp>
        <stp>28/11/2017</stp>
        <stp>[BBG Class FINAL.xlsm]Ali vol!R32C25</stp>
        <tr r="Y32" s="3"/>
      </tp>
      <tp t="b">
        <v>0</v>
        <stp/>
        <stp>##V3_BDHV12</stp>
        <stp>LAEH8 Comdty</stp>
        <stp>Last Trade</stp>
        <stp>28/11/2017</stp>
        <stp>28/11/2017</stp>
        <stp>[BBG Class FINAL.xlsm]Ali vol!R32C24</stp>
        <tr r="X32" s="3"/>
      </tp>
      <tp t="b">
        <v>0</v>
        <stp/>
        <stp>##V3_BDHV12</stp>
        <stp>LACH8 Comdty</stp>
        <stp>Last Trade</stp>
        <stp>28/11/2017</stp>
        <stp>28/11/2017</stp>
        <stp>[BBG Class FINAL.xlsm]Ali vol!R32C23</stp>
        <tr r="W32" s="3"/>
      </tp>
      <tp t="b">
        <v>0</v>
        <stp/>
        <stp>##V3_BDHV12</stp>
        <stp>LADH8 Comdty</stp>
        <stp>Last Trade</stp>
        <stp>28/11/2017</stp>
        <stp>28/11/2017</stp>
        <stp>[BBG Class FINAL.xlsm]Ali vol!R32C22</stp>
        <tr r="V32" s="3"/>
      </tp>
      <tp t="b">
        <v>0</v>
        <stp/>
        <stp>##V3_BDHV12</stp>
        <stp>LAOH8 Comdty</stp>
        <stp>Last Trade</stp>
        <stp>29/11/2017</stp>
        <stp>29/11/2017</stp>
        <stp>[BBG Class FINAL.xlsm]Ali vol!R31C26</stp>
        <tr r="Z31" s="3"/>
      </tp>
      <tp t="b">
        <v>0</v>
        <stp/>
        <stp>##V3_BDHV12</stp>
        <stp>LARH8 Comdty</stp>
        <stp>Last Trade</stp>
        <stp>29/11/2017</stp>
        <stp>29/11/2017</stp>
        <stp>[BBG Class FINAL.xlsm]Ali vol!R31C27</stp>
        <tr r="AA31" s="3"/>
      </tp>
      <tp t="b">
        <v>0</v>
        <stp/>
        <stp>##V3_BDHV12</stp>
        <stp>LAEH8 Comdty</stp>
        <stp>Last Trade</stp>
        <stp>29/11/2017</stp>
        <stp>29/11/2017</stp>
        <stp>[BBG Class FINAL.xlsm]Ali vol!R31C24</stp>
        <tr r="X31" s="3"/>
      </tp>
      <tp t="b">
        <v>0</v>
        <stp/>
        <stp>##V3_BDHV12</stp>
        <stp>LAPH8 Comdty</stp>
        <stp>Last Trade</stp>
        <stp>29/11/2017</stp>
        <stp>29/11/2017</stp>
        <stp>[BBG Class FINAL.xlsm]Ali vol!R31C25</stp>
        <tr r="Y31" s="3"/>
      </tp>
      <tp t="b">
        <v>0</v>
        <stp/>
        <stp>##V3_BDHV12</stp>
        <stp>LADH8 Comdty</stp>
        <stp>Last Trade</stp>
        <stp>29/11/2017</stp>
        <stp>29/11/2017</stp>
        <stp>[BBG Class FINAL.xlsm]Ali vol!R31C22</stp>
        <tr r="V31" s="3"/>
      </tp>
      <tp t="b">
        <v>0</v>
        <stp/>
        <stp>##V3_BDHV12</stp>
        <stp>LACH8 Comdty</stp>
        <stp>Last Trade</stp>
        <stp>29/11/2017</stp>
        <stp>29/11/2017</stp>
        <stp>[BBG Class FINAL.xlsm]Ali vol!R31C23</stp>
        <tr r="W31" s="3"/>
      </tp>
      <tp t="b">
        <v>0</v>
        <stp/>
        <stp>##V3_BDHV12</stp>
        <stp>LAPH8 Comdty</stp>
        <stp>Last Trade</stp>
        <stp>15/11/2017</stp>
        <stp>15/11/2017</stp>
        <stp>[BBG Class FINAL.xlsm]Ali vol!R41C25</stp>
        <tr r="Y41" s="3"/>
      </tp>
      <tp t="b">
        <v>0</v>
        <stp/>
        <stp>##V3_BDHV12</stp>
        <stp>LAEH8 Comdty</stp>
        <stp>Last Trade</stp>
        <stp>15/11/2017</stp>
        <stp>15/11/2017</stp>
        <stp>[BBG Class FINAL.xlsm]Ali vol!R41C24</stp>
        <tr r="X41" s="3"/>
      </tp>
      <tp t="b">
        <v>0</v>
        <stp/>
        <stp>##V3_BDHV12</stp>
        <stp>LARH8 Comdty</stp>
        <stp>Last Trade</stp>
        <stp>15/11/2017</stp>
        <stp>15/11/2017</stp>
        <stp>[BBG Class FINAL.xlsm]Ali vol!R41C27</stp>
        <tr r="AA41" s="3"/>
      </tp>
      <tp t="b">
        <v>0</v>
        <stp/>
        <stp>##V3_BDHV12</stp>
        <stp>LAOH8 Comdty</stp>
        <stp>Last Trade</stp>
        <stp>15/11/2017</stp>
        <stp>15/11/2017</stp>
        <stp>[BBG Class FINAL.xlsm]Ali vol!R41C26</stp>
        <tr r="Z41" s="3"/>
      </tp>
      <tp t="b">
        <v>0</v>
        <stp/>
        <stp>##V3_BDHV12</stp>
        <stp>LACH8 Comdty</stp>
        <stp>Last Trade</stp>
        <stp>15/11/2017</stp>
        <stp>15/11/2017</stp>
        <stp>[BBG Class FINAL.xlsm]Ali vol!R41C23</stp>
        <tr r="W41" s="3"/>
      </tp>
      <tp t="b">
        <v>0</v>
        <stp/>
        <stp>##V3_BDHV12</stp>
        <stp>LADH8 Comdty</stp>
        <stp>Last Trade</stp>
        <stp>15/11/2017</stp>
        <stp>15/11/2017</stp>
        <stp>[BBG Class FINAL.xlsm]Ali vol!R41C22</stp>
        <tr r="V41" s="3"/>
      </tp>
      <tp t="b">
        <v>0</v>
        <stp/>
        <stp>##V3_BDHV12</stp>
        <stp>LAEH8 Comdty</stp>
        <stp>Last Trade</stp>
        <stp>14/11/2017</stp>
        <stp>14/11/2017</stp>
        <stp>[BBG Class FINAL.xlsm]Ali vol!R42C24</stp>
        <tr r="X42" s="3"/>
      </tp>
      <tp t="b">
        <v>0</v>
        <stp/>
        <stp>##V3_BDHV12</stp>
        <stp>LAPH8 Comdty</stp>
        <stp>Last Trade</stp>
        <stp>14/11/2017</stp>
        <stp>14/11/2017</stp>
        <stp>[BBG Class FINAL.xlsm]Ali vol!R42C25</stp>
        <tr r="Y42" s="3"/>
      </tp>
      <tp t="b">
        <v>0</v>
        <stp/>
        <stp>##V3_BDHV12</stp>
        <stp>LAOH8 Comdty</stp>
        <stp>Last Trade</stp>
        <stp>14/11/2017</stp>
        <stp>14/11/2017</stp>
        <stp>[BBG Class FINAL.xlsm]Ali vol!R42C26</stp>
        <tr r="Z42" s="3"/>
      </tp>
      <tp t="b">
        <v>0</v>
        <stp/>
        <stp>##V3_BDHV12</stp>
        <stp>LARH8 Comdty</stp>
        <stp>Last Trade</stp>
        <stp>14/11/2017</stp>
        <stp>14/11/2017</stp>
        <stp>[BBG Class FINAL.xlsm]Ali vol!R42C27</stp>
        <tr r="AA42" s="3"/>
      </tp>
      <tp t="b">
        <v>0</v>
        <stp/>
        <stp>##V3_BDHV12</stp>
        <stp>LADH8 Comdty</stp>
        <stp>Last Trade</stp>
        <stp>14/11/2017</stp>
        <stp>14/11/2017</stp>
        <stp>[BBG Class FINAL.xlsm]Ali vol!R42C22</stp>
        <tr r="V42" s="3"/>
      </tp>
      <tp t="b">
        <v>0</v>
        <stp/>
        <stp>##V3_BDHV12</stp>
        <stp>LACH8 Comdty</stp>
        <stp>Last Trade</stp>
        <stp>14/11/2017</stp>
        <stp>14/11/2017</stp>
        <stp>[BBG Class FINAL.xlsm]Ali vol!R42C23</stp>
        <tr r="W42" s="3"/>
      </tp>
      <tp t="b">
        <v>0</v>
        <stp/>
        <stp>##V3_BDHV12</stp>
        <stp>LADH8 Comdty</stp>
        <stp>Last Trade</stp>
        <stp>17/11/2017</stp>
        <stp>17/11/2017</stp>
        <stp>[BBG Class FINAL.xlsm]Ali vol!R39C22</stp>
        <tr r="V39" s="3"/>
      </tp>
      <tp t="b">
        <v>0</v>
        <stp/>
        <stp>##V3_BDHV12</stp>
        <stp>LACH8 Comdty</stp>
        <stp>Last Trade</stp>
        <stp>17/11/2017</stp>
        <stp>17/11/2017</stp>
        <stp>[BBG Class FINAL.xlsm]Ali vol!R39C23</stp>
        <tr r="W39" s="3"/>
      </tp>
      <tp t="b">
        <v>0</v>
        <stp/>
        <stp>##V3_BDHV12</stp>
        <stp>LAEH8 Comdty</stp>
        <stp>Last Trade</stp>
        <stp>17/11/2017</stp>
        <stp>17/11/2017</stp>
        <stp>[BBG Class FINAL.xlsm]Ali vol!R39C24</stp>
        <tr r="X39" s="3"/>
      </tp>
      <tp t="b">
        <v>0</v>
        <stp/>
        <stp>##V3_BDHV12</stp>
        <stp>LAPH8 Comdty</stp>
        <stp>Last Trade</stp>
        <stp>17/11/2017</stp>
        <stp>17/11/2017</stp>
        <stp>[BBG Class FINAL.xlsm]Ali vol!R39C25</stp>
        <tr r="Y39" s="3"/>
      </tp>
      <tp t="b">
        <v>0</v>
        <stp/>
        <stp>##V3_BDHV12</stp>
        <stp>LAOH8 Comdty</stp>
        <stp>Last Trade</stp>
        <stp>17/11/2017</stp>
        <stp>17/11/2017</stp>
        <stp>[BBG Class FINAL.xlsm]Ali vol!R39C26</stp>
        <tr r="Z39" s="3"/>
      </tp>
      <tp t="b">
        <v>0</v>
        <stp/>
        <stp>##V3_BDHV12</stp>
        <stp>LARH8 Comdty</stp>
        <stp>Last Trade</stp>
        <stp>17/11/2017</stp>
        <stp>17/11/2017</stp>
        <stp>[BBG Class FINAL.xlsm]Ali vol!R39C27</stp>
        <tr r="AA39" s="3"/>
      </tp>
      <tp t="b">
        <v>0</v>
        <stp/>
        <stp>##V3_BDHV12</stp>
        <stp>LAOH8 Comdty</stp>
        <stp>Last Trade</stp>
        <stp>16/11/2017</stp>
        <stp>16/11/2017</stp>
        <stp>[BBG Class FINAL.xlsm]Ali vol!R40C26</stp>
        <tr r="Z40" s="3"/>
      </tp>
      <tp t="b">
        <v>0</v>
        <stp/>
        <stp>##V3_BDHV12</stp>
        <stp>LARH8 Comdty</stp>
        <stp>Last Trade</stp>
        <stp>16/11/2017</stp>
        <stp>16/11/2017</stp>
        <stp>[BBG Class FINAL.xlsm]Ali vol!R40C27</stp>
        <tr r="AA40" s="3"/>
      </tp>
      <tp t="b">
        <v>0</v>
        <stp/>
        <stp>##V3_BDHV12</stp>
        <stp>LAEH8 Comdty</stp>
        <stp>Last Trade</stp>
        <stp>16/11/2017</stp>
        <stp>16/11/2017</stp>
        <stp>[BBG Class FINAL.xlsm]Ali vol!R40C24</stp>
        <tr r="X40" s="3"/>
      </tp>
      <tp t="b">
        <v>0</v>
        <stp/>
        <stp>##V3_BDHV12</stp>
        <stp>LAPH8 Comdty</stp>
        <stp>Last Trade</stp>
        <stp>16/11/2017</stp>
        <stp>16/11/2017</stp>
        <stp>[BBG Class FINAL.xlsm]Ali vol!R40C25</stp>
        <tr r="Y40" s="3"/>
      </tp>
      <tp t="b">
        <v>0</v>
        <stp/>
        <stp>##V3_BDHV12</stp>
        <stp>LADH8 Comdty</stp>
        <stp>Last Trade</stp>
        <stp>16/11/2017</stp>
        <stp>16/11/2017</stp>
        <stp>[BBG Class FINAL.xlsm]Ali vol!R40C22</stp>
        <tr r="V40" s="3"/>
      </tp>
      <tp t="b">
        <v>0</v>
        <stp/>
        <stp>##V3_BDHV12</stp>
        <stp>LACH8 Comdty</stp>
        <stp>Last Trade</stp>
        <stp>16/11/2017</stp>
        <stp>16/11/2017</stp>
        <stp>[BBG Class FINAL.xlsm]Ali vol!R40C23</stp>
        <tr r="W40" s="3"/>
      </tp>
      <tp t="b">
        <v>0</v>
        <stp/>
        <stp>##V3_BDHV12</stp>
        <stp>LADH8 Comdty</stp>
        <stp>Last Trade</stp>
        <stp>10/11/2017</stp>
        <stp>10/11/2017</stp>
        <stp>[BBG Class FINAL.xlsm]Ali vol!R44C22</stp>
        <tr r="V44" s="3"/>
      </tp>
      <tp t="b">
        <v>0</v>
        <stp/>
        <stp>##V3_BDHV12</stp>
        <stp>LACH8 Comdty</stp>
        <stp>Last Trade</stp>
        <stp>10/11/2017</stp>
        <stp>10/11/2017</stp>
        <stp>[BBG Class FINAL.xlsm]Ali vol!R44C23</stp>
        <tr r="W44" s="3"/>
      </tp>
      <tp t="b">
        <v>0</v>
        <stp/>
        <stp>##V3_BDHV12</stp>
        <stp>LAEH8 Comdty</stp>
        <stp>Last Trade</stp>
        <stp>10/11/2017</stp>
        <stp>10/11/2017</stp>
        <stp>[BBG Class FINAL.xlsm]Ali vol!R44C24</stp>
        <tr r="X44" s="3"/>
      </tp>
      <tp t="b">
        <v>0</v>
        <stp/>
        <stp>##V3_BDHV12</stp>
        <stp>LAPH8 Comdty</stp>
        <stp>Last Trade</stp>
        <stp>10/11/2017</stp>
        <stp>10/11/2017</stp>
        <stp>[BBG Class FINAL.xlsm]Ali vol!R44C25</stp>
        <tr r="Y44" s="3"/>
      </tp>
      <tp t="b">
        <v>0</v>
        <stp/>
        <stp>##V3_BDHV12</stp>
        <stp>LAOH8 Comdty</stp>
        <stp>Last Trade</stp>
        <stp>10/11/2017</stp>
        <stp>10/11/2017</stp>
        <stp>[BBG Class FINAL.xlsm]Ali vol!R44C26</stp>
        <tr r="Z44" s="3"/>
      </tp>
      <tp t="b">
        <v>0</v>
        <stp/>
        <stp>##V3_BDHV12</stp>
        <stp>LARH8 Comdty</stp>
        <stp>Last Trade</stp>
        <stp>10/11/2017</stp>
        <stp>10/11/2017</stp>
        <stp>[BBG Class FINAL.xlsm]Ali vol!R44C27</stp>
        <tr r="AA44" s="3"/>
      </tp>
      <tp t="b">
        <v>0</v>
        <stp/>
        <stp>##V3_BDHV12</stp>
        <stp>LACH8 Comdty</stp>
        <stp>Last Trade</stp>
        <stp>13/11/2017</stp>
        <stp>13/11/2017</stp>
        <stp>[BBG Class FINAL.xlsm]Ali vol!R43C23</stp>
        <tr r="W43" s="3"/>
      </tp>
      <tp t="b">
        <v>0</v>
        <stp/>
        <stp>##V3_BDHV12</stp>
        <stp>LADH8 Comdty</stp>
        <stp>Last Trade</stp>
        <stp>13/11/2017</stp>
        <stp>13/11/2017</stp>
        <stp>[BBG Class FINAL.xlsm]Ali vol!R43C22</stp>
        <tr r="V43" s="3"/>
      </tp>
      <tp t="b">
        <v>0</v>
        <stp/>
        <stp>##V3_BDHV12</stp>
        <stp>LARH8 Comdty</stp>
        <stp>Last Trade</stp>
        <stp>13/11/2017</stp>
        <stp>13/11/2017</stp>
        <stp>[BBG Class FINAL.xlsm]Ali vol!R43C27</stp>
        <tr r="AA43" s="3"/>
      </tp>
      <tp t="b">
        <v>0</v>
        <stp/>
        <stp>##V3_BDHV12</stp>
        <stp>LAOH8 Comdty</stp>
        <stp>Last Trade</stp>
        <stp>13/11/2017</stp>
        <stp>13/11/2017</stp>
        <stp>[BBG Class FINAL.xlsm]Ali vol!R43C26</stp>
        <tr r="Z43" s="3"/>
      </tp>
      <tp t="b">
        <v>0</v>
        <stp/>
        <stp>##V3_BDHV12</stp>
        <stp>LAPH8 Comdty</stp>
        <stp>Last Trade</stp>
        <stp>13/11/2017</stp>
        <stp>13/11/2017</stp>
        <stp>[BBG Class FINAL.xlsm]Ali vol!R43C25</stp>
        <tr r="Y43" s="3"/>
      </tp>
      <tp t="b">
        <v>0</v>
        <stp/>
        <stp>##V3_BDHV12</stp>
        <stp>LAEH8 Comdty</stp>
        <stp>Last Trade</stp>
        <stp>13/11/2017</stp>
        <stp>13/11/2017</stp>
        <stp>[BBG Class FINAL.xlsm]Ali vol!R43C24</stp>
        <tr r="X43" s="3"/>
      </tp>
      <tp t="b">
        <v>0</v>
        <stp/>
        <stp>##V3_BDHV12</stp>
        <stp>LACH8 Comdty</stp>
        <stp>Last Trade</stp>
        <stp>09/10/2017</stp>
        <stp>09/10/2017</stp>
        <stp>[BBG Class FINAL.xlsm]Ali vol!R68C23</stp>
        <tr r="W68" s="3"/>
      </tp>
      <tp t="b">
        <v>0</v>
        <stp/>
        <stp>##V3_BDHV12</stp>
        <stp>LADH8 Comdty</stp>
        <stp>Last Trade</stp>
        <stp>09/10/2017</stp>
        <stp>09/10/2017</stp>
        <stp>[BBG Class FINAL.xlsm]Ali vol!R68C22</stp>
        <tr r="V68" s="3"/>
      </tp>
      <tp t="b">
        <v>0</v>
        <stp/>
        <stp>##V3_BDHV12</stp>
        <stp>LARH8 Comdty</stp>
        <stp>Last Trade</stp>
        <stp>09/10/2017</stp>
        <stp>09/10/2017</stp>
        <stp>[BBG Class FINAL.xlsm]Ali vol!R68C27</stp>
        <tr r="AA68" s="3"/>
      </tp>
      <tp t="b">
        <v>0</v>
        <stp/>
        <stp>##V3_BDHV12</stp>
        <stp>LAOH8 Comdty</stp>
        <stp>Last Trade</stp>
        <stp>09/10/2017</stp>
        <stp>09/10/2017</stp>
        <stp>[BBG Class FINAL.xlsm]Ali vol!R68C26</stp>
        <tr r="Z68" s="3"/>
      </tp>
      <tp t="b">
        <v>0</v>
        <stp/>
        <stp>##V3_BDHV12</stp>
        <stp>LAPH8 Comdty</stp>
        <stp>Last Trade</stp>
        <stp>09/10/2017</stp>
        <stp>09/10/2017</stp>
        <stp>[BBG Class FINAL.xlsm]Ali vol!R68C25</stp>
        <tr r="Y68" s="3"/>
      </tp>
      <tp t="b">
        <v>0</v>
        <stp/>
        <stp>##V3_BDHV12</stp>
        <stp>LAEH8 Comdty</stp>
        <stp>Last Trade</stp>
        <stp>09/10/2017</stp>
        <stp>09/10/2017</stp>
        <stp>[BBG Class FINAL.xlsm]Ali vol!R68C24</stp>
        <tr r="X68" s="3"/>
      </tp>
      <tp t="b">
        <v>0</v>
        <stp/>
        <stp>##V3_BDHV12</stp>
        <stp>LAEH8 Comdty</stp>
        <stp>Last Trade</stp>
        <stp>16/10/2017</stp>
        <stp>16/10/2017</stp>
        <stp>[BBG Class FINAL.xlsm]Ali vol!R63C24</stp>
        <tr r="X63" s="3"/>
      </tp>
      <tp t="b">
        <v>0</v>
        <stp/>
        <stp>##V3_BDHV12</stp>
        <stp>LAOH8 Comdty</stp>
        <stp>Last Trade</stp>
        <stp>06/11/2017</stp>
        <stp>06/11/2017</stp>
        <stp>[BBG Class FINAL.xlsm]Ali vol!R48C26</stp>
        <tr r="Z48" s="3"/>
      </tp>
      <tp t="b">
        <v>0</v>
        <stp/>
        <stp>##V3_BDHV12</stp>
        <stp>LAPH8 Comdty</stp>
        <stp>Last Trade</stp>
        <stp>16/10/2017</stp>
        <stp>16/10/2017</stp>
        <stp>[BBG Class FINAL.xlsm]Ali vol!R63C25</stp>
        <tr r="Y63" s="3"/>
      </tp>
      <tp t="b">
        <v>0</v>
        <stp/>
        <stp>##V3_BDHV12</stp>
        <stp>LARH8 Comdty</stp>
        <stp>Last Trade</stp>
        <stp>06/11/2017</stp>
        <stp>06/11/2017</stp>
        <stp>[BBG Class FINAL.xlsm]Ali vol!R48C27</stp>
        <tr r="AA48" s="3"/>
      </tp>
      <tp t="b">
        <v>0</v>
        <stp/>
        <stp>##V3_BDHV12</stp>
        <stp>LAOH8 Comdty</stp>
        <stp>Last Trade</stp>
        <stp>16/10/2017</stp>
        <stp>16/10/2017</stp>
        <stp>[BBG Class FINAL.xlsm]Ali vol!R63C26</stp>
        <tr r="Z63" s="3"/>
      </tp>
      <tp t="b">
        <v>0</v>
        <stp/>
        <stp>##V3_BDHV12</stp>
        <stp>LAEH8 Comdty</stp>
        <stp>Last Trade</stp>
        <stp>06/11/2017</stp>
        <stp>06/11/2017</stp>
        <stp>[BBG Class FINAL.xlsm]Ali vol!R48C24</stp>
        <tr r="X48" s="3"/>
      </tp>
      <tp t="b">
        <v>0</v>
        <stp/>
        <stp>##V3_BDHV12</stp>
        <stp>LARH8 Comdty</stp>
        <stp>Last Trade</stp>
        <stp>16/10/2017</stp>
        <stp>16/10/2017</stp>
        <stp>[BBG Class FINAL.xlsm]Ali vol!R63C27</stp>
        <tr r="AA63" s="3"/>
      </tp>
      <tp t="b">
        <v>0</v>
        <stp/>
        <stp>##V3_BDHV12</stp>
        <stp>LAPH8 Comdty</stp>
        <stp>Last Trade</stp>
        <stp>06/11/2017</stp>
        <stp>06/11/2017</stp>
        <stp>[BBG Class FINAL.xlsm]Ali vol!R48C25</stp>
        <tr r="Y48" s="3"/>
      </tp>
      <tp t="b">
        <v>0</v>
        <stp/>
        <stp>##V3_BDHV12</stp>
        <stp>LADH8 Comdty</stp>
        <stp>Last Trade</stp>
        <stp>06/11/2017</stp>
        <stp>06/11/2017</stp>
        <stp>[BBG Class FINAL.xlsm]Ali vol!R48C22</stp>
        <tr r="V48" s="3"/>
      </tp>
      <tp t="b">
        <v>0</v>
        <stp/>
        <stp>##V3_BDHV12</stp>
        <stp>LACH8 Comdty</stp>
        <stp>Last Trade</stp>
        <stp>06/11/2017</stp>
        <stp>06/11/2017</stp>
        <stp>[BBG Class FINAL.xlsm]Ali vol!R48C23</stp>
        <tr r="W48" s="3"/>
      </tp>
      <tp t="b">
        <v>0</v>
        <stp/>
        <stp>##V3_BDHV12</stp>
        <stp>LADH8 Comdty</stp>
        <stp>Last Trade</stp>
        <stp>16/10/2017</stp>
        <stp>16/10/2017</stp>
        <stp>[BBG Class FINAL.xlsm]Ali vol!R63C22</stp>
        <tr r="V63" s="3"/>
      </tp>
      <tp t="b">
        <v>0</v>
        <stp/>
        <stp>##V3_BDHV12</stp>
        <stp>LACH8 Comdty</stp>
        <stp>Last Trade</stp>
        <stp>16/10/2017</stp>
        <stp>16/10/2017</stp>
        <stp>[BBG Class FINAL.xlsm]Ali vol!R63C23</stp>
        <tr r="W63" s="3"/>
      </tp>
      <tp t="b">
        <v>0</v>
        <stp/>
        <stp>##V3_BDHV12</stp>
        <stp>LARH8 Comdty</stp>
        <stp>Last Trade</stp>
        <stp>07/11/2017</stp>
        <stp>07/11/2017</stp>
        <stp>[BBG Class FINAL.xlsm]Ali vol!R47C27</stp>
        <tr r="AA47" s="3"/>
      </tp>
      <tp t="b">
        <v>0</v>
        <stp/>
        <stp>##V3_BDHV12</stp>
        <stp>LAPH8 Comdty</stp>
        <stp>Last Trade</stp>
        <stp>17/10/2017</stp>
        <stp>17/10/2017</stp>
        <stp>[BBG Class FINAL.xlsm]Ali vol!R62C25</stp>
        <tr r="Y62" s="3"/>
      </tp>
      <tp t="b">
        <v>0</v>
        <stp/>
        <stp>##V3_BDHV12</stp>
        <stp>LAEH8 Comdty</stp>
        <stp>Last Trade</stp>
        <stp>17/10/2017</stp>
        <stp>17/10/2017</stp>
        <stp>[BBG Class FINAL.xlsm]Ali vol!R62C24</stp>
        <tr r="X62" s="3"/>
      </tp>
      <tp t="b">
        <v>0</v>
        <stp/>
        <stp>##V3_BDHV12</stp>
        <stp>LAOH8 Comdty</stp>
        <stp>Last Trade</stp>
        <stp>07/11/2017</stp>
        <stp>07/11/2017</stp>
        <stp>[BBG Class FINAL.xlsm]Ali vol!R47C26</stp>
        <tr r="Z47" s="3"/>
      </tp>
      <tp t="b">
        <v>0</v>
        <stp/>
        <stp>##V3_BDHV12</stp>
        <stp>LAPH8 Comdty</stp>
        <stp>Last Trade</stp>
        <stp>07/11/2017</stp>
        <stp>07/11/2017</stp>
        <stp>[BBG Class FINAL.xlsm]Ali vol!R47C25</stp>
        <tr r="Y47" s="3"/>
      </tp>
      <tp t="b">
        <v>0</v>
        <stp/>
        <stp>##V3_BDHV12</stp>
        <stp>LARH8 Comdty</stp>
        <stp>Last Trade</stp>
        <stp>17/10/2017</stp>
        <stp>17/10/2017</stp>
        <stp>[BBG Class FINAL.xlsm]Ali vol!R62C27</stp>
        <tr r="AA62" s="3"/>
      </tp>
      <tp t="b">
        <v>0</v>
        <stp/>
        <stp>##V3_BDHV12</stp>
        <stp>LAEH8 Comdty</stp>
        <stp>Last Trade</stp>
        <stp>07/11/2017</stp>
        <stp>07/11/2017</stp>
        <stp>[BBG Class FINAL.xlsm]Ali vol!R47C24</stp>
        <tr r="X47" s="3"/>
      </tp>
      <tp t="b">
        <v>0</v>
        <stp/>
        <stp>##V3_BDHV12</stp>
        <stp>LAOH8 Comdty</stp>
        <stp>Last Trade</stp>
        <stp>17/10/2017</stp>
        <stp>17/10/2017</stp>
        <stp>[BBG Class FINAL.xlsm]Ali vol!R62C26</stp>
        <tr r="Z62" s="3"/>
      </tp>
      <tp t="b">
        <v>0</v>
        <stp/>
        <stp>##V3_BDHV12</stp>
        <stp>LACH8 Comdty</stp>
        <stp>Last Trade</stp>
        <stp>07/11/2017</stp>
        <stp>07/11/2017</stp>
        <stp>[BBG Class FINAL.xlsm]Ali vol!R47C23</stp>
        <tr r="W47" s="3"/>
      </tp>
      <tp t="b">
        <v>0</v>
        <stp/>
        <stp>##V3_BDHV12</stp>
        <stp>LADH8 Comdty</stp>
        <stp>Last Trade</stp>
        <stp>07/11/2017</stp>
        <stp>07/11/2017</stp>
        <stp>[BBG Class FINAL.xlsm]Ali vol!R47C22</stp>
        <tr r="V47" s="3"/>
      </tp>
      <tp t="b">
        <v>0</v>
        <stp/>
        <stp>##V3_BDHV12</stp>
        <stp>LACH8 Comdty</stp>
        <stp>Last Trade</stp>
        <stp>17/10/2017</stp>
        <stp>17/10/2017</stp>
        <stp>[BBG Class FINAL.xlsm]Ali vol!R62C23</stp>
        <tr r="W62" s="3"/>
      </tp>
      <tp t="b">
        <v>0</v>
        <stp/>
        <stp>##V3_BDHV12</stp>
        <stp>LADH8 Comdty</stp>
        <stp>Last Trade</stp>
        <stp>17/10/2017</stp>
        <stp>17/10/2017</stp>
        <stp>[BBG Class FINAL.xlsm]Ali vol!R62C22</stp>
        <tr r="V62" s="3"/>
      </tp>
      <tp t="b">
        <v>0</v>
        <stp/>
        <stp>##V3_BDHV12</stp>
        <stp>LAEJ8 Comdty</stp>
        <stp>Last Trade</stp>
        <stp>12/12/2017</stp>
        <stp>12/12/2017</stp>
        <stp>[BBG Class FINAL.xlsm]Ali vol!R22C24</stp>
        <tr r="X22" s="3"/>
      </tp>
      <tp t="b">
        <v>0</v>
        <stp/>
        <stp>##V3_BDHV12</stp>
        <stp>LADH8 Comdty</stp>
        <stp>Last Trade</stp>
        <stp>10/10/2017</stp>
        <stp>10/10/2017</stp>
        <stp>[BBG Class FINAL.xlsm]Ali vol!R67C22</stp>
        <tr r="V67" s="3"/>
      </tp>
      <tp t="b">
        <v>0</v>
        <stp/>
        <stp>##V3_BDHV12</stp>
        <stp>LACH8 Comdty</stp>
        <stp>Last Trade</stp>
        <stp>10/10/2017</stp>
        <stp>10/10/2017</stp>
        <stp>[BBG Class FINAL.xlsm]Ali vol!R67C23</stp>
        <tr r="W67" s="3"/>
      </tp>
      <tp t="b">
        <v>0</v>
        <stp/>
        <stp>##V3_BDHV12</stp>
        <stp>LAPJ8 Comdty</stp>
        <stp>Last Trade</stp>
        <stp>12/12/2017</stp>
        <stp>12/12/2017</stp>
        <stp>[BBG Class FINAL.xlsm]Ali vol!R22C25</stp>
        <tr r="Y22" s="3"/>
      </tp>
      <tp t="b">
        <v>0</v>
        <stp/>
        <stp>##V3_BDHV12</stp>
        <stp>LAOJ8 Comdty</stp>
        <stp>Last Trade</stp>
        <stp>12/12/2017</stp>
        <stp>12/12/2017</stp>
        <stp>[BBG Class FINAL.xlsm]Ali vol!R22C26</stp>
        <tr r="Z22" s="3"/>
      </tp>
      <tp t="b">
        <v>0</v>
        <stp/>
        <stp>##V3_BDHV12</stp>
        <stp>LARJ8 Comdty</stp>
        <stp>Last Trade</stp>
        <stp>12/12/2017</stp>
        <stp>12/12/2017</stp>
        <stp>[BBG Class FINAL.xlsm]Ali vol!R22C27</stp>
        <tr r="AA22" s="3"/>
      </tp>
      <tp t="b">
        <v>0</v>
        <stp/>
        <stp>##V3_BDHV12</stp>
        <stp>LAOH8 Comdty</stp>
        <stp>Last Trade</stp>
        <stp>10/10/2017</stp>
        <stp>10/10/2017</stp>
        <stp>[BBG Class FINAL.xlsm]Ali vol!R67C26</stp>
        <tr r="Z67" s="3"/>
      </tp>
      <tp t="b">
        <v>0</v>
        <stp/>
        <stp>##V3_BDHV12</stp>
        <stp>LARH8 Comdty</stp>
        <stp>Last Trade</stp>
        <stp>10/10/2017</stp>
        <stp>10/10/2017</stp>
        <stp>[BBG Class FINAL.xlsm]Ali vol!R67C27</stp>
        <tr r="AA67" s="3"/>
      </tp>
      <tp t="b">
        <v>0</v>
        <stp/>
        <stp>##V3_BDHV12</stp>
        <stp>LADJ8 Comdty</stp>
        <stp>Last Trade</stp>
        <stp>12/12/2017</stp>
        <stp>12/12/2017</stp>
        <stp>[BBG Class FINAL.xlsm]Ali vol!R22C22</stp>
        <tr r="V22" s="3"/>
      </tp>
      <tp t="b">
        <v>0</v>
        <stp/>
        <stp>##V3_BDHV12</stp>
        <stp>LAEH8 Comdty</stp>
        <stp>Last Trade</stp>
        <stp>10/10/2017</stp>
        <stp>10/10/2017</stp>
        <stp>[BBG Class FINAL.xlsm]Ali vol!R67C24</stp>
        <tr r="X67" s="3"/>
      </tp>
      <tp t="b">
        <v>0</v>
        <stp/>
        <stp>##V3_BDHV12</stp>
        <stp>LACJ8 Comdty</stp>
        <stp>Last Trade</stp>
        <stp>12/12/2017</stp>
        <stp>12/12/2017</stp>
        <stp>[BBG Class FINAL.xlsm]Ali vol!R22C23</stp>
        <tr r="W22" s="3"/>
      </tp>
      <tp t="b">
        <v>0</v>
        <stp/>
        <stp>##V3_BDHV12</stp>
        <stp>LAPH8 Comdty</stp>
        <stp>Last Trade</stp>
        <stp>10/10/2017</stp>
        <stp>10/10/2017</stp>
        <stp>[BBG Class FINAL.xlsm]Ali vol!R67C25</stp>
        <tr r="Y67" s="3"/>
      </tp>
      <tp t="b">
        <v>0</v>
        <stp/>
        <stp>##V3_BDHV12</stp>
        <stp>LACH8 Comdty</stp>
        <stp>Last Trade</stp>
        <stp>11/10/2017</stp>
        <stp>11/10/2017</stp>
        <stp>[BBG Class FINAL.xlsm]Ali vol!R66C23</stp>
        <tr r="W66" s="3"/>
      </tp>
      <tp t="b">
        <v>0</v>
        <stp/>
        <stp>##V3_BDHV12</stp>
        <stp>LADH8 Comdty</stp>
        <stp>Last Trade</stp>
        <stp>11/10/2017</stp>
        <stp>11/10/2017</stp>
        <stp>[BBG Class FINAL.xlsm]Ali vol!R66C22</stp>
        <tr r="V66" s="3"/>
      </tp>
      <tp t="b">
        <v>0</v>
        <stp/>
        <stp>##V3_BDHV12</stp>
        <stp>LADH8 Comdty</stp>
        <stp>Last Trade</stp>
        <stp>01/11/2017</stp>
        <stp>01/11/2017</stp>
        <stp>[BBG Class FINAL.xlsm]Ali vol!R51C22</stp>
        <tr r="V51" s="3"/>
      </tp>
      <tp t="b">
        <v>0</v>
        <stp/>
        <stp>##V3_BDHV12</stp>
        <stp>LACH8 Comdty</stp>
        <stp>Last Trade</stp>
        <stp>01/11/2017</stp>
        <stp>01/11/2017</stp>
        <stp>[BBG Class FINAL.xlsm]Ali vol!R51C23</stp>
        <tr r="W51" s="3"/>
      </tp>
      <tp t="b">
        <v>0</v>
        <stp/>
        <stp>##V3_BDHV12</stp>
        <stp>LAEH8 Comdty</stp>
        <stp>Last Trade</stp>
        <stp>01/11/2017</stp>
        <stp>01/11/2017</stp>
        <stp>[BBG Class FINAL.xlsm]Ali vol!R51C24</stp>
        <tr r="X51" s="3"/>
      </tp>
      <tp t="b">
        <v>0</v>
        <stp/>
        <stp>##V3_BDHV12</stp>
        <stp>LARH8 Comdty</stp>
        <stp>Last Trade</stp>
        <stp>11/10/2017</stp>
        <stp>11/10/2017</stp>
        <stp>[BBG Class FINAL.xlsm]Ali vol!R66C27</stp>
        <tr r="AA66" s="3"/>
      </tp>
      <tp t="b">
        <v>0</v>
        <stp/>
        <stp>##V3_BDHV12</stp>
        <stp>LAOH8 Comdty</stp>
        <stp>Last Trade</stp>
        <stp>11/10/2017</stp>
        <stp>11/10/2017</stp>
        <stp>[BBG Class FINAL.xlsm]Ali vol!R66C26</stp>
        <tr r="Z66" s="3"/>
      </tp>
      <tp t="b">
        <v>0</v>
        <stp/>
        <stp>##V3_BDHV12</stp>
        <stp>LAPH8 Comdty</stp>
        <stp>Last Trade</stp>
        <stp>01/11/2017</stp>
        <stp>01/11/2017</stp>
        <stp>[BBG Class FINAL.xlsm]Ali vol!R51C25</stp>
        <tr r="Y51" s="3"/>
      </tp>
      <tp t="b">
        <v>0</v>
        <stp/>
        <stp>##V3_BDHV12</stp>
        <stp>LAOH8 Comdty</stp>
        <stp>Last Trade</stp>
        <stp>01/11/2017</stp>
        <stp>01/11/2017</stp>
        <stp>[BBG Class FINAL.xlsm]Ali vol!R51C26</stp>
        <tr r="Z51" s="3"/>
      </tp>
      <tp t="b">
        <v>0</v>
        <stp/>
        <stp>##V3_BDHV12</stp>
        <stp>LAPH8 Comdty</stp>
        <stp>Last Trade</stp>
        <stp>11/10/2017</stp>
        <stp>11/10/2017</stp>
        <stp>[BBG Class FINAL.xlsm]Ali vol!R66C25</stp>
        <tr r="Y66" s="3"/>
      </tp>
      <tp t="b">
        <v>0</v>
        <stp/>
        <stp>##V3_BDHV12</stp>
        <stp>LAEH8 Comdty</stp>
        <stp>Last Trade</stp>
        <stp>11/10/2017</stp>
        <stp>11/10/2017</stp>
        <stp>[BBG Class FINAL.xlsm]Ali vol!R66C24</stp>
        <tr r="X66" s="3"/>
      </tp>
      <tp t="b">
        <v>0</v>
        <stp/>
        <stp>##V3_BDHV12</stp>
        <stp>LARH8 Comdty</stp>
        <stp>Last Trade</stp>
        <stp>01/11/2017</stp>
        <stp>01/11/2017</stp>
        <stp>[BBG Class FINAL.xlsm]Ali vol!R51C27</stp>
        <tr r="AA51" s="3"/>
      </tp>
      <tp t="b">
        <v>0</v>
        <stp/>
        <stp>##V3_BDHV12</stp>
        <stp>LACH8 Comdty</stp>
        <stp>Last Trade</stp>
        <stp>02/11/2017</stp>
        <stp>02/11/2017</stp>
        <stp>[BBG Class FINAL.xlsm]Ali vol!R50C23</stp>
        <tr r="W50" s="3"/>
      </tp>
      <tp t="b">
        <v>0</v>
        <stp/>
        <stp>##V3_BDHV12</stp>
        <stp>LADH8 Comdty</stp>
        <stp>Last Trade</stp>
        <stp>02/11/2017</stp>
        <stp>02/11/2017</stp>
        <stp>[BBG Class FINAL.xlsm]Ali vol!R50C22</stp>
        <tr r="V50" s="3"/>
      </tp>
      <tp t="b">
        <v>0</v>
        <stp/>
        <stp>##V3_BDHV12</stp>
        <stp>LADH8 Comdty</stp>
        <stp>Last Trade</stp>
        <stp>12/10/2017</stp>
        <stp>12/10/2017</stp>
        <stp>[BBG Class FINAL.xlsm]Ali vol!R65C22</stp>
        <tr r="V65" s="3"/>
      </tp>
      <tp t="b">
        <v>0</v>
        <stp/>
        <stp>##V3_BDHV12</stp>
        <stp>LACH8 Comdty</stp>
        <stp>Last Trade</stp>
        <stp>12/10/2017</stp>
        <stp>12/10/2017</stp>
        <stp>[BBG Class FINAL.xlsm]Ali vol!R65C23</stp>
        <tr r="W65" s="3"/>
      </tp>
      <tp t="b">
        <v>0</v>
        <stp/>
        <stp>##V3_BDHV12</stp>
        <stp>LAEH8 Comdty</stp>
        <stp>Last Trade</stp>
        <stp>12/10/2017</stp>
        <stp>12/10/2017</stp>
        <stp>[BBG Class FINAL.xlsm]Ali vol!R65C24</stp>
        <tr r="X65" s="3"/>
      </tp>
      <tp t="b">
        <v>0</v>
        <stp/>
        <stp>##V3_BDHV12</stp>
        <stp>LARH8 Comdty</stp>
        <stp>Last Trade</stp>
        <stp>02/11/2017</stp>
        <stp>02/11/2017</stp>
        <stp>[BBG Class FINAL.xlsm]Ali vol!R50C27</stp>
        <tr r="AA50" s="3"/>
      </tp>
      <tp t="b">
        <v>0</v>
        <stp/>
        <stp>##V3_BDHV12</stp>
        <stp>LAOH8 Comdty</stp>
        <stp>Last Trade</stp>
        <stp>02/11/2017</stp>
        <stp>02/11/2017</stp>
        <stp>[BBG Class FINAL.xlsm]Ali vol!R50C26</stp>
        <tr r="Z50" s="3"/>
      </tp>
      <tp t="b">
        <v>0</v>
        <stp/>
        <stp>##V3_BDHV12</stp>
        <stp>LAPH8 Comdty</stp>
        <stp>Last Trade</stp>
        <stp>12/10/2017</stp>
        <stp>12/10/2017</stp>
        <stp>[BBG Class FINAL.xlsm]Ali vol!R65C25</stp>
        <tr r="Y65" s="3"/>
      </tp>
      <tp t="b">
        <v>0</v>
        <stp/>
        <stp>##V3_BDHV12</stp>
        <stp>LAOH8 Comdty</stp>
        <stp>Last Trade</stp>
        <stp>12/10/2017</stp>
        <stp>12/10/2017</stp>
        <stp>[BBG Class FINAL.xlsm]Ali vol!R65C26</stp>
        <tr r="Z65" s="3"/>
      </tp>
      <tp t="b">
        <v>0</v>
        <stp/>
        <stp>##V3_BDHV12</stp>
        <stp>LAPH8 Comdty</stp>
        <stp>Last Trade</stp>
        <stp>02/11/2017</stp>
        <stp>02/11/2017</stp>
        <stp>[BBG Class FINAL.xlsm]Ali vol!R50C25</stp>
        <tr r="Y50" s="3"/>
      </tp>
      <tp t="b">
        <v>0</v>
        <stp/>
        <stp>##V3_BDHV12</stp>
        <stp>LAEH8 Comdty</stp>
        <stp>Last Trade</stp>
        <stp>02/11/2017</stp>
        <stp>02/11/2017</stp>
        <stp>[BBG Class FINAL.xlsm]Ali vol!R50C24</stp>
        <tr r="X50" s="3"/>
      </tp>
      <tp t="b">
        <v>0</v>
        <stp/>
        <stp>##V3_BDHV12</stp>
        <stp>LARH8 Comdty</stp>
        <stp>Last Trade</stp>
        <stp>12/10/2017</stp>
        <stp>12/10/2017</stp>
        <stp>[BBG Class FINAL.xlsm]Ali vol!R65C27</stp>
        <tr r="AA65" s="3"/>
      </tp>
      <tp t="b">
        <v>0</v>
        <stp/>
        <stp>##V3_BDHV12</stp>
        <stp>LACH8 Comdty</stp>
        <stp>Last Trade</stp>
        <stp>03/11/2017</stp>
        <stp>03/11/2017</stp>
        <stp>[BBG Class FINAL.xlsm]Ali vol!R49C23</stp>
        <tr r="W49" s="3"/>
      </tp>
      <tp t="b">
        <v>0</v>
        <stp/>
        <stp>##V3_BDHV12</stp>
        <stp>LADH8 Comdty</stp>
        <stp>Last Trade</stp>
        <stp>03/11/2017</stp>
        <stp>03/11/2017</stp>
        <stp>[BBG Class FINAL.xlsm]Ali vol!R49C22</stp>
        <tr r="V49" s="3"/>
      </tp>
      <tp t="b">
        <v>0</v>
        <stp/>
        <stp>##V3_BDHV12</stp>
        <stp>LACH8 Comdty</stp>
        <stp>Last Trade</stp>
        <stp>13/10/2017</stp>
        <stp>13/10/2017</stp>
        <stp>[BBG Class FINAL.xlsm]Ali vol!R64C23</stp>
        <tr r="W64" s="3"/>
      </tp>
      <tp t="b">
        <v>0</v>
        <stp/>
        <stp>##V3_BDHV12</stp>
        <stp>LADH8 Comdty</stp>
        <stp>Last Trade</stp>
        <stp>13/10/2017</stp>
        <stp>13/10/2017</stp>
        <stp>[BBG Class FINAL.xlsm]Ali vol!R64C22</stp>
        <tr r="V64" s="3"/>
      </tp>
      <tp t="b">
        <v>0</v>
        <stp/>
        <stp>##V3_BDHV12</stp>
        <stp>LAPH8 Comdty</stp>
        <stp>Last Trade</stp>
        <stp>13/10/2017</stp>
        <stp>13/10/2017</stp>
        <stp>[BBG Class FINAL.xlsm]Ali vol!R64C25</stp>
        <tr r="Y64" s="3"/>
      </tp>
      <tp t="b">
        <v>0</v>
        <stp/>
        <stp>##V3_BDHV12</stp>
        <stp>LARH8 Comdty</stp>
        <stp>Last Trade</stp>
        <stp>03/11/2017</stp>
        <stp>03/11/2017</stp>
        <stp>[BBG Class FINAL.xlsm]Ali vol!R49C27</stp>
        <tr r="AA49" s="3"/>
      </tp>
      <tp t="b">
        <v>0</v>
        <stp/>
        <stp>##V3_BDHV12</stp>
        <stp>LAOH8 Comdty</stp>
        <stp>Last Trade</stp>
        <stp>03/11/2017</stp>
        <stp>03/11/2017</stp>
        <stp>[BBG Class FINAL.xlsm]Ali vol!R49C26</stp>
        <tr r="Z49" s="3"/>
      </tp>
      <tp t="b">
        <v>0</v>
        <stp/>
        <stp>##V3_BDHV12</stp>
        <stp>LAEH8 Comdty</stp>
        <stp>Last Trade</stp>
        <stp>13/10/2017</stp>
        <stp>13/10/2017</stp>
        <stp>[BBG Class FINAL.xlsm]Ali vol!R64C24</stp>
        <tr r="X64" s="3"/>
      </tp>
      <tp t="b">
        <v>0</v>
        <stp/>
        <stp>##V3_BDHV12</stp>
        <stp>LARH8 Comdty</stp>
        <stp>Last Trade</stp>
        <stp>13/10/2017</stp>
        <stp>13/10/2017</stp>
        <stp>[BBG Class FINAL.xlsm]Ali vol!R64C27</stp>
        <tr r="AA64" s="3"/>
      </tp>
      <tp t="b">
        <v>0</v>
        <stp/>
        <stp>##V3_BDHV12</stp>
        <stp>LAPH8 Comdty</stp>
        <stp>Last Trade</stp>
        <stp>03/11/2017</stp>
        <stp>03/11/2017</stp>
        <stp>[BBG Class FINAL.xlsm]Ali vol!R49C25</stp>
        <tr r="Y49" s="3"/>
      </tp>
      <tp t="b">
        <v>0</v>
        <stp/>
        <stp>##V3_BDHV12</stp>
        <stp>LAEH8 Comdty</stp>
        <stp>Last Trade</stp>
        <stp>03/11/2017</stp>
        <stp>03/11/2017</stp>
        <stp>[BBG Class FINAL.xlsm]Ali vol!R49C24</stp>
        <tr r="X49" s="3"/>
      </tp>
      <tp t="b">
        <v>0</v>
        <stp/>
        <stp>##V3_BDHV12</stp>
        <stp>LAOH8 Comdty</stp>
        <stp>Last Trade</stp>
        <stp>13/10/2017</stp>
        <stp>13/10/2017</stp>
        <stp>[BBG Class FINAL.xlsm]Ali vol!R64C26</stp>
        <tr r="Z64" s="3"/>
      </tp>
      <tp t="b">
        <v>0</v>
        <stp/>
        <stp>##V3_BDHV12</stp>
        <stp>LADH8 Comdty</stp>
        <stp>Last Trade</stp>
        <stp>18/10/2017</stp>
        <stp>18/10/2017</stp>
        <stp>[BBG Class FINAL.xlsm]Ali vol!R61C22</stp>
        <tr r="V61" s="3"/>
      </tp>
      <tp t="b">
        <v>0</v>
        <stp/>
        <stp>##V3_BDHV12</stp>
        <stp>LACH8 Comdty</stp>
        <stp>Last Trade</stp>
        <stp>18/10/2017</stp>
        <stp>18/10/2017</stp>
        <stp>[BBG Class FINAL.xlsm]Ali vol!R61C23</stp>
        <tr r="W61" s="3"/>
      </tp>
      <tp t="b">
        <v>0</v>
        <stp/>
        <stp>##V3_BDHV12</stp>
        <stp>LADH8 Comdty</stp>
        <stp>Last Trade</stp>
        <stp>08/11/2017</stp>
        <stp>08/11/2017</stp>
        <stp>[BBG Class FINAL.xlsm]Ali vol!R46C22</stp>
        <tr r="V46" s="3"/>
      </tp>
      <tp t="b">
        <v>0</v>
        <stp/>
        <stp>##V3_BDHV12</stp>
        <stp>LACH8 Comdty</stp>
        <stp>Last Trade</stp>
        <stp>08/11/2017</stp>
        <stp>08/11/2017</stp>
        <stp>[BBG Class FINAL.xlsm]Ali vol!R46C23</stp>
        <tr r="W46" s="3"/>
      </tp>
      <tp t="b">
        <v>0</v>
        <stp/>
        <stp>##V3_BDHV12</stp>
        <stp>LAEH8 Comdty</stp>
        <stp>Last Trade</stp>
        <stp>08/11/2017</stp>
        <stp>08/11/2017</stp>
        <stp>[BBG Class FINAL.xlsm]Ali vol!R46C24</stp>
        <tr r="X46" s="3"/>
      </tp>
      <tp t="b">
        <v>0</v>
        <stp/>
        <stp>##V3_BDHV12</stp>
        <stp>LAOH8 Comdty</stp>
        <stp>Last Trade</stp>
        <stp>18/10/2017</stp>
        <stp>18/10/2017</stp>
        <stp>[BBG Class FINAL.xlsm]Ali vol!R61C26</stp>
        <tr r="Z61" s="3"/>
      </tp>
      <tp t="b">
        <v>0</v>
        <stp/>
        <stp>##V3_BDHV12</stp>
        <stp>LAPH8 Comdty</stp>
        <stp>Last Trade</stp>
        <stp>08/11/2017</stp>
        <stp>08/11/2017</stp>
        <stp>[BBG Class FINAL.xlsm]Ali vol!R46C25</stp>
        <tr r="Y46" s="3"/>
      </tp>
      <tp t="b">
        <v>0</v>
        <stp/>
        <stp>##V3_BDHV12</stp>
        <stp>LARH8 Comdty</stp>
        <stp>Last Trade</stp>
        <stp>18/10/2017</stp>
        <stp>18/10/2017</stp>
        <stp>[BBG Class FINAL.xlsm]Ali vol!R61C27</stp>
        <tr r="AA61" s="3"/>
      </tp>
      <tp t="b">
        <v>0</v>
        <stp/>
        <stp>##V3_BDHV12</stp>
        <stp>LAEH8 Comdty</stp>
        <stp>Last Trade</stp>
        <stp>18/10/2017</stp>
        <stp>18/10/2017</stp>
        <stp>[BBG Class FINAL.xlsm]Ali vol!R61C24</stp>
        <tr r="X61" s="3"/>
      </tp>
      <tp t="b">
        <v>0</v>
        <stp/>
        <stp>##V3_BDHV12</stp>
        <stp>LAOH8 Comdty</stp>
        <stp>Last Trade</stp>
        <stp>08/11/2017</stp>
        <stp>08/11/2017</stp>
        <stp>[BBG Class FINAL.xlsm]Ali vol!R46C26</stp>
        <tr r="Z46" s="3"/>
      </tp>
      <tp t="b">
        <v>0</v>
        <stp/>
        <stp>##V3_BDHV12</stp>
        <stp>LARH8 Comdty</stp>
        <stp>Last Trade</stp>
        <stp>08/11/2017</stp>
        <stp>08/11/2017</stp>
        <stp>[BBG Class FINAL.xlsm]Ali vol!R46C27</stp>
        <tr r="AA46" s="3"/>
      </tp>
      <tp t="b">
        <v>0</v>
        <stp/>
        <stp>##V3_BDHV12</stp>
        <stp>LAPH8 Comdty</stp>
        <stp>Last Trade</stp>
        <stp>18/10/2017</stp>
        <stp>18/10/2017</stp>
        <stp>[BBG Class FINAL.xlsm]Ali vol!R61C25</stp>
        <tr r="Y61" s="3"/>
      </tp>
      <tp t="b">
        <v>0</v>
        <stp/>
        <stp>##V3_BDHV12</stp>
        <stp>LACH8 Comdty</stp>
        <stp>Last Trade</stp>
        <stp>19/10/2017</stp>
        <stp>19/10/2017</stp>
        <stp>[BBG Class FINAL.xlsm]Ali vol!R60C23</stp>
        <tr r="W60" s="3"/>
      </tp>
      <tp t="b">
        <v>0</v>
        <stp/>
        <stp>##V3_BDHV12</stp>
        <stp>LADH8 Comdty</stp>
        <stp>Last Trade</stp>
        <stp>19/10/2017</stp>
        <stp>19/10/2017</stp>
        <stp>[BBG Class FINAL.xlsm]Ali vol!R60C22</stp>
        <tr r="V60" s="3"/>
      </tp>
      <tp t="b">
        <v>0</v>
        <stp/>
        <stp>##V3_BDHV12</stp>
        <stp>LACH8 Comdty</stp>
        <stp>Last Trade</stp>
        <stp>09/11/2017</stp>
        <stp>09/11/2017</stp>
        <stp>[BBG Class FINAL.xlsm]Ali vol!R45C23</stp>
        <tr r="W45" s="3"/>
      </tp>
      <tp t="b">
        <v>0</v>
        <stp/>
        <stp>##V3_BDHV12</stp>
        <stp>LADH8 Comdty</stp>
        <stp>Last Trade</stp>
        <stp>09/11/2017</stp>
        <stp>09/11/2017</stp>
        <stp>[BBG Class FINAL.xlsm]Ali vol!R45C22</stp>
        <tr r="V45" s="3"/>
      </tp>
      <tp t="b">
        <v>0</v>
        <stp/>
        <stp>##V3_BDHV12</stp>
        <stp>LAPH8 Comdty</stp>
        <stp>Last Trade</stp>
        <stp>09/11/2017</stp>
        <stp>09/11/2017</stp>
        <stp>[BBG Class FINAL.xlsm]Ali vol!R45C25</stp>
        <tr r="Y45" s="3"/>
      </tp>
      <tp t="b">
        <v>0</v>
        <stp/>
        <stp>##V3_BDHV12</stp>
        <stp>LARH8 Comdty</stp>
        <stp>Last Trade</stp>
        <stp>19/10/2017</stp>
        <stp>19/10/2017</stp>
        <stp>[BBG Class FINAL.xlsm]Ali vol!R60C27</stp>
        <tr r="AA60" s="3"/>
      </tp>
      <tp t="b">
        <v>0</v>
        <stp/>
        <stp>##V3_BDHV12</stp>
        <stp>LAEH8 Comdty</stp>
        <stp>Last Trade</stp>
        <stp>09/11/2017</stp>
        <stp>09/11/2017</stp>
        <stp>[BBG Class FINAL.xlsm]Ali vol!R45C24</stp>
        <tr r="X45" s="3"/>
      </tp>
      <tp t="b">
        <v>0</v>
        <stp/>
        <stp>##V3_BDHV12</stp>
        <stp>LAOH8 Comdty</stp>
        <stp>Last Trade</stp>
        <stp>19/10/2017</stp>
        <stp>19/10/2017</stp>
        <stp>[BBG Class FINAL.xlsm]Ali vol!R60C26</stp>
        <tr r="Z60" s="3"/>
      </tp>
      <tp t="b">
        <v>0</v>
        <stp/>
        <stp>##V3_BDHV12</stp>
        <stp>LARH8 Comdty</stp>
        <stp>Last Trade</stp>
        <stp>09/11/2017</stp>
        <stp>09/11/2017</stp>
        <stp>[BBG Class FINAL.xlsm]Ali vol!R45C27</stp>
        <tr r="AA45" s="3"/>
      </tp>
      <tp t="b">
        <v>0</v>
        <stp/>
        <stp>##V3_BDHV12</stp>
        <stp>LAPH8 Comdty</stp>
        <stp>Last Trade</stp>
        <stp>19/10/2017</stp>
        <stp>19/10/2017</stp>
        <stp>[BBG Class FINAL.xlsm]Ali vol!R60C25</stp>
        <tr r="Y60" s="3"/>
      </tp>
      <tp t="b">
        <v>0</v>
        <stp/>
        <stp>##V3_BDHV12</stp>
        <stp>LAEH8 Comdty</stp>
        <stp>Last Trade</stp>
        <stp>19/10/2017</stp>
        <stp>19/10/2017</stp>
        <stp>[BBG Class FINAL.xlsm]Ali vol!R60C24</stp>
        <tr r="X60" s="3"/>
      </tp>
      <tp t="b">
        <v>0</v>
        <stp/>
        <stp>##V3_BDHV12</stp>
        <stp>LAOH8 Comdty</stp>
        <stp>Last Trade</stp>
        <stp>09/11/2017</stp>
        <stp>09/11/2017</stp>
        <stp>[BBG Class FINAL.xlsm]Ali vol!R45C26</stp>
        <tr r="Z45" s="3"/>
      </tp>
      <tp t="b">
        <v>0</v>
        <stp/>
        <stp>##V3_BDHV12</stp>
        <stp>LAEM9 Comdty</stp>
        <stp>Last Trade</stp>
        <stp>31/10/2017</stp>
        <stp>31/10/2017</stp>
        <stp>[BBG Class FINAL.xlsm]Ali vol!R16C20</stp>
        <tr r="T16" s="3"/>
      </tp>
      <tp t="b">
        <v>0</v>
        <stp/>
        <stp>##V3_BDHV12</stp>
        <stp>LAEN8 Comdty</stp>
        <stp>Last Trade</stp>
        <stp>31/10/2017</stp>
        <stp>31/10/2017</stp>
        <stp>[BBG Class FINAL.xlsm]Ali vol!R10C20</stp>
        <tr r="T10" s="3"/>
      </tp>
      <tp t="s">
        <v>#N/A Real Time</v>
        <stp/>
        <stp>##V3_BDPV12</stp>
        <stp>GCWZ17C4 1250 Comdty</stp>
        <stp>EXPIRATION_DATE_REALTIME</stp>
        <stp>[BBG Class Live&amp;Histo.xlsm]Weeklies!R5C8</stp>
        <tr r="H5" s="6"/>
      </tp>
      <tp t="b">
        <v>0</v>
        <stp/>
        <stp>##V3_BDHV12</stp>
        <stp>LMAHDS03 Comdty</stp>
        <stp>PX_LAST_x0002_PX_HIGH_x0002_PX_LOW</stp>
        <stp>01/06/2017</stp>
        <stp>25/10/2017</stp>
        <stp>[BBG Class.xlsm]Ali!R13C3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cols=4;rows=104</stp>
        <tr r="C13" s="2"/>
      </tp>
      <tp t="b">
        <v>0</v>
        <stp/>
        <stp>##V3_BDHV12</stp>
        <stp>LAEF8 Comdty</stp>
        <stp>Last Trade</stp>
        <stp>31/10/2017</stp>
        <stp>31/10/2017</stp>
        <stp>[BBG Class FINAL.xlsm]Ali vol!R4C20</stp>
        <tr r="T4" s="3"/>
      </tp>
      <tp t="b">
        <v>0</v>
        <stp/>
        <stp>##V3_BDHV12</stp>
        <stp>LAEG8 Comdty</stp>
        <stp>Last Trade</stp>
        <stp>31/10/2017</stp>
        <stp>31/10/2017</stp>
        <stp>[BBG Class FINAL.xlsm]Ali vol!R5C20</stp>
        <tr r="T5" s="3"/>
      </tp>
      <tp t="b">
        <v>0</v>
        <stp/>
        <stp>##V3_BDHV12</stp>
        <stp>LAEH8 Comdty</stp>
        <stp>Last Trade</stp>
        <stp>31/10/2017</stp>
        <stp>31/10/2017</stp>
        <stp>[BBG Class FINAL.xlsm]Ali vol!R6C20</stp>
        <tr r="T6" s="3"/>
      </tp>
      <tp t="b">
        <v>0</v>
        <stp/>
        <stp>##V3_BDHV12</stp>
        <stp>LAEJ8 Comdty</stp>
        <stp>Last Trade</stp>
        <stp>31/10/2017</stp>
        <stp>31/10/2017</stp>
        <stp>[BBG Class FINAL.xlsm]Ali vol!R7C20</stp>
        <tr r="T7" s="3"/>
      </tp>
      <tp t="b">
        <v>0</v>
        <stp/>
        <stp>##V3_BDHV12</stp>
        <stp>LAEK8 Comdty</stp>
        <stp>Last Trade</stp>
        <stp>31/10/2017</stp>
        <stp>31/10/2017</stp>
        <stp>[BBG Class FINAL.xlsm]Ali vol!R8C20</stp>
        <tr r="T8" s="3"/>
      </tp>
      <tp t="b">
        <v>0</v>
        <stp/>
        <stp>##V3_BDHV12</stp>
        <stp>LAEM8 Comdty</stp>
        <stp>Last Trade</stp>
        <stp>31/10/2017</stp>
        <stp>31/10/2017</stp>
        <stp>[BBG Class FINAL.xlsm]Ali vol!R9C20</stp>
        <tr r="T9" s="3"/>
      </tp>
      <tp t="b">
        <v>0</v>
        <stp/>
        <stp>##V3_BDHV12</stp>
        <stp>LAEZ7 Comdty</stp>
        <stp>Last Trade</stp>
        <stp>31/10/2017</stp>
        <stp>31/10/2017</stp>
        <stp>[BBG Class FINAL.xlsm]Ali vol!R3C20</stp>
        <tr r="T3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Gold'!$D$46</c:f>
              <c:strCache>
                <c:ptCount val="1"/>
                <c:pt idx="0">
                  <c:v>Apr-18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Gold'!$E$46:$U$46</c:f>
              <c:numCache>
                <c:formatCode>0.00%</c:formatCode>
                <c:ptCount val="17"/>
                <c:pt idx="0">
                  <c:v>0.14380444514732355</c:v>
                </c:pt>
                <c:pt idx="1">
                  <c:v>0.12939734219856869</c:v>
                </c:pt>
                <c:pt idx="2">
                  <c:v>0.11387449014128245</c:v>
                </c:pt>
                <c:pt idx="3">
                  <c:v>0.10976462833714765</c:v>
                </c:pt>
                <c:pt idx="4">
                  <c:v>0.10180721125824292</c:v>
                </c:pt>
                <c:pt idx="5">
                  <c:v>9.5260347788500205E-2</c:v>
                </c:pt>
                <c:pt idx="6">
                  <c:v>9.7244495408291415E-2</c:v>
                </c:pt>
                <c:pt idx="7">
                  <c:v>0.10056645220236646</c:v>
                </c:pt>
                <c:pt idx="8">
                  <c:v>0.10459901420668331</c:v>
                </c:pt>
                <c:pt idx="9">
                  <c:v>0.11159629900148602</c:v>
                </c:pt>
                <c:pt idx="10">
                  <c:v>0.12000824021556386</c:v>
                </c:pt>
                <c:pt idx="11">
                  <c:v>0.12716866234659807</c:v>
                </c:pt>
                <c:pt idx="12">
                  <c:v>0.1365611606138584</c:v>
                </c:pt>
                <c:pt idx="13">
                  <c:v>0.14785879560016502</c:v>
                </c:pt>
                <c:pt idx="14">
                  <c:v>0.15679199034695429</c:v>
                </c:pt>
                <c:pt idx="15">
                  <c:v>0.17209154475148988</c:v>
                </c:pt>
                <c:pt idx="16">
                  <c:v>0.17679143567089942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Gold'!$E$82:$U$82</c:f>
              <c:numCache>
                <c:formatCode>0.00%</c:formatCode>
                <c:ptCount val="17"/>
                <c:pt idx="0">
                  <c:v>0.11590887683315756</c:v>
                </c:pt>
                <c:pt idx="1">
                  <c:v>0.11344095823543959</c:v>
                </c:pt>
                <c:pt idx="2">
                  <c:v>0.10988324254772103</c:v>
                </c:pt>
                <c:pt idx="3">
                  <c:v>0.10788960390521964</c:v>
                </c:pt>
                <c:pt idx="4">
                  <c:v>0.10404257585856687</c:v>
                </c:pt>
                <c:pt idx="5">
                  <c:v>0.1019987556595261</c:v>
                </c:pt>
                <c:pt idx="6">
                  <c:v>0.10292436103263285</c:v>
                </c:pt>
                <c:pt idx="7">
                  <c:v>0.10699049181115622</c:v>
                </c:pt>
                <c:pt idx="8">
                  <c:v>0.11259498363091409</c:v>
                </c:pt>
                <c:pt idx="9">
                  <c:v>0.11808683570745517</c:v>
                </c:pt>
                <c:pt idx="10">
                  <c:v>0.12297348035514725</c:v>
                </c:pt>
                <c:pt idx="11">
                  <c:v>0.1272451904255949</c:v>
                </c:pt>
                <c:pt idx="12">
                  <c:v>0.130852651130756</c:v>
                </c:pt>
                <c:pt idx="13">
                  <c:v>0.13471659624035234</c:v>
                </c:pt>
                <c:pt idx="14">
                  <c:v>0.13657257217089805</c:v>
                </c:pt>
                <c:pt idx="15">
                  <c:v>0.13927385892800001</c:v>
                </c:pt>
                <c:pt idx="16">
                  <c:v>0.14140861198548815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Gold'!$E$58:$U$58</c:f>
              <c:numCache>
                <c:formatCode>0.00%</c:formatCode>
                <c:ptCount val="17"/>
                <c:pt idx="0">
                  <c:v>9.4413831537377979E-2</c:v>
                </c:pt>
                <c:pt idx="1">
                  <c:v>8.6782401590188768E-2</c:v>
                </c:pt>
                <c:pt idx="2">
                  <c:v>8.8497068027446696E-2</c:v>
                </c:pt>
                <c:pt idx="3">
                  <c:v>8.730179968831267E-2</c:v>
                </c:pt>
                <c:pt idx="4">
                  <c:v>9.1453210408094121E-2</c:v>
                </c:pt>
                <c:pt idx="5">
                  <c:v>9.316232876732071E-2</c:v>
                </c:pt>
                <c:pt idx="6">
                  <c:v>9.5229339104608429E-2</c:v>
                </c:pt>
                <c:pt idx="7">
                  <c:v>9.8286399990441142E-2</c:v>
                </c:pt>
                <c:pt idx="8">
                  <c:v>0.10166817121703346</c:v>
                </c:pt>
                <c:pt idx="9">
                  <c:v>0.10759266364875378</c:v>
                </c:pt>
                <c:pt idx="10">
                  <c:v>0.11443864471555688</c:v>
                </c:pt>
                <c:pt idx="11">
                  <c:v>0.12329454589364426</c:v>
                </c:pt>
                <c:pt idx="12">
                  <c:v>0.1312930107328858</c:v>
                </c:pt>
                <c:pt idx="13">
                  <c:v>0.13284540496697383</c:v>
                </c:pt>
                <c:pt idx="14">
                  <c:v>0.14778811843166137</c:v>
                </c:pt>
                <c:pt idx="15">
                  <c:v>0.14860454208007734</c:v>
                </c:pt>
                <c:pt idx="16">
                  <c:v>0.16201601671822213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693632"/>
        <c:axId val="385283968"/>
      </c:lineChart>
      <c:catAx>
        <c:axId val="35269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5283968"/>
        <c:crosses val="autoZero"/>
        <c:auto val="1"/>
        <c:lblAlgn val="ctr"/>
        <c:lblOffset val="100"/>
        <c:noMultiLvlLbl val="0"/>
      </c:catAx>
      <c:valAx>
        <c:axId val="385283968"/>
        <c:scaling>
          <c:orientation val="minMax"/>
          <c:min val="7.0000000000000007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526936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Gold'!$D$47</c:f>
              <c:strCache>
                <c:ptCount val="1"/>
                <c:pt idx="0">
                  <c:v>May-18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Gold'!$E$47:$U$47</c:f>
              <c:numCache>
                <c:formatCode>0.00%</c:formatCode>
                <c:ptCount val="17"/>
                <c:pt idx="0">
                  <c:v>0.1076230835448147</c:v>
                </c:pt>
                <c:pt idx="1">
                  <c:v>0.1018767858336216</c:v>
                </c:pt>
                <c:pt idx="2">
                  <c:v>9.8697733736407098E-2</c:v>
                </c:pt>
                <c:pt idx="3">
                  <c:v>9.7268034690585634E-2</c:v>
                </c:pt>
                <c:pt idx="4">
                  <c:v>9.4107548345035763E-2</c:v>
                </c:pt>
                <c:pt idx="5">
                  <c:v>9.3828281098928767E-2</c:v>
                </c:pt>
                <c:pt idx="6">
                  <c:v>9.4150498427299001E-2</c:v>
                </c:pt>
                <c:pt idx="7">
                  <c:v>9.544182158857574E-2</c:v>
                </c:pt>
                <c:pt idx="8">
                  <c:v>9.687677164855614E-2</c:v>
                </c:pt>
                <c:pt idx="9">
                  <c:v>9.9100055133161308E-2</c:v>
                </c:pt>
                <c:pt idx="10">
                  <c:v>0.101818817206091</c:v>
                </c:pt>
                <c:pt idx="11">
                  <c:v>0.10461215131680265</c:v>
                </c:pt>
                <c:pt idx="12">
                  <c:v>0.10761258494945108</c:v>
                </c:pt>
                <c:pt idx="13">
                  <c:v>0.11204835428119553</c:v>
                </c:pt>
                <c:pt idx="14">
                  <c:v>0.11542978084469353</c:v>
                </c:pt>
                <c:pt idx="15">
                  <c:v>0.11966338223151272</c:v>
                </c:pt>
                <c:pt idx="16">
                  <c:v>0.12397893273556196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Gold'!$E$83:$U$83</c:f>
              <c:numCache>
                <c:formatCode>0.00%</c:formatCode>
                <c:ptCount val="17"/>
                <c:pt idx="0">
                  <c:v>0.11023248046650697</c:v>
                </c:pt>
                <c:pt idx="1">
                  <c:v>0.10880371337670248</c:v>
                </c:pt>
                <c:pt idx="2">
                  <c:v>0.10726794569845494</c:v>
                </c:pt>
                <c:pt idx="3">
                  <c:v>0.10661334746032762</c:v>
                </c:pt>
                <c:pt idx="4">
                  <c:v>0.10562195223806106</c:v>
                </c:pt>
                <c:pt idx="5">
                  <c:v>0.10521189876163491</c:v>
                </c:pt>
                <c:pt idx="6">
                  <c:v>0.10567725701231891</c:v>
                </c:pt>
                <c:pt idx="7">
                  <c:v>0.10719987578281472</c:v>
                </c:pt>
                <c:pt idx="8">
                  <c:v>0.10964985508922916</c:v>
                </c:pt>
                <c:pt idx="9">
                  <c:v>0.11261194113841201</c:v>
                </c:pt>
                <c:pt idx="10">
                  <c:v>0.11574619441298896</c:v>
                </c:pt>
                <c:pt idx="11">
                  <c:v>0.11887097639557617</c:v>
                </c:pt>
                <c:pt idx="12">
                  <c:v>0.12191427575619906</c:v>
                </c:pt>
                <c:pt idx="13">
                  <c:v>0.12469173682003076</c:v>
                </c:pt>
                <c:pt idx="14">
                  <c:v>0.1272839413109372</c:v>
                </c:pt>
                <c:pt idx="15">
                  <c:v>0.12967957448273246</c:v>
                </c:pt>
                <c:pt idx="16">
                  <c:v>0.131923527489098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Gold'!$E$59:$U$59</c:f>
              <c:numCache>
                <c:formatCode>0.00%</c:formatCode>
                <c:ptCount val="17"/>
                <c:pt idx="0">
                  <c:v>9.2061659963228043E-2</c:v>
                </c:pt>
                <c:pt idx="1">
                  <c:v>9.0545114388927622E-2</c:v>
                </c:pt>
                <c:pt idx="2">
                  <c:v>9.1309793927265404E-2</c:v>
                </c:pt>
                <c:pt idx="3">
                  <c:v>9.1295710894637713E-2</c:v>
                </c:pt>
                <c:pt idx="4">
                  <c:v>9.0903825476739766E-2</c:v>
                </c:pt>
                <c:pt idx="5">
                  <c:v>9.094441110889577E-2</c:v>
                </c:pt>
                <c:pt idx="6">
                  <c:v>9.1951377181568802E-2</c:v>
                </c:pt>
                <c:pt idx="7">
                  <c:v>9.3779463501920957E-2</c:v>
                </c:pt>
                <c:pt idx="8">
                  <c:v>9.5114697857630104E-2</c:v>
                </c:pt>
                <c:pt idx="9">
                  <c:v>9.7802698766957602E-2</c:v>
                </c:pt>
                <c:pt idx="10">
                  <c:v>0.10033773517515542</c:v>
                </c:pt>
                <c:pt idx="11">
                  <c:v>0.10287551417706167</c:v>
                </c:pt>
                <c:pt idx="12">
                  <c:v>0.10553624848709978</c:v>
                </c:pt>
                <c:pt idx="13">
                  <c:v>0.10830978297065856</c:v>
                </c:pt>
                <c:pt idx="14">
                  <c:v>0.11242433107024212</c:v>
                </c:pt>
                <c:pt idx="15">
                  <c:v>0.11603981315355025</c:v>
                </c:pt>
                <c:pt idx="16">
                  <c:v>0.11961085301755248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76224"/>
        <c:axId val="410278144"/>
      </c:lineChart>
      <c:catAx>
        <c:axId val="41027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0278144"/>
        <c:crosses val="autoZero"/>
        <c:auto val="1"/>
        <c:lblAlgn val="ctr"/>
        <c:lblOffset val="100"/>
        <c:noMultiLvlLbl val="0"/>
      </c:catAx>
      <c:valAx>
        <c:axId val="410278144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10276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Gold'!$D$48</c:f>
              <c:strCache>
                <c:ptCount val="1"/>
                <c:pt idx="0">
                  <c:v>Jun-18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Gold'!$E$48:$U$48</c:f>
              <c:numCache>
                <c:formatCode>0.00%</c:formatCode>
                <c:ptCount val="17"/>
                <c:pt idx="0">
                  <c:v>0.10114006060858437</c:v>
                </c:pt>
                <c:pt idx="1">
                  <c:v>9.9302585814780978E-2</c:v>
                </c:pt>
                <c:pt idx="2">
                  <c:v>9.6809394429540174E-2</c:v>
                </c:pt>
                <c:pt idx="3">
                  <c:v>9.6977054392986442E-2</c:v>
                </c:pt>
                <c:pt idx="4">
                  <c:v>9.6043908990502871E-2</c:v>
                </c:pt>
                <c:pt idx="5">
                  <c:v>9.6281830573623189E-2</c:v>
                </c:pt>
                <c:pt idx="6">
                  <c:v>9.7388999221545328E-2</c:v>
                </c:pt>
                <c:pt idx="7">
                  <c:v>9.8079996904542388E-2</c:v>
                </c:pt>
                <c:pt idx="8">
                  <c:v>9.9344982988467306E-2</c:v>
                </c:pt>
                <c:pt idx="9">
                  <c:v>0.10102158547074318</c:v>
                </c:pt>
                <c:pt idx="10">
                  <c:v>0.10302374699914642</c:v>
                </c:pt>
                <c:pt idx="11">
                  <c:v>0.10528461096125286</c:v>
                </c:pt>
                <c:pt idx="12">
                  <c:v>0.10770435849618881</c:v>
                </c:pt>
                <c:pt idx="13">
                  <c:v>0.10940235030576137</c:v>
                </c:pt>
                <c:pt idx="14">
                  <c:v>0.11207657891078025</c:v>
                </c:pt>
                <c:pt idx="15">
                  <c:v>0.11390547286033463</c:v>
                </c:pt>
                <c:pt idx="16">
                  <c:v>0.1169590192252189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Gold'!$E$84:$U$84</c:f>
              <c:numCache>
                <c:formatCode>0.00%</c:formatCode>
                <c:ptCount val="17"/>
                <c:pt idx="0">
                  <c:v>0.10872817486870653</c:v>
                </c:pt>
                <c:pt idx="1">
                  <c:v>0.10752465062999626</c:v>
                </c:pt>
                <c:pt idx="2">
                  <c:v>0.1065462712129233</c:v>
                </c:pt>
                <c:pt idx="3">
                  <c:v>0.10615472805115919</c:v>
                </c:pt>
                <c:pt idx="4">
                  <c:v>0.10570461548805554</c:v>
                </c:pt>
                <c:pt idx="5">
                  <c:v>0.10578081141807348</c:v>
                </c:pt>
                <c:pt idx="6">
                  <c:v>0.10649486905847702</c:v>
                </c:pt>
                <c:pt idx="7">
                  <c:v>0.10793338017419155</c:v>
                </c:pt>
                <c:pt idx="8">
                  <c:v>0.11002873007612184</c:v>
                </c:pt>
                <c:pt idx="9">
                  <c:v>0.11260204053246783</c:v>
                </c:pt>
                <c:pt idx="10">
                  <c:v>0.11545028838200869</c:v>
                </c:pt>
                <c:pt idx="11">
                  <c:v>0.1184132581353865</c:v>
                </c:pt>
                <c:pt idx="12">
                  <c:v>0.12129891472101323</c:v>
                </c:pt>
                <c:pt idx="13">
                  <c:v>0.1242198181370341</c:v>
                </c:pt>
                <c:pt idx="14">
                  <c:v>0.12703765172884948</c:v>
                </c:pt>
                <c:pt idx="15">
                  <c:v>0.12980785095875175</c:v>
                </c:pt>
                <c:pt idx="16">
                  <c:v>0.13226565356187034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Gold'!$E$60:$U$60</c:f>
              <c:numCache>
                <c:formatCode>0.00%</c:formatCode>
                <c:ptCount val="17"/>
                <c:pt idx="0">
                  <c:v>9.5332706959890712E-2</c:v>
                </c:pt>
                <c:pt idx="1">
                  <c:v>9.4352350679024768E-2</c:v>
                </c:pt>
                <c:pt idx="2">
                  <c:v>9.4104573603147848E-2</c:v>
                </c:pt>
                <c:pt idx="3">
                  <c:v>9.3918590012685654E-2</c:v>
                </c:pt>
                <c:pt idx="4">
                  <c:v>9.418635879722323E-2</c:v>
                </c:pt>
                <c:pt idx="5">
                  <c:v>9.4971647284774446E-2</c:v>
                </c:pt>
                <c:pt idx="6">
                  <c:v>9.5690983020580211E-2</c:v>
                </c:pt>
                <c:pt idx="7">
                  <c:v>9.6802900411640955E-2</c:v>
                </c:pt>
                <c:pt idx="8">
                  <c:v>9.8466647516100153E-2</c:v>
                </c:pt>
                <c:pt idx="9">
                  <c:v>0.10009263880324569</c:v>
                </c:pt>
                <c:pt idx="10">
                  <c:v>0.10202066083126998</c:v>
                </c:pt>
                <c:pt idx="11">
                  <c:v>0.10363006555834416</c:v>
                </c:pt>
                <c:pt idx="12">
                  <c:v>0.10586186695544587</c:v>
                </c:pt>
                <c:pt idx="13">
                  <c:v>0.10801340298408514</c:v>
                </c:pt>
                <c:pt idx="14">
                  <c:v>0.10970141734499471</c:v>
                </c:pt>
                <c:pt idx="15">
                  <c:v>0.11208362827743393</c:v>
                </c:pt>
                <c:pt idx="16">
                  <c:v>0.11487617266453545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305344"/>
        <c:axId val="587306880"/>
      </c:lineChart>
      <c:catAx>
        <c:axId val="58730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7306880"/>
        <c:crosses val="autoZero"/>
        <c:auto val="1"/>
        <c:lblAlgn val="ctr"/>
        <c:lblOffset val="100"/>
        <c:noMultiLvlLbl val="0"/>
      </c:catAx>
      <c:valAx>
        <c:axId val="587306880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5873053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Gold'!$D$49</c:f>
              <c:strCache>
                <c:ptCount val="1"/>
                <c:pt idx="0">
                  <c:v>Jul-18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Gold'!$E$49:$U$49</c:f>
              <c:numCache>
                <c:formatCode>0.00%</c:formatCode>
                <c:ptCount val="17"/>
                <c:pt idx="0">
                  <c:v>0.10309386796464763</c:v>
                </c:pt>
                <c:pt idx="1">
                  <c:v>0.1013548717323608</c:v>
                </c:pt>
                <c:pt idx="2">
                  <c:v>0.10064527840814869</c:v>
                </c:pt>
                <c:pt idx="3">
                  <c:v>0.10001866795531758</c:v>
                </c:pt>
                <c:pt idx="4">
                  <c:v>9.9749131358608037E-2</c:v>
                </c:pt>
                <c:pt idx="5">
                  <c:v>9.9769123251178995E-2</c:v>
                </c:pt>
                <c:pt idx="6">
                  <c:v>0.10032263860869377</c:v>
                </c:pt>
                <c:pt idx="7">
                  <c:v>0.10066402392640093</c:v>
                </c:pt>
                <c:pt idx="8">
                  <c:v>0.10153365863105365</c:v>
                </c:pt>
                <c:pt idx="9">
                  <c:v>0.10267449832466732</c:v>
                </c:pt>
                <c:pt idx="10">
                  <c:v>0.10387147532211244</c:v>
                </c:pt>
                <c:pt idx="11">
                  <c:v>0.10569617521741062</c:v>
                </c:pt>
                <c:pt idx="12">
                  <c:v>0.10761553169938461</c:v>
                </c:pt>
                <c:pt idx="13">
                  <c:v>0.10940740755427524</c:v>
                </c:pt>
                <c:pt idx="14">
                  <c:v>0.11125498099723458</c:v>
                </c:pt>
                <c:pt idx="15">
                  <c:v>0.11338946423666819</c:v>
                </c:pt>
                <c:pt idx="16">
                  <c:v>0.11491440811198739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Gold'!$E$85:$U$85</c:f>
              <c:numCache>
                <c:formatCode>0.00%</c:formatCode>
                <c:ptCount val="17"/>
                <c:pt idx="0">
                  <c:v>0.10906126466470399</c:v>
                </c:pt>
                <c:pt idx="1">
                  <c:v>0.10805827426323412</c:v>
                </c:pt>
                <c:pt idx="2">
                  <c:v>0.10723322140127357</c:v>
                </c:pt>
                <c:pt idx="3">
                  <c:v>0.10692243859975899</c:v>
                </c:pt>
                <c:pt idx="4">
                  <c:v>0.1065281224033257</c:v>
                </c:pt>
                <c:pt idx="5">
                  <c:v>0.10650169798561969</c:v>
                </c:pt>
                <c:pt idx="6">
                  <c:v>0.10689876734005638</c:v>
                </c:pt>
                <c:pt idx="7">
                  <c:v>0.10776567511120981</c:v>
                </c:pt>
                <c:pt idx="8">
                  <c:v>0.10913317150410469</c:v>
                </c:pt>
                <c:pt idx="9">
                  <c:v>0.11092399241785882</c:v>
                </c:pt>
                <c:pt idx="10">
                  <c:v>0.11304825039997636</c:v>
                </c:pt>
                <c:pt idx="11">
                  <c:v>0.11539411372071243</c:v>
                </c:pt>
                <c:pt idx="12">
                  <c:v>0.11784311829048552</c:v>
                </c:pt>
                <c:pt idx="13">
                  <c:v>0.12034631167535269</c:v>
                </c:pt>
                <c:pt idx="14">
                  <c:v>0.12278537063568143</c:v>
                </c:pt>
                <c:pt idx="15">
                  <c:v>0.12529979578188793</c:v>
                </c:pt>
                <c:pt idx="16">
                  <c:v>0.12775435637494315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Gold'!$E$61:$U$61</c:f>
              <c:numCache>
                <c:formatCode>0.00%</c:formatCode>
                <c:ptCount val="17"/>
                <c:pt idx="0">
                  <c:v>9.82516509352028E-2</c:v>
                </c:pt>
                <c:pt idx="1">
                  <c:v>9.7525951796995067E-2</c:v>
                </c:pt>
                <c:pt idx="2">
                  <c:v>9.7190659058283724E-2</c:v>
                </c:pt>
                <c:pt idx="3">
                  <c:v>9.7125047181186877E-2</c:v>
                </c:pt>
                <c:pt idx="4">
                  <c:v>9.7060491831896786E-2</c:v>
                </c:pt>
                <c:pt idx="5">
                  <c:v>9.7583065384966139E-2</c:v>
                </c:pt>
                <c:pt idx="6">
                  <c:v>9.8204587403666416E-2</c:v>
                </c:pt>
                <c:pt idx="7">
                  <c:v>9.9267549736845803E-2</c:v>
                </c:pt>
                <c:pt idx="8">
                  <c:v>0.10012567048377737</c:v>
                </c:pt>
                <c:pt idx="9">
                  <c:v>0.10159094528808969</c:v>
                </c:pt>
                <c:pt idx="10">
                  <c:v>0.10311849885147653</c:v>
                </c:pt>
                <c:pt idx="11">
                  <c:v>0.10450288899475398</c:v>
                </c:pt>
                <c:pt idx="12">
                  <c:v>0.10634095829994372</c:v>
                </c:pt>
                <c:pt idx="13">
                  <c:v>0.10803158036750976</c:v>
                </c:pt>
                <c:pt idx="14">
                  <c:v>0.11025819098102028</c:v>
                </c:pt>
                <c:pt idx="15">
                  <c:v>0.11119915860384617</c:v>
                </c:pt>
                <c:pt idx="16">
                  <c:v>0.11309990461123944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35136"/>
        <c:axId val="73036928"/>
      </c:lineChart>
      <c:catAx>
        <c:axId val="7303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036928"/>
        <c:crosses val="autoZero"/>
        <c:auto val="1"/>
        <c:lblAlgn val="ctr"/>
        <c:lblOffset val="100"/>
        <c:noMultiLvlLbl val="0"/>
      </c:catAx>
      <c:valAx>
        <c:axId val="73036928"/>
        <c:scaling>
          <c:orientation val="minMax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30351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Gold'!$D$50</c:f>
              <c:strCache>
                <c:ptCount val="1"/>
                <c:pt idx="0">
                  <c:v>Aug-18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Gold'!$E$50:$U$50</c:f>
              <c:numCache>
                <c:formatCode>0.00%</c:formatCode>
                <c:ptCount val="17"/>
                <c:pt idx="0">
                  <c:v>0.10420681421397711</c:v>
                </c:pt>
                <c:pt idx="1">
                  <c:v>0.10344256320646783</c:v>
                </c:pt>
                <c:pt idx="2">
                  <c:v>0.10276987353396617</c:v>
                </c:pt>
                <c:pt idx="3">
                  <c:v>0.10207846213918399</c:v>
                </c:pt>
                <c:pt idx="4">
                  <c:v>0.10200652077656165</c:v>
                </c:pt>
                <c:pt idx="5">
                  <c:v>0.10236731342344947</c:v>
                </c:pt>
                <c:pt idx="6">
                  <c:v>0.10247052477634862</c:v>
                </c:pt>
                <c:pt idx="7">
                  <c:v>0.10324895186876841</c:v>
                </c:pt>
                <c:pt idx="8">
                  <c:v>0.10410883294261886</c:v>
                </c:pt>
                <c:pt idx="9">
                  <c:v>0.10511436404861144</c:v>
                </c:pt>
                <c:pt idx="10">
                  <c:v>0.10636160012273214</c:v>
                </c:pt>
                <c:pt idx="11">
                  <c:v>0.10764421645917879</c:v>
                </c:pt>
                <c:pt idx="12">
                  <c:v>0.10944144556440152</c:v>
                </c:pt>
                <c:pt idx="13">
                  <c:v>0.1112195368540654</c:v>
                </c:pt>
                <c:pt idx="14">
                  <c:v>0.11311200718902059</c:v>
                </c:pt>
                <c:pt idx="15">
                  <c:v>0.1148521025939236</c:v>
                </c:pt>
                <c:pt idx="16">
                  <c:v>0.11699834274169804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Gold'!$E$86:$U$86</c:f>
              <c:numCache>
                <c:formatCode>0.00%</c:formatCode>
                <c:ptCount val="17"/>
                <c:pt idx="0">
                  <c:v>0.11187808635337873</c:v>
                </c:pt>
                <c:pt idx="1">
                  <c:v>0.11103188795252532</c:v>
                </c:pt>
                <c:pt idx="2">
                  <c:v>0.11040563338188454</c:v>
                </c:pt>
                <c:pt idx="3">
                  <c:v>0.11018337590540518</c:v>
                </c:pt>
                <c:pt idx="4">
                  <c:v>0.10994838400148819</c:v>
                </c:pt>
                <c:pt idx="5">
                  <c:v>0.11002186737848837</c:v>
                </c:pt>
                <c:pt idx="6">
                  <c:v>0.11042871565463719</c:v>
                </c:pt>
                <c:pt idx="7">
                  <c:v>0.11119596310391013</c:v>
                </c:pt>
                <c:pt idx="8">
                  <c:v>0.11233456200532346</c:v>
                </c:pt>
                <c:pt idx="9">
                  <c:v>0.11380686707960348</c:v>
                </c:pt>
                <c:pt idx="10">
                  <c:v>0.11554610274212461</c:v>
                </c:pt>
                <c:pt idx="11">
                  <c:v>0.1174862793670146</c:v>
                </c:pt>
                <c:pt idx="12">
                  <c:v>0.11956124401399859</c:v>
                </c:pt>
                <c:pt idx="13">
                  <c:v>0.12170622292137236</c:v>
                </c:pt>
                <c:pt idx="14">
                  <c:v>0.12386072872489619</c:v>
                </c:pt>
                <c:pt idx="15">
                  <c:v>0.12604075274652829</c:v>
                </c:pt>
                <c:pt idx="16">
                  <c:v>0.12812772674017664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Gold'!$E$62:$U$62</c:f>
              <c:numCache>
                <c:formatCode>0.00%</c:formatCode>
                <c:ptCount val="17"/>
                <c:pt idx="0">
                  <c:v>0.10034434976202755</c:v>
                </c:pt>
                <c:pt idx="1">
                  <c:v>9.9919458089308702E-2</c:v>
                </c:pt>
                <c:pt idx="2">
                  <c:v>9.9509464166085859E-2</c:v>
                </c:pt>
                <c:pt idx="3">
                  <c:v>9.9976541825450307E-2</c:v>
                </c:pt>
                <c:pt idx="4">
                  <c:v>0.10034996056479116</c:v>
                </c:pt>
                <c:pt idx="5">
                  <c:v>0.10045702684329648</c:v>
                </c:pt>
                <c:pt idx="6">
                  <c:v>0.1009167337545956</c:v>
                </c:pt>
                <c:pt idx="7">
                  <c:v>0.10170935342484544</c:v>
                </c:pt>
                <c:pt idx="8">
                  <c:v>0.1028708647968382</c:v>
                </c:pt>
                <c:pt idx="9">
                  <c:v>0.10385357754021085</c:v>
                </c:pt>
                <c:pt idx="10">
                  <c:v>0.10506227603431592</c:v>
                </c:pt>
                <c:pt idx="11">
                  <c:v>0.10662945854339333</c:v>
                </c:pt>
                <c:pt idx="12">
                  <c:v>0.1080199550557589</c:v>
                </c:pt>
                <c:pt idx="13">
                  <c:v>0.10971495595567986</c:v>
                </c:pt>
                <c:pt idx="14">
                  <c:v>0.11150963937048117</c:v>
                </c:pt>
                <c:pt idx="15">
                  <c:v>0.11313435315357356</c:v>
                </c:pt>
                <c:pt idx="16">
                  <c:v>0.1151530484250456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0752"/>
        <c:axId val="73208192"/>
      </c:lineChart>
      <c:catAx>
        <c:axId val="7305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208192"/>
        <c:crosses val="autoZero"/>
        <c:auto val="1"/>
        <c:lblAlgn val="ctr"/>
        <c:lblOffset val="100"/>
        <c:noMultiLvlLbl val="0"/>
      </c:catAx>
      <c:valAx>
        <c:axId val="73208192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30507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Gold'!$D$51</c:f>
              <c:strCache>
                <c:ptCount val="1"/>
                <c:pt idx="0">
                  <c:v>Sep-18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Gold'!$E$51:$U$51</c:f>
              <c:numCache>
                <c:formatCode>0.00%</c:formatCode>
                <c:ptCount val="17"/>
                <c:pt idx="0">
                  <c:v>0.10709962766525714</c:v>
                </c:pt>
                <c:pt idx="1">
                  <c:v>0.10637847204867577</c:v>
                </c:pt>
                <c:pt idx="2">
                  <c:v>0.10555602851336604</c:v>
                </c:pt>
                <c:pt idx="3">
                  <c:v>0.10551869431339819</c:v>
                </c:pt>
                <c:pt idx="4">
                  <c:v>0.10516905772075404</c:v>
                </c:pt>
                <c:pt idx="5">
                  <c:v>0.10512349304944527</c:v>
                </c:pt>
                <c:pt idx="6">
                  <c:v>0.10560348370090081</c:v>
                </c:pt>
                <c:pt idx="7">
                  <c:v>0.10602162458982869</c:v>
                </c:pt>
                <c:pt idx="8">
                  <c:v>0.10639591995981065</c:v>
                </c:pt>
                <c:pt idx="9">
                  <c:v>0.10730544797029534</c:v>
                </c:pt>
                <c:pt idx="10">
                  <c:v>0.10825041248713285</c:v>
                </c:pt>
                <c:pt idx="11">
                  <c:v>0.10929547044515511</c:v>
                </c:pt>
                <c:pt idx="12">
                  <c:v>0.11081917600112678</c:v>
                </c:pt>
                <c:pt idx="13">
                  <c:v>0.1123368054773921</c:v>
                </c:pt>
                <c:pt idx="14">
                  <c:v>0.1139362320341097</c:v>
                </c:pt>
                <c:pt idx="15">
                  <c:v>0.11571939367259999</c:v>
                </c:pt>
                <c:pt idx="16">
                  <c:v>0.11744661037651766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Gold'!$E$87:$U$87</c:f>
              <c:numCache>
                <c:formatCode>0.00%</c:formatCode>
                <c:ptCount val="17"/>
                <c:pt idx="0">
                  <c:v>0.11496869942236185</c:v>
                </c:pt>
                <c:pt idx="1">
                  <c:v>0.1141820567318588</c:v>
                </c:pt>
                <c:pt idx="2">
                  <c:v>0.11358919343230106</c:v>
                </c:pt>
                <c:pt idx="3">
                  <c:v>0.11337116810986911</c:v>
                </c:pt>
                <c:pt idx="4">
                  <c:v>0.11311215373233721</c:v>
                </c:pt>
                <c:pt idx="5">
                  <c:v>0.11309826937603983</c:v>
                </c:pt>
                <c:pt idx="6">
                  <c:v>0.11334390802829319</c:v>
                </c:pt>
                <c:pt idx="7">
                  <c:v>0.11386007614686218</c:v>
                </c:pt>
                <c:pt idx="8">
                  <c:v>0.11465908233207321</c:v>
                </c:pt>
                <c:pt idx="9">
                  <c:v>0.11573590046670522</c:v>
                </c:pt>
                <c:pt idx="10">
                  <c:v>0.11705182476404981</c:v>
                </c:pt>
                <c:pt idx="11">
                  <c:v>0.11857677628251304</c:v>
                </c:pt>
                <c:pt idx="12">
                  <c:v>0.12023744498365457</c:v>
                </c:pt>
                <c:pt idx="13">
                  <c:v>0.12201996440288825</c:v>
                </c:pt>
                <c:pt idx="14">
                  <c:v>0.12388028589773585</c:v>
                </c:pt>
                <c:pt idx="15">
                  <c:v>0.12576306816999749</c:v>
                </c:pt>
                <c:pt idx="16">
                  <c:v>0.12766821819421817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Gold'!$E$63:$U$63</c:f>
              <c:numCache>
                <c:formatCode>0.00%</c:formatCode>
                <c:ptCount val="17"/>
                <c:pt idx="0">
                  <c:v>0.10186665083834505</c:v>
                </c:pt>
                <c:pt idx="1">
                  <c:v>0.10153984571348013</c:v>
                </c:pt>
                <c:pt idx="2">
                  <c:v>0.10167931097058557</c:v>
                </c:pt>
                <c:pt idx="3">
                  <c:v>0.10175551996827867</c:v>
                </c:pt>
                <c:pt idx="4">
                  <c:v>0.10218642215961479</c:v>
                </c:pt>
                <c:pt idx="5">
                  <c:v>0.10253926380997722</c:v>
                </c:pt>
                <c:pt idx="6">
                  <c:v>0.10308588643570045</c:v>
                </c:pt>
                <c:pt idx="7">
                  <c:v>0.10381568655235751</c:v>
                </c:pt>
                <c:pt idx="8">
                  <c:v>0.10474674223300065</c:v>
                </c:pt>
                <c:pt idx="9">
                  <c:v>0.1056441967514207</c:v>
                </c:pt>
                <c:pt idx="10">
                  <c:v>0.10684241451988688</c:v>
                </c:pt>
                <c:pt idx="11">
                  <c:v>0.10785065759922344</c:v>
                </c:pt>
                <c:pt idx="12">
                  <c:v>0.1093256952518309</c:v>
                </c:pt>
                <c:pt idx="13">
                  <c:v>0.11078247327483226</c:v>
                </c:pt>
                <c:pt idx="14">
                  <c:v>0.11230918330183912</c:v>
                </c:pt>
                <c:pt idx="15">
                  <c:v>0.11400861541985076</c:v>
                </c:pt>
                <c:pt idx="16">
                  <c:v>0.11563954737517436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46208"/>
        <c:axId val="73247744"/>
      </c:lineChart>
      <c:catAx>
        <c:axId val="7324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247744"/>
        <c:crosses val="autoZero"/>
        <c:auto val="1"/>
        <c:lblAlgn val="ctr"/>
        <c:lblOffset val="100"/>
        <c:noMultiLvlLbl val="0"/>
      </c:catAx>
      <c:valAx>
        <c:axId val="73247744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3246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123825</xdr:colOff>
          <xdr:row>9</xdr:row>
          <xdr:rowOff>9525</xdr:rowOff>
        </xdr:from>
        <xdr:to>
          <xdr:col>42</xdr:col>
          <xdr:colOff>152400</xdr:colOff>
          <xdr:row>10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577662</xdr:colOff>
      <xdr:row>17</xdr:row>
      <xdr:rowOff>32498</xdr:rowOff>
    </xdr:from>
    <xdr:to>
      <xdr:col>45</xdr:col>
      <xdr:colOff>479051</xdr:colOff>
      <xdr:row>41</xdr:row>
      <xdr:rowOff>122706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100853</xdr:colOff>
      <xdr:row>17</xdr:row>
      <xdr:rowOff>44825</xdr:rowOff>
    </xdr:from>
    <xdr:to>
      <xdr:col>58</xdr:col>
      <xdr:colOff>484094</xdr:colOff>
      <xdr:row>41</xdr:row>
      <xdr:rowOff>135033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605118</xdr:colOff>
      <xdr:row>42</xdr:row>
      <xdr:rowOff>78441</xdr:rowOff>
    </xdr:from>
    <xdr:to>
      <xdr:col>45</xdr:col>
      <xdr:colOff>506507</xdr:colOff>
      <xdr:row>67</xdr:row>
      <xdr:rowOff>11766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89648</xdr:colOff>
      <xdr:row>42</xdr:row>
      <xdr:rowOff>67235</xdr:rowOff>
    </xdr:from>
    <xdr:to>
      <xdr:col>58</xdr:col>
      <xdr:colOff>472889</xdr:colOff>
      <xdr:row>67</xdr:row>
      <xdr:rowOff>560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605118</xdr:colOff>
      <xdr:row>67</xdr:row>
      <xdr:rowOff>78441</xdr:rowOff>
    </xdr:from>
    <xdr:to>
      <xdr:col>45</xdr:col>
      <xdr:colOff>506507</xdr:colOff>
      <xdr:row>92</xdr:row>
      <xdr:rowOff>11767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78442</xdr:colOff>
      <xdr:row>67</xdr:row>
      <xdr:rowOff>100851</xdr:rowOff>
    </xdr:from>
    <xdr:to>
      <xdr:col>58</xdr:col>
      <xdr:colOff>461683</xdr:colOff>
      <xdr:row>92</xdr:row>
      <xdr:rowOff>34177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</xdr:row>
          <xdr:rowOff>0</xdr:rowOff>
        </xdr:from>
        <xdr:to>
          <xdr:col>3</xdr:col>
          <xdr:colOff>1485900</xdr:colOff>
          <xdr:row>3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Weeklies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27"/>
  <sheetViews>
    <sheetView workbookViewId="0">
      <selection activeCell="P22" sqref="P22"/>
    </sheetView>
  </sheetViews>
  <sheetFormatPr defaultRowHeight="12.75"/>
  <cols>
    <col min="1" max="1" width="10.140625" bestFit="1" customWidth="1"/>
    <col min="5" max="5" width="10.140625" bestFit="1" customWidth="1"/>
    <col min="9" max="9" width="10.140625" bestFit="1" customWidth="1"/>
  </cols>
  <sheetData>
    <row r="1" spans="1:12">
      <c r="A1" s="136">
        <v>39681</v>
      </c>
      <c r="B1">
        <v>2769</v>
      </c>
      <c r="C1">
        <v>2769</v>
      </c>
      <c r="D1">
        <v>2860</v>
      </c>
      <c r="E1" s="136">
        <v>39681</v>
      </c>
      <c r="F1">
        <v>43.7</v>
      </c>
      <c r="G1">
        <v>43.195</v>
      </c>
      <c r="H1">
        <v>43.98</v>
      </c>
      <c r="I1" s="136">
        <v>39681</v>
      </c>
      <c r="J1">
        <v>36.18</v>
      </c>
      <c r="K1">
        <v>35.79</v>
      </c>
      <c r="L1">
        <v>36.6</v>
      </c>
    </row>
    <row r="2" spans="1:12">
      <c r="A2" s="136">
        <v>39682</v>
      </c>
      <c r="B2">
        <v>2845.25</v>
      </c>
      <c r="C2">
        <v>2774</v>
      </c>
      <c r="D2">
        <v>2859</v>
      </c>
      <c r="E2" s="136">
        <v>39682</v>
      </c>
      <c r="F2">
        <v>43.823999999999998</v>
      </c>
      <c r="G2">
        <v>43.405000000000001</v>
      </c>
      <c r="H2">
        <v>44.997</v>
      </c>
      <c r="I2" s="136">
        <v>39682</v>
      </c>
      <c r="J2">
        <v>37.22</v>
      </c>
      <c r="K2">
        <v>36.86</v>
      </c>
      <c r="L2">
        <v>38.25</v>
      </c>
    </row>
    <row r="3" spans="1:12">
      <c r="A3" s="136">
        <v>39683</v>
      </c>
      <c r="B3">
        <v>2845.25</v>
      </c>
      <c r="C3">
        <v>2774</v>
      </c>
      <c r="D3">
        <v>2859</v>
      </c>
      <c r="E3" s="136">
        <v>39683</v>
      </c>
      <c r="F3">
        <v>43.823999999999998</v>
      </c>
      <c r="G3">
        <v>43.405000000000001</v>
      </c>
      <c r="H3">
        <v>44.997</v>
      </c>
      <c r="I3" s="136">
        <v>39683</v>
      </c>
      <c r="J3">
        <v>37.22</v>
      </c>
      <c r="K3">
        <v>36.86</v>
      </c>
      <c r="L3">
        <v>38.25</v>
      </c>
    </row>
    <row r="4" spans="1:12">
      <c r="A4" s="136">
        <v>39684</v>
      </c>
      <c r="B4">
        <v>2845.25</v>
      </c>
      <c r="C4">
        <v>2774</v>
      </c>
      <c r="D4">
        <v>2859</v>
      </c>
      <c r="E4" s="136">
        <v>39684</v>
      </c>
      <c r="F4">
        <v>43.823999999999998</v>
      </c>
      <c r="G4">
        <v>43.405000000000001</v>
      </c>
      <c r="H4">
        <v>44.997</v>
      </c>
      <c r="I4" s="136">
        <v>39684</v>
      </c>
      <c r="J4">
        <v>37.22</v>
      </c>
      <c r="K4">
        <v>36.86</v>
      </c>
      <c r="L4">
        <v>38.25</v>
      </c>
    </row>
    <row r="5" spans="1:12">
      <c r="A5" s="136">
        <v>39685</v>
      </c>
      <c r="B5">
        <v>2845.25</v>
      </c>
      <c r="C5">
        <v>2774</v>
      </c>
      <c r="D5">
        <v>2859</v>
      </c>
      <c r="E5" s="136">
        <v>39685</v>
      </c>
      <c r="F5">
        <v>45.009</v>
      </c>
      <c r="G5">
        <v>43.808999999999997</v>
      </c>
      <c r="H5">
        <v>45.012999999999998</v>
      </c>
      <c r="I5" s="136">
        <v>39685</v>
      </c>
      <c r="J5">
        <v>37.4</v>
      </c>
      <c r="K5">
        <v>36.08</v>
      </c>
      <c r="L5">
        <v>37.450000000000003</v>
      </c>
    </row>
    <row r="6" spans="1:12">
      <c r="A6" s="136">
        <v>39686</v>
      </c>
      <c r="B6">
        <v>2793</v>
      </c>
      <c r="C6">
        <v>2745</v>
      </c>
      <c r="D6">
        <v>2803</v>
      </c>
      <c r="E6" s="136">
        <v>39686</v>
      </c>
      <c r="F6">
        <v>43.781999999999996</v>
      </c>
      <c r="G6">
        <v>43.497999999999998</v>
      </c>
      <c r="H6">
        <v>44.5</v>
      </c>
      <c r="I6" s="136">
        <v>39686</v>
      </c>
      <c r="J6">
        <v>36.17</v>
      </c>
      <c r="K6">
        <v>35.9</v>
      </c>
      <c r="L6">
        <v>37.119999999999997</v>
      </c>
    </row>
    <row r="7" spans="1:12">
      <c r="A7" s="136">
        <v>39687</v>
      </c>
      <c r="B7">
        <v>2775</v>
      </c>
      <c r="C7">
        <v>2765</v>
      </c>
      <c r="D7">
        <v>2795</v>
      </c>
      <c r="E7" s="136">
        <v>39687</v>
      </c>
      <c r="F7">
        <v>44.231999999999999</v>
      </c>
      <c r="G7">
        <v>43.497999999999998</v>
      </c>
      <c r="H7">
        <v>44.57</v>
      </c>
      <c r="I7" s="136">
        <v>39687</v>
      </c>
      <c r="J7">
        <v>36.549999999999997</v>
      </c>
      <c r="K7">
        <v>35.869999999999997</v>
      </c>
      <c r="L7">
        <v>37.22</v>
      </c>
    </row>
    <row r="8" spans="1:12">
      <c r="A8" s="136">
        <v>39688</v>
      </c>
      <c r="B8">
        <v>2776</v>
      </c>
      <c r="C8">
        <v>2725</v>
      </c>
      <c r="D8">
        <v>2780</v>
      </c>
      <c r="E8" s="136">
        <v>39688</v>
      </c>
      <c r="F8">
        <v>44.173999999999999</v>
      </c>
      <c r="G8">
        <v>43.704000000000001</v>
      </c>
      <c r="H8">
        <v>45.393999999999998</v>
      </c>
      <c r="I8" s="136">
        <v>39688</v>
      </c>
      <c r="J8">
        <v>37.659999999999997</v>
      </c>
      <c r="K8">
        <v>37.229999999999997</v>
      </c>
      <c r="L8">
        <v>38.880000000000003</v>
      </c>
    </row>
    <row r="9" spans="1:12">
      <c r="A9" s="136">
        <v>39689</v>
      </c>
      <c r="B9">
        <v>2738</v>
      </c>
      <c r="C9">
        <v>2714</v>
      </c>
      <c r="D9">
        <v>2748</v>
      </c>
      <c r="E9" s="136">
        <v>39689</v>
      </c>
      <c r="F9">
        <v>45.152999999999999</v>
      </c>
      <c r="G9">
        <v>44.923999999999999</v>
      </c>
      <c r="H9">
        <v>45.664999999999999</v>
      </c>
      <c r="I9" s="136">
        <v>39689</v>
      </c>
      <c r="J9">
        <v>38.51</v>
      </c>
      <c r="K9">
        <v>38.090000000000003</v>
      </c>
      <c r="L9">
        <v>38.94</v>
      </c>
    </row>
    <row r="10" spans="1:12">
      <c r="A10" s="136">
        <v>39690</v>
      </c>
      <c r="B10">
        <v>2738</v>
      </c>
      <c r="C10">
        <v>2714</v>
      </c>
      <c r="D10">
        <v>2748</v>
      </c>
      <c r="E10" s="136">
        <v>39690</v>
      </c>
      <c r="F10">
        <v>45.152999999999999</v>
      </c>
      <c r="G10">
        <v>44.923999999999999</v>
      </c>
      <c r="H10">
        <v>45.664999999999999</v>
      </c>
      <c r="I10" s="136">
        <v>39690</v>
      </c>
      <c r="J10">
        <v>38.51</v>
      </c>
      <c r="K10">
        <v>38.090000000000003</v>
      </c>
      <c r="L10">
        <v>38.94</v>
      </c>
    </row>
    <row r="11" spans="1:12">
      <c r="A11" s="136">
        <v>39691</v>
      </c>
      <c r="B11">
        <v>2738</v>
      </c>
      <c r="C11">
        <v>2714</v>
      </c>
      <c r="D11">
        <v>2748</v>
      </c>
      <c r="E11" s="136">
        <v>39691</v>
      </c>
      <c r="F11">
        <v>45.152999999999999</v>
      </c>
      <c r="G11">
        <v>44.923999999999999</v>
      </c>
      <c r="H11">
        <v>45.664999999999999</v>
      </c>
      <c r="I11" s="136">
        <v>39691</v>
      </c>
      <c r="J11">
        <v>38.51</v>
      </c>
      <c r="K11">
        <v>38.090000000000003</v>
      </c>
      <c r="L11">
        <v>38.94</v>
      </c>
    </row>
    <row r="12" spans="1:12">
      <c r="A12" s="136">
        <v>39692</v>
      </c>
      <c r="B12">
        <v>2723</v>
      </c>
      <c r="C12">
        <v>2685</v>
      </c>
      <c r="D12">
        <v>2725</v>
      </c>
      <c r="E12" s="136">
        <v>39692</v>
      </c>
      <c r="F12">
        <v>44.783999999999999</v>
      </c>
      <c r="G12">
        <v>44.423000000000002</v>
      </c>
      <c r="H12">
        <v>45.588000000000001</v>
      </c>
      <c r="I12" s="136">
        <v>39692</v>
      </c>
      <c r="J12">
        <v>38.51</v>
      </c>
      <c r="K12">
        <v>38.090000000000003</v>
      </c>
      <c r="L12">
        <v>38.94</v>
      </c>
    </row>
    <row r="13" spans="1:12">
      <c r="A13" s="136">
        <v>39693</v>
      </c>
      <c r="B13">
        <v>2710</v>
      </c>
      <c r="C13">
        <v>2665.5</v>
      </c>
      <c r="D13">
        <v>2711</v>
      </c>
      <c r="E13" s="136">
        <v>39693</v>
      </c>
      <c r="F13">
        <v>45.128999999999998</v>
      </c>
      <c r="G13">
        <v>45.128999999999998</v>
      </c>
      <c r="H13">
        <v>46.761000000000003</v>
      </c>
      <c r="I13" s="136">
        <v>39693</v>
      </c>
      <c r="J13">
        <v>39.56</v>
      </c>
      <c r="K13">
        <v>38.5</v>
      </c>
      <c r="L13">
        <v>40.020000000000003</v>
      </c>
    </row>
    <row r="14" spans="1:12">
      <c r="A14" s="136">
        <v>39694</v>
      </c>
      <c r="B14">
        <v>2700</v>
      </c>
      <c r="C14">
        <v>2672</v>
      </c>
      <c r="D14">
        <v>2702</v>
      </c>
      <c r="E14" s="136">
        <v>39694</v>
      </c>
      <c r="F14">
        <v>46.05</v>
      </c>
      <c r="G14">
        <v>45.637999999999998</v>
      </c>
      <c r="H14">
        <v>46.814999999999998</v>
      </c>
      <c r="I14" s="136">
        <v>39694</v>
      </c>
      <c r="J14">
        <v>38.909999999999997</v>
      </c>
      <c r="K14">
        <v>38.44</v>
      </c>
      <c r="L14">
        <v>39.75</v>
      </c>
    </row>
    <row r="15" spans="1:12">
      <c r="A15" s="136">
        <v>39695</v>
      </c>
      <c r="B15">
        <v>2680</v>
      </c>
      <c r="C15">
        <v>2671</v>
      </c>
      <c r="D15">
        <v>2709</v>
      </c>
      <c r="E15" s="136">
        <v>39695</v>
      </c>
      <c r="F15">
        <v>46.244</v>
      </c>
      <c r="G15">
        <v>44.508000000000003</v>
      </c>
      <c r="H15">
        <v>46.674999999999997</v>
      </c>
      <c r="I15" s="136">
        <v>39695</v>
      </c>
      <c r="J15">
        <v>39.299999999999997</v>
      </c>
      <c r="K15">
        <v>37.83</v>
      </c>
      <c r="L15">
        <v>39.78</v>
      </c>
    </row>
    <row r="16" spans="1:12">
      <c r="A16" s="136">
        <v>39696</v>
      </c>
      <c r="B16">
        <v>2675</v>
      </c>
      <c r="C16">
        <v>2630</v>
      </c>
      <c r="D16">
        <v>2680</v>
      </c>
      <c r="E16" s="136">
        <v>39696</v>
      </c>
      <c r="F16">
        <v>44.616999999999997</v>
      </c>
      <c r="G16">
        <v>43.591000000000001</v>
      </c>
      <c r="H16">
        <v>44.904000000000003</v>
      </c>
      <c r="I16" s="136">
        <v>39696</v>
      </c>
      <c r="J16">
        <v>37.5</v>
      </c>
      <c r="K16">
        <v>37.35</v>
      </c>
      <c r="L16">
        <v>39.75</v>
      </c>
    </row>
    <row r="17" spans="1:12">
      <c r="A17" s="136">
        <v>39697</v>
      </c>
      <c r="B17">
        <v>2675</v>
      </c>
      <c r="C17">
        <v>2630</v>
      </c>
      <c r="D17">
        <v>2680</v>
      </c>
      <c r="E17" s="136">
        <v>39697</v>
      </c>
      <c r="F17">
        <v>44.616999999999997</v>
      </c>
      <c r="G17">
        <v>43.591000000000001</v>
      </c>
      <c r="H17">
        <v>44.904000000000003</v>
      </c>
      <c r="I17" s="136">
        <v>39697</v>
      </c>
      <c r="J17">
        <v>37.5</v>
      </c>
      <c r="K17">
        <v>37.35</v>
      </c>
      <c r="L17">
        <v>39.75</v>
      </c>
    </row>
    <row r="18" spans="1:12">
      <c r="A18" s="136">
        <v>39698</v>
      </c>
      <c r="B18">
        <v>2675</v>
      </c>
      <c r="C18">
        <v>2630</v>
      </c>
      <c r="D18">
        <v>2680</v>
      </c>
      <c r="E18" s="136">
        <v>39698</v>
      </c>
      <c r="F18">
        <v>44.616999999999997</v>
      </c>
      <c r="G18">
        <v>43.591000000000001</v>
      </c>
      <c r="H18">
        <v>44.904000000000003</v>
      </c>
      <c r="I18" s="136">
        <v>39698</v>
      </c>
      <c r="J18">
        <v>37.5</v>
      </c>
      <c r="K18">
        <v>37.35</v>
      </c>
      <c r="L18">
        <v>39.75</v>
      </c>
    </row>
    <row r="19" spans="1:12">
      <c r="A19" s="136">
        <v>39699</v>
      </c>
      <c r="B19">
        <v>2660</v>
      </c>
      <c r="C19">
        <v>2636</v>
      </c>
      <c r="D19">
        <v>2675</v>
      </c>
      <c r="E19" s="136">
        <v>39699</v>
      </c>
      <c r="F19">
        <v>46.213000000000001</v>
      </c>
      <c r="G19">
        <v>46.076999999999998</v>
      </c>
      <c r="H19">
        <v>47.917999999999999</v>
      </c>
      <c r="I19" s="136">
        <v>39699</v>
      </c>
      <c r="J19">
        <v>42.39</v>
      </c>
      <c r="K19">
        <v>40</v>
      </c>
      <c r="L19">
        <v>43.66</v>
      </c>
    </row>
    <row r="20" spans="1:12">
      <c r="A20" s="136">
        <v>39700</v>
      </c>
      <c r="B20">
        <v>2644</v>
      </c>
      <c r="C20">
        <v>2595</v>
      </c>
      <c r="D20">
        <v>2647.5</v>
      </c>
      <c r="E20" s="136">
        <v>39700</v>
      </c>
      <c r="F20">
        <v>46.862000000000002</v>
      </c>
      <c r="G20">
        <v>46.542999999999999</v>
      </c>
      <c r="H20">
        <v>48.807000000000002</v>
      </c>
      <c r="I20" s="136">
        <v>39700</v>
      </c>
      <c r="J20">
        <v>40.81</v>
      </c>
      <c r="K20">
        <v>39.450000000000003</v>
      </c>
      <c r="L20">
        <v>41.94</v>
      </c>
    </row>
    <row r="21" spans="1:12">
      <c r="A21" s="136">
        <v>39701</v>
      </c>
      <c r="B21">
        <v>2595</v>
      </c>
      <c r="C21">
        <v>2586</v>
      </c>
      <c r="D21">
        <v>2635</v>
      </c>
      <c r="E21" s="136">
        <v>39701</v>
      </c>
      <c r="F21">
        <v>47.466999999999999</v>
      </c>
      <c r="G21">
        <v>46.915999999999997</v>
      </c>
      <c r="H21">
        <v>48.158999999999999</v>
      </c>
      <c r="I21" s="136">
        <v>39701</v>
      </c>
      <c r="J21">
        <v>39.99</v>
      </c>
      <c r="K21">
        <v>38.79</v>
      </c>
      <c r="L21">
        <v>40.44</v>
      </c>
    </row>
    <row r="22" spans="1:12">
      <c r="A22" s="136">
        <v>39702</v>
      </c>
      <c r="B22">
        <v>2610</v>
      </c>
      <c r="C22">
        <v>2586</v>
      </c>
      <c r="D22">
        <v>2634</v>
      </c>
      <c r="E22" s="136">
        <v>39702</v>
      </c>
      <c r="F22">
        <v>47.354999999999997</v>
      </c>
      <c r="G22">
        <v>44.845999999999997</v>
      </c>
      <c r="H22">
        <v>47.354999999999997</v>
      </c>
      <c r="I22" s="136">
        <v>39702</v>
      </c>
      <c r="J22">
        <v>38.25</v>
      </c>
      <c r="K22">
        <v>37.92</v>
      </c>
      <c r="L22">
        <v>41.69</v>
      </c>
    </row>
    <row r="23" spans="1:12">
      <c r="A23" s="136">
        <v>39703</v>
      </c>
      <c r="B23">
        <v>2625</v>
      </c>
      <c r="C23">
        <v>2617</v>
      </c>
      <c r="D23">
        <v>2672</v>
      </c>
      <c r="E23" s="136">
        <v>39703</v>
      </c>
      <c r="F23">
        <v>46.073</v>
      </c>
      <c r="G23">
        <v>43.828000000000003</v>
      </c>
      <c r="H23">
        <v>47.070999999999998</v>
      </c>
      <c r="I23" s="136">
        <v>39703</v>
      </c>
      <c r="J23">
        <v>40.840000000000003</v>
      </c>
      <c r="K23">
        <v>40.19</v>
      </c>
      <c r="L23">
        <v>41.96</v>
      </c>
    </row>
    <row r="24" spans="1:12">
      <c r="A24" s="136">
        <v>39704</v>
      </c>
      <c r="B24">
        <v>2625</v>
      </c>
      <c r="C24">
        <v>2617</v>
      </c>
      <c r="D24">
        <v>2672</v>
      </c>
      <c r="E24" s="136">
        <v>39704</v>
      </c>
      <c r="F24">
        <v>46.073</v>
      </c>
      <c r="G24">
        <v>43.828000000000003</v>
      </c>
      <c r="H24">
        <v>47.070999999999998</v>
      </c>
      <c r="I24" s="136">
        <v>39704</v>
      </c>
      <c r="J24">
        <v>40.840000000000003</v>
      </c>
      <c r="K24">
        <v>40.19</v>
      </c>
      <c r="L24">
        <v>41.96</v>
      </c>
    </row>
    <row r="25" spans="1:12">
      <c r="A25" s="136">
        <v>39705</v>
      </c>
      <c r="B25">
        <v>2625</v>
      </c>
      <c r="C25">
        <v>2617</v>
      </c>
      <c r="D25">
        <v>2672</v>
      </c>
      <c r="E25" s="136">
        <v>39705</v>
      </c>
      <c r="F25">
        <v>46.073</v>
      </c>
      <c r="G25">
        <v>43.828000000000003</v>
      </c>
      <c r="H25">
        <v>47.070999999999998</v>
      </c>
      <c r="I25" s="136">
        <v>39705</v>
      </c>
      <c r="J25">
        <v>40.840000000000003</v>
      </c>
      <c r="K25">
        <v>40.19</v>
      </c>
      <c r="L25">
        <v>41.96</v>
      </c>
    </row>
    <row r="26" spans="1:12">
      <c r="A26" s="136">
        <v>39706</v>
      </c>
      <c r="B26">
        <v>2664</v>
      </c>
      <c r="C26">
        <v>2562</v>
      </c>
      <c r="D26">
        <v>2670</v>
      </c>
      <c r="E26" s="136">
        <v>39706</v>
      </c>
      <c r="F26">
        <v>43.497999999999998</v>
      </c>
      <c r="G26">
        <v>40.390999999999998</v>
      </c>
      <c r="H26">
        <v>43.497999999999998</v>
      </c>
      <c r="I26" s="136">
        <v>39706</v>
      </c>
      <c r="J26">
        <v>38.39</v>
      </c>
      <c r="K26">
        <v>37</v>
      </c>
      <c r="L26">
        <v>41.85</v>
      </c>
    </row>
    <row r="27" spans="1:12">
      <c r="A27" s="136">
        <v>39707</v>
      </c>
      <c r="B27">
        <v>2571</v>
      </c>
      <c r="C27">
        <v>2512</v>
      </c>
      <c r="D27">
        <v>2575</v>
      </c>
      <c r="E27" s="136">
        <v>39707</v>
      </c>
      <c r="F27">
        <v>40.648000000000003</v>
      </c>
      <c r="G27">
        <v>38.914999999999999</v>
      </c>
      <c r="H27">
        <v>41.323</v>
      </c>
      <c r="I27" s="136">
        <v>39707</v>
      </c>
      <c r="J27">
        <v>35.58</v>
      </c>
      <c r="K27">
        <v>35.020000000000003</v>
      </c>
      <c r="L27">
        <v>40.950000000000003</v>
      </c>
    </row>
    <row r="28" spans="1:12">
      <c r="A28" s="136">
        <v>39708</v>
      </c>
      <c r="B28">
        <v>2538</v>
      </c>
      <c r="C28">
        <v>2492</v>
      </c>
      <c r="D28">
        <v>2555</v>
      </c>
      <c r="E28" s="136">
        <v>39708</v>
      </c>
      <c r="F28">
        <v>42.158000000000001</v>
      </c>
      <c r="G28">
        <v>38.069000000000003</v>
      </c>
      <c r="H28">
        <v>42.332999999999998</v>
      </c>
      <c r="I28" s="136">
        <v>39708</v>
      </c>
      <c r="J28">
        <v>39.08</v>
      </c>
      <c r="K28">
        <v>35.5</v>
      </c>
      <c r="L28">
        <v>40.68</v>
      </c>
    </row>
    <row r="29" spans="1:12">
      <c r="A29" s="136">
        <v>39709</v>
      </c>
      <c r="B29">
        <v>2515</v>
      </c>
      <c r="C29">
        <v>2487</v>
      </c>
      <c r="D29">
        <v>2547</v>
      </c>
      <c r="E29" s="136">
        <v>39709</v>
      </c>
      <c r="F29">
        <v>38.884</v>
      </c>
      <c r="G29">
        <v>37.936999999999998</v>
      </c>
      <c r="H29">
        <v>41.572000000000003</v>
      </c>
      <c r="I29" s="136">
        <v>39709</v>
      </c>
      <c r="J29">
        <v>36.53</v>
      </c>
      <c r="K29">
        <v>34.04</v>
      </c>
      <c r="L29">
        <v>41.05</v>
      </c>
    </row>
    <row r="30" spans="1:12">
      <c r="A30" s="136">
        <v>39710</v>
      </c>
      <c r="B30">
        <v>2515</v>
      </c>
      <c r="C30">
        <v>2499</v>
      </c>
      <c r="D30">
        <v>2570</v>
      </c>
      <c r="E30" s="136">
        <v>39710</v>
      </c>
      <c r="F30">
        <v>43.933</v>
      </c>
      <c r="G30">
        <v>42.728999999999999</v>
      </c>
      <c r="H30">
        <v>48.515999999999998</v>
      </c>
      <c r="I30" s="136">
        <v>39710</v>
      </c>
      <c r="J30">
        <v>47</v>
      </c>
      <c r="K30">
        <v>42.55</v>
      </c>
      <c r="L30">
        <v>48</v>
      </c>
    </row>
    <row r="31" spans="1:12">
      <c r="A31" s="136">
        <v>39711</v>
      </c>
      <c r="B31">
        <v>2515</v>
      </c>
      <c r="C31">
        <v>2499</v>
      </c>
      <c r="D31">
        <v>2570</v>
      </c>
      <c r="E31" s="136">
        <v>39711</v>
      </c>
      <c r="F31">
        <v>43.933</v>
      </c>
      <c r="G31">
        <v>42.728999999999999</v>
      </c>
      <c r="H31">
        <v>48.515999999999998</v>
      </c>
      <c r="I31" s="136">
        <v>39711</v>
      </c>
      <c r="J31">
        <v>47</v>
      </c>
      <c r="K31">
        <v>42.55</v>
      </c>
      <c r="L31">
        <v>48</v>
      </c>
    </row>
    <row r="32" spans="1:12">
      <c r="A32" s="136">
        <v>39712</v>
      </c>
      <c r="B32">
        <v>2515</v>
      </c>
      <c r="C32">
        <v>2499</v>
      </c>
      <c r="D32">
        <v>2570</v>
      </c>
      <c r="E32" s="136">
        <v>39712</v>
      </c>
      <c r="F32">
        <v>43.933</v>
      </c>
      <c r="G32">
        <v>42.728999999999999</v>
      </c>
      <c r="H32">
        <v>48.515999999999998</v>
      </c>
      <c r="I32" s="136">
        <v>39712</v>
      </c>
      <c r="J32">
        <v>47</v>
      </c>
      <c r="K32">
        <v>42.55</v>
      </c>
      <c r="L32">
        <v>48</v>
      </c>
    </row>
    <row r="33" spans="1:12">
      <c r="A33" s="136">
        <v>39713</v>
      </c>
      <c r="B33">
        <v>2550</v>
      </c>
      <c r="C33">
        <v>2540.5</v>
      </c>
      <c r="D33">
        <v>2577</v>
      </c>
      <c r="E33" s="136">
        <v>39713</v>
      </c>
      <c r="F33">
        <v>45.215000000000003</v>
      </c>
      <c r="G33">
        <v>42.197000000000003</v>
      </c>
      <c r="H33">
        <v>45.936999999999998</v>
      </c>
      <c r="I33" s="136">
        <v>39713</v>
      </c>
      <c r="J33">
        <v>45.69</v>
      </c>
      <c r="K33">
        <v>40.75</v>
      </c>
      <c r="L33">
        <v>45.9</v>
      </c>
    </row>
    <row r="34" spans="1:12">
      <c r="A34" s="136">
        <v>39714</v>
      </c>
      <c r="B34">
        <v>2560</v>
      </c>
      <c r="C34">
        <v>2508</v>
      </c>
      <c r="D34">
        <v>2569</v>
      </c>
      <c r="E34" s="136">
        <v>39714</v>
      </c>
      <c r="F34">
        <v>42.177999999999997</v>
      </c>
      <c r="G34">
        <v>40.112000000000002</v>
      </c>
      <c r="H34">
        <v>42.255000000000003</v>
      </c>
      <c r="I34" s="136">
        <v>39714</v>
      </c>
      <c r="J34">
        <v>40.549999999999997</v>
      </c>
      <c r="K34">
        <v>40.06</v>
      </c>
      <c r="L34">
        <v>42.18</v>
      </c>
    </row>
    <row r="35" spans="1:12">
      <c r="A35" s="136">
        <v>39715</v>
      </c>
      <c r="B35">
        <v>2515</v>
      </c>
      <c r="C35">
        <v>2496</v>
      </c>
      <c r="D35">
        <v>2530</v>
      </c>
      <c r="E35" s="136">
        <v>39715</v>
      </c>
      <c r="F35">
        <v>42.015000000000001</v>
      </c>
      <c r="G35">
        <v>41.106000000000002</v>
      </c>
      <c r="H35">
        <v>43.11</v>
      </c>
      <c r="I35" s="136">
        <v>39715</v>
      </c>
      <c r="J35">
        <v>41.5</v>
      </c>
      <c r="K35">
        <v>40.22</v>
      </c>
      <c r="L35">
        <v>42.5</v>
      </c>
    </row>
    <row r="36" spans="1:12">
      <c r="A36" s="136">
        <v>39716</v>
      </c>
      <c r="B36">
        <v>2497</v>
      </c>
      <c r="C36">
        <v>2470</v>
      </c>
      <c r="D36">
        <v>2520</v>
      </c>
      <c r="E36" s="136">
        <v>39716</v>
      </c>
      <c r="F36">
        <v>43.219000000000001</v>
      </c>
      <c r="G36">
        <v>42.177999999999997</v>
      </c>
      <c r="H36">
        <v>44.213000000000001</v>
      </c>
      <c r="I36" s="136">
        <v>39716</v>
      </c>
      <c r="J36">
        <v>42.25</v>
      </c>
      <c r="K36">
        <v>41.3</v>
      </c>
      <c r="L36">
        <v>45</v>
      </c>
    </row>
    <row r="37" spans="1:12">
      <c r="A37" s="136">
        <v>39717</v>
      </c>
      <c r="B37">
        <v>2510</v>
      </c>
      <c r="C37">
        <v>2490</v>
      </c>
      <c r="D37">
        <v>2518</v>
      </c>
      <c r="E37" s="136">
        <v>39717</v>
      </c>
      <c r="F37">
        <v>42.201000000000001</v>
      </c>
      <c r="G37">
        <v>41.097999999999999</v>
      </c>
      <c r="H37">
        <v>43.063000000000002</v>
      </c>
      <c r="I37" s="136">
        <v>39717</v>
      </c>
      <c r="J37">
        <v>40.549999999999997</v>
      </c>
      <c r="K37">
        <v>40.479999999999997</v>
      </c>
      <c r="L37">
        <v>49</v>
      </c>
    </row>
    <row r="38" spans="1:12">
      <c r="A38" s="136">
        <v>39718</v>
      </c>
      <c r="B38">
        <v>2510</v>
      </c>
      <c r="C38">
        <v>2490</v>
      </c>
      <c r="D38">
        <v>2518</v>
      </c>
      <c r="E38" s="136">
        <v>39718</v>
      </c>
      <c r="F38">
        <v>42.201000000000001</v>
      </c>
      <c r="G38">
        <v>41.097999999999999</v>
      </c>
      <c r="H38">
        <v>43.063000000000002</v>
      </c>
      <c r="I38" s="136">
        <v>39718</v>
      </c>
      <c r="J38">
        <v>40.549999999999997</v>
      </c>
      <c r="K38">
        <v>40.479999999999997</v>
      </c>
      <c r="L38">
        <v>49</v>
      </c>
    </row>
    <row r="39" spans="1:12">
      <c r="A39" s="136">
        <v>39719</v>
      </c>
      <c r="B39">
        <v>2510</v>
      </c>
      <c r="C39">
        <v>2490</v>
      </c>
      <c r="D39">
        <v>2518</v>
      </c>
      <c r="E39" s="136">
        <v>39719</v>
      </c>
      <c r="F39">
        <v>42.201000000000001</v>
      </c>
      <c r="G39">
        <v>41.097999999999999</v>
      </c>
      <c r="H39">
        <v>43.063000000000002</v>
      </c>
      <c r="I39" s="136">
        <v>39719</v>
      </c>
      <c r="J39">
        <v>40.549999999999997</v>
      </c>
      <c r="K39">
        <v>40.479999999999997</v>
      </c>
      <c r="L39">
        <v>49</v>
      </c>
    </row>
    <row r="40" spans="1:12">
      <c r="A40" s="136">
        <v>39720</v>
      </c>
      <c r="B40">
        <v>2503</v>
      </c>
      <c r="C40">
        <v>2420</v>
      </c>
      <c r="D40">
        <v>2503</v>
      </c>
      <c r="E40" s="136">
        <v>39720</v>
      </c>
      <c r="F40">
        <v>42.643999999999998</v>
      </c>
      <c r="G40">
        <v>37.828000000000003</v>
      </c>
      <c r="H40">
        <v>42.643999999999998</v>
      </c>
      <c r="I40" s="136">
        <v>39720</v>
      </c>
      <c r="J40">
        <v>46.58</v>
      </c>
      <c r="K40">
        <v>40.998899999999999</v>
      </c>
      <c r="L40">
        <v>47.5</v>
      </c>
    </row>
    <row r="41" spans="1:12">
      <c r="A41" s="136">
        <v>39721</v>
      </c>
      <c r="B41">
        <v>2420</v>
      </c>
      <c r="C41">
        <v>2404.85</v>
      </c>
      <c r="D41">
        <v>2458</v>
      </c>
      <c r="E41" s="136">
        <v>39721</v>
      </c>
      <c r="F41">
        <v>36.43</v>
      </c>
      <c r="G41">
        <v>36.43</v>
      </c>
      <c r="H41">
        <v>39.164000000000001</v>
      </c>
      <c r="I41" s="136">
        <v>39721</v>
      </c>
      <c r="J41">
        <v>44.63</v>
      </c>
      <c r="K41">
        <v>43.77</v>
      </c>
      <c r="L41">
        <v>47.39</v>
      </c>
    </row>
    <row r="42" spans="1:12">
      <c r="A42" s="136">
        <v>39722</v>
      </c>
      <c r="B42">
        <v>2442</v>
      </c>
      <c r="C42">
        <v>2406</v>
      </c>
      <c r="D42">
        <v>2450</v>
      </c>
      <c r="E42" s="136">
        <v>39722</v>
      </c>
      <c r="F42">
        <v>40.197000000000003</v>
      </c>
      <c r="G42">
        <v>37.401000000000003</v>
      </c>
      <c r="H42">
        <v>40.197000000000003</v>
      </c>
      <c r="I42" s="136">
        <v>39722</v>
      </c>
      <c r="J42">
        <v>46.91</v>
      </c>
      <c r="K42">
        <v>46.3</v>
      </c>
      <c r="L42">
        <v>50</v>
      </c>
    </row>
    <row r="43" spans="1:12">
      <c r="A43" s="136">
        <v>39723</v>
      </c>
      <c r="B43">
        <v>2410.25</v>
      </c>
      <c r="C43">
        <v>2285</v>
      </c>
      <c r="D43">
        <v>2425</v>
      </c>
      <c r="E43" s="136">
        <v>39723</v>
      </c>
      <c r="F43">
        <v>39.840000000000003</v>
      </c>
      <c r="G43">
        <v>38.378999999999998</v>
      </c>
      <c r="H43">
        <v>40.698</v>
      </c>
      <c r="I43" s="136">
        <v>39723</v>
      </c>
      <c r="J43">
        <v>49.25</v>
      </c>
      <c r="K43">
        <v>46.72</v>
      </c>
      <c r="L43">
        <v>49.85</v>
      </c>
    </row>
    <row r="44" spans="1:12">
      <c r="A44" s="136">
        <v>39724</v>
      </c>
      <c r="B44">
        <v>2310</v>
      </c>
      <c r="C44">
        <v>2261</v>
      </c>
      <c r="D44">
        <v>2357</v>
      </c>
      <c r="E44" s="136">
        <v>39724</v>
      </c>
      <c r="F44">
        <v>38.293999999999997</v>
      </c>
      <c r="G44">
        <v>38.293999999999997</v>
      </c>
      <c r="H44">
        <v>42.192999999999998</v>
      </c>
      <c r="I44" s="136">
        <v>39724</v>
      </c>
      <c r="J44">
        <v>50.31</v>
      </c>
      <c r="K44">
        <v>45.23</v>
      </c>
      <c r="L44">
        <v>50.63</v>
      </c>
    </row>
    <row r="45" spans="1:12">
      <c r="A45" s="136">
        <v>39725</v>
      </c>
      <c r="B45">
        <v>2310</v>
      </c>
      <c r="C45">
        <v>2261</v>
      </c>
      <c r="D45">
        <v>2357</v>
      </c>
      <c r="E45" s="136">
        <v>39725</v>
      </c>
      <c r="F45">
        <v>38.293999999999997</v>
      </c>
      <c r="G45">
        <v>38.293999999999997</v>
      </c>
      <c r="H45">
        <v>42.192999999999998</v>
      </c>
      <c r="I45" s="136">
        <v>39725</v>
      </c>
      <c r="J45">
        <v>50.31</v>
      </c>
      <c r="K45">
        <v>45.23</v>
      </c>
      <c r="L45">
        <v>50.63</v>
      </c>
    </row>
    <row r="46" spans="1:12">
      <c r="A46" s="136">
        <v>39726</v>
      </c>
      <c r="B46">
        <v>2310</v>
      </c>
      <c r="C46">
        <v>2261</v>
      </c>
      <c r="D46">
        <v>2357</v>
      </c>
      <c r="E46" s="136">
        <v>39726</v>
      </c>
      <c r="F46">
        <v>38.293999999999997</v>
      </c>
      <c r="G46">
        <v>38.293999999999997</v>
      </c>
      <c r="H46">
        <v>42.192999999999998</v>
      </c>
      <c r="I46" s="136">
        <v>39726</v>
      </c>
      <c r="J46">
        <v>50.31</v>
      </c>
      <c r="K46">
        <v>45.23</v>
      </c>
      <c r="L46">
        <v>50.63</v>
      </c>
    </row>
    <row r="47" spans="1:12">
      <c r="A47" s="136">
        <v>39727</v>
      </c>
      <c r="B47">
        <v>2328</v>
      </c>
      <c r="C47">
        <v>2235</v>
      </c>
      <c r="D47">
        <v>2328</v>
      </c>
      <c r="E47" s="136">
        <v>39727</v>
      </c>
      <c r="F47">
        <v>37.323</v>
      </c>
      <c r="G47">
        <v>34.993000000000002</v>
      </c>
      <c r="H47">
        <v>39.225999999999999</v>
      </c>
      <c r="I47" s="136">
        <v>39727</v>
      </c>
      <c r="J47">
        <v>43.49</v>
      </c>
      <c r="K47">
        <v>41.7</v>
      </c>
      <c r="L47">
        <v>45.15</v>
      </c>
    </row>
    <row r="48" spans="1:12">
      <c r="A48" s="136">
        <v>39728</v>
      </c>
      <c r="B48">
        <v>2245</v>
      </c>
      <c r="C48">
        <v>2245</v>
      </c>
      <c r="D48">
        <v>2305</v>
      </c>
      <c r="E48" s="136">
        <v>39728</v>
      </c>
      <c r="F48">
        <v>37.905999999999999</v>
      </c>
      <c r="G48">
        <v>31.459</v>
      </c>
      <c r="H48">
        <v>38.216000000000001</v>
      </c>
      <c r="I48" s="136">
        <v>39728</v>
      </c>
      <c r="J48">
        <v>45.43</v>
      </c>
      <c r="K48">
        <v>39.31</v>
      </c>
      <c r="L48">
        <v>45.74</v>
      </c>
    </row>
    <row r="49" spans="1:12">
      <c r="A49" s="136">
        <v>39729</v>
      </c>
      <c r="B49">
        <v>2270</v>
      </c>
      <c r="C49">
        <v>2230</v>
      </c>
      <c r="D49">
        <v>2330</v>
      </c>
      <c r="E49" s="136">
        <v>39729</v>
      </c>
      <c r="F49">
        <v>31.07</v>
      </c>
      <c r="G49">
        <v>28.960999999999999</v>
      </c>
      <c r="H49">
        <v>33.789000000000001</v>
      </c>
      <c r="I49" s="136">
        <v>39729</v>
      </c>
      <c r="J49">
        <v>38.93</v>
      </c>
      <c r="K49">
        <v>38.5</v>
      </c>
      <c r="L49">
        <v>43.55</v>
      </c>
    </row>
    <row r="50" spans="1:12">
      <c r="A50" s="136">
        <v>39730</v>
      </c>
      <c r="B50">
        <v>2275</v>
      </c>
      <c r="C50">
        <v>2256</v>
      </c>
      <c r="D50">
        <v>2319</v>
      </c>
      <c r="E50" s="136">
        <v>39730</v>
      </c>
      <c r="F50">
        <v>32.624000000000002</v>
      </c>
      <c r="G50">
        <v>27.847000000000001</v>
      </c>
      <c r="H50">
        <v>32.856999999999999</v>
      </c>
      <c r="I50" s="136">
        <v>39730</v>
      </c>
      <c r="J50">
        <v>41.03</v>
      </c>
      <c r="K50">
        <v>36.630000000000003</v>
      </c>
      <c r="L50">
        <v>42.69</v>
      </c>
    </row>
    <row r="51" spans="1:12">
      <c r="A51" s="136">
        <v>39731</v>
      </c>
      <c r="B51">
        <v>2280</v>
      </c>
      <c r="C51">
        <v>2150</v>
      </c>
      <c r="D51">
        <v>2285</v>
      </c>
      <c r="E51" s="136">
        <v>39731</v>
      </c>
      <c r="F51">
        <v>27.186</v>
      </c>
      <c r="G51">
        <v>23.303000000000001</v>
      </c>
      <c r="H51">
        <v>27.574999999999999</v>
      </c>
      <c r="I51" s="136">
        <v>39731</v>
      </c>
      <c r="J51">
        <v>35.03</v>
      </c>
      <c r="K51">
        <v>35.020000000000003</v>
      </c>
      <c r="L51">
        <v>42</v>
      </c>
    </row>
    <row r="52" spans="1:12">
      <c r="A52" s="136">
        <v>39732</v>
      </c>
      <c r="B52">
        <v>2280</v>
      </c>
      <c r="C52">
        <v>2150</v>
      </c>
      <c r="D52">
        <v>2285</v>
      </c>
      <c r="E52" s="136">
        <v>39732</v>
      </c>
      <c r="F52">
        <v>27.186</v>
      </c>
      <c r="G52">
        <v>23.303000000000001</v>
      </c>
      <c r="H52">
        <v>27.574999999999999</v>
      </c>
      <c r="I52" s="136">
        <v>39732</v>
      </c>
      <c r="J52">
        <v>35.03</v>
      </c>
      <c r="K52">
        <v>35.020000000000003</v>
      </c>
      <c r="L52">
        <v>42</v>
      </c>
    </row>
    <row r="53" spans="1:12">
      <c r="A53" s="136">
        <v>39733</v>
      </c>
      <c r="B53">
        <v>2280</v>
      </c>
      <c r="C53">
        <v>2150</v>
      </c>
      <c r="D53">
        <v>2285</v>
      </c>
      <c r="E53" s="136">
        <v>39733</v>
      </c>
      <c r="F53">
        <v>27.186</v>
      </c>
      <c r="G53">
        <v>23.303000000000001</v>
      </c>
      <c r="H53">
        <v>27.574999999999999</v>
      </c>
      <c r="I53" s="136">
        <v>39733</v>
      </c>
      <c r="J53">
        <v>35.03</v>
      </c>
      <c r="K53">
        <v>35.020000000000003</v>
      </c>
      <c r="L53">
        <v>42</v>
      </c>
    </row>
    <row r="54" spans="1:12">
      <c r="A54" s="136">
        <v>39734</v>
      </c>
      <c r="B54">
        <v>2235</v>
      </c>
      <c r="C54">
        <v>2215</v>
      </c>
      <c r="D54">
        <v>2290</v>
      </c>
      <c r="E54" s="136">
        <v>39734</v>
      </c>
      <c r="F54">
        <v>31.07</v>
      </c>
      <c r="G54">
        <v>26.254000000000001</v>
      </c>
      <c r="H54">
        <v>31.847000000000001</v>
      </c>
      <c r="I54" s="136">
        <v>39734</v>
      </c>
      <c r="J54">
        <v>43.91</v>
      </c>
      <c r="K54">
        <v>39.659999999999997</v>
      </c>
      <c r="L54">
        <v>44.08</v>
      </c>
    </row>
    <row r="55" spans="1:12">
      <c r="A55" s="136">
        <v>39735</v>
      </c>
      <c r="B55">
        <v>2263</v>
      </c>
      <c r="C55">
        <v>2263</v>
      </c>
      <c r="D55">
        <v>2350</v>
      </c>
      <c r="E55" s="136">
        <v>39735</v>
      </c>
      <c r="F55">
        <v>30.681999999999999</v>
      </c>
      <c r="G55">
        <v>28.981000000000002</v>
      </c>
      <c r="H55">
        <v>32.375</v>
      </c>
      <c r="I55" s="136">
        <v>39735</v>
      </c>
      <c r="J55">
        <v>43.33</v>
      </c>
      <c r="K55">
        <v>39.659999999999997</v>
      </c>
      <c r="L55">
        <v>43.55</v>
      </c>
    </row>
    <row r="56" spans="1:12">
      <c r="A56" s="136">
        <v>39736</v>
      </c>
      <c r="B56">
        <v>2285</v>
      </c>
      <c r="C56">
        <v>2150</v>
      </c>
      <c r="D56">
        <v>2315</v>
      </c>
      <c r="E56" s="136">
        <v>39736</v>
      </c>
      <c r="F56">
        <v>29.983000000000001</v>
      </c>
      <c r="G56">
        <v>25.574999999999999</v>
      </c>
      <c r="H56">
        <v>30.681999999999999</v>
      </c>
      <c r="I56" s="136">
        <v>39736</v>
      </c>
      <c r="J56">
        <v>39.33</v>
      </c>
      <c r="K56">
        <v>38</v>
      </c>
      <c r="L56">
        <v>41.79</v>
      </c>
    </row>
    <row r="57" spans="1:12">
      <c r="A57" s="136">
        <v>39737</v>
      </c>
      <c r="B57">
        <v>2165</v>
      </c>
      <c r="C57">
        <v>2114.85</v>
      </c>
      <c r="D57">
        <v>2198.25</v>
      </c>
      <c r="E57" s="136">
        <v>39737</v>
      </c>
      <c r="F57">
        <v>24.856000000000002</v>
      </c>
      <c r="G57">
        <v>23.73</v>
      </c>
      <c r="H57">
        <v>26.635000000000002</v>
      </c>
      <c r="I57" s="136">
        <v>39737</v>
      </c>
      <c r="J57">
        <v>39.020000000000003</v>
      </c>
      <c r="K57">
        <v>36.31</v>
      </c>
      <c r="L57">
        <v>41</v>
      </c>
    </row>
    <row r="58" spans="1:12">
      <c r="A58" s="136">
        <v>39738</v>
      </c>
      <c r="B58">
        <v>2205</v>
      </c>
      <c r="C58">
        <v>2160</v>
      </c>
      <c r="D58">
        <v>2247</v>
      </c>
      <c r="E58" s="136">
        <v>39738</v>
      </c>
      <c r="F58">
        <v>26.952999999999999</v>
      </c>
      <c r="G58">
        <v>24.856000000000002</v>
      </c>
      <c r="H58">
        <v>28.74</v>
      </c>
      <c r="I58" s="136">
        <v>39738</v>
      </c>
      <c r="J58">
        <v>39.630000000000003</v>
      </c>
      <c r="K58">
        <v>39.06</v>
      </c>
      <c r="L58">
        <v>41.39</v>
      </c>
    </row>
    <row r="59" spans="1:12">
      <c r="A59" s="136">
        <v>39739</v>
      </c>
      <c r="B59">
        <v>2205</v>
      </c>
      <c r="C59">
        <v>2160</v>
      </c>
      <c r="D59">
        <v>2247</v>
      </c>
      <c r="E59" s="136">
        <v>39739</v>
      </c>
      <c r="F59">
        <v>26.952999999999999</v>
      </c>
      <c r="G59">
        <v>24.856000000000002</v>
      </c>
      <c r="H59">
        <v>28.74</v>
      </c>
      <c r="I59" s="136">
        <v>39739</v>
      </c>
      <c r="J59">
        <v>39.630000000000003</v>
      </c>
      <c r="K59">
        <v>39.06</v>
      </c>
      <c r="L59">
        <v>41.39</v>
      </c>
    </row>
    <row r="60" spans="1:12">
      <c r="A60" s="136">
        <v>39740</v>
      </c>
      <c r="B60">
        <v>2205</v>
      </c>
      <c r="C60">
        <v>2160</v>
      </c>
      <c r="D60">
        <v>2247</v>
      </c>
      <c r="E60" s="136">
        <v>39740</v>
      </c>
      <c r="F60">
        <v>26.952999999999999</v>
      </c>
      <c r="G60">
        <v>24.856000000000002</v>
      </c>
      <c r="H60">
        <v>28.74</v>
      </c>
      <c r="I60" s="136">
        <v>39740</v>
      </c>
      <c r="J60">
        <v>39.630000000000003</v>
      </c>
      <c r="K60">
        <v>39.06</v>
      </c>
      <c r="L60">
        <v>41.39</v>
      </c>
    </row>
    <row r="61" spans="1:12">
      <c r="A61" s="136">
        <v>39741</v>
      </c>
      <c r="B61">
        <v>2209</v>
      </c>
      <c r="C61">
        <v>2117.75</v>
      </c>
      <c r="D61">
        <v>2240</v>
      </c>
      <c r="E61" s="136">
        <v>39741</v>
      </c>
      <c r="F61">
        <v>27.186</v>
      </c>
      <c r="G61">
        <v>25.158999999999999</v>
      </c>
      <c r="H61">
        <v>27.808</v>
      </c>
      <c r="I61" s="136">
        <v>39741</v>
      </c>
      <c r="J61">
        <v>40.01</v>
      </c>
      <c r="K61">
        <v>38.799999999999997</v>
      </c>
      <c r="L61">
        <v>40.700000000000003</v>
      </c>
    </row>
    <row r="62" spans="1:12">
      <c r="A62" s="136">
        <v>39742</v>
      </c>
      <c r="B62">
        <v>2145</v>
      </c>
      <c r="C62">
        <v>2075</v>
      </c>
      <c r="D62">
        <v>2150</v>
      </c>
      <c r="E62" s="136">
        <v>39742</v>
      </c>
      <c r="F62">
        <v>27.193999999999999</v>
      </c>
      <c r="G62">
        <v>26.798000000000002</v>
      </c>
      <c r="H62">
        <v>28.32</v>
      </c>
      <c r="I62" s="136">
        <v>39742</v>
      </c>
      <c r="J62">
        <v>39.92</v>
      </c>
      <c r="K62">
        <v>39.6</v>
      </c>
      <c r="L62">
        <v>41.27</v>
      </c>
    </row>
    <row r="63" spans="1:12">
      <c r="A63" s="136">
        <v>39743</v>
      </c>
      <c r="B63">
        <v>2075</v>
      </c>
      <c r="C63">
        <v>1976</v>
      </c>
      <c r="D63">
        <v>2080</v>
      </c>
      <c r="E63" s="136">
        <v>39743</v>
      </c>
      <c r="F63">
        <v>26.138000000000002</v>
      </c>
      <c r="G63">
        <v>25.4</v>
      </c>
      <c r="H63">
        <v>26.984000000000002</v>
      </c>
      <c r="I63" s="136">
        <v>39743</v>
      </c>
      <c r="J63">
        <v>39.15</v>
      </c>
      <c r="K63">
        <v>36.01</v>
      </c>
      <c r="L63">
        <v>40.049999999999997</v>
      </c>
    </row>
    <row r="64" spans="1:12">
      <c r="A64" s="136">
        <v>39744</v>
      </c>
      <c r="B64">
        <v>1976</v>
      </c>
      <c r="C64">
        <v>1958</v>
      </c>
      <c r="D64">
        <v>2021.25</v>
      </c>
      <c r="E64" s="136">
        <v>39744</v>
      </c>
      <c r="F64">
        <v>26.021000000000001</v>
      </c>
      <c r="G64">
        <v>24.545000000000002</v>
      </c>
      <c r="H64">
        <v>26.021000000000001</v>
      </c>
      <c r="I64" s="136">
        <v>39744</v>
      </c>
      <c r="J64">
        <v>37.36</v>
      </c>
      <c r="K64">
        <v>35.82</v>
      </c>
      <c r="L64">
        <v>38.75</v>
      </c>
    </row>
    <row r="65" spans="1:12">
      <c r="A65" s="136">
        <v>39745</v>
      </c>
      <c r="B65">
        <v>2020</v>
      </c>
      <c r="C65">
        <v>1927</v>
      </c>
      <c r="D65">
        <v>2024</v>
      </c>
      <c r="E65" s="136">
        <v>39745</v>
      </c>
      <c r="F65">
        <v>24.079000000000001</v>
      </c>
      <c r="G65">
        <v>22.343</v>
      </c>
      <c r="H65">
        <v>24.39</v>
      </c>
      <c r="I65" s="136">
        <v>39745</v>
      </c>
      <c r="J65">
        <v>35.119999999999997</v>
      </c>
      <c r="K65">
        <v>34.51</v>
      </c>
      <c r="L65">
        <v>37.729999999999997</v>
      </c>
    </row>
    <row r="66" spans="1:12">
      <c r="A66" s="136">
        <v>39746</v>
      </c>
      <c r="B66">
        <v>2020</v>
      </c>
      <c r="C66">
        <v>1927</v>
      </c>
      <c r="D66">
        <v>2024</v>
      </c>
      <c r="E66" s="136">
        <v>39746</v>
      </c>
      <c r="F66">
        <v>24.079000000000001</v>
      </c>
      <c r="G66">
        <v>22.343</v>
      </c>
      <c r="H66">
        <v>24.39</v>
      </c>
      <c r="I66" s="136">
        <v>39746</v>
      </c>
      <c r="J66">
        <v>35.119999999999997</v>
      </c>
      <c r="K66">
        <v>34.51</v>
      </c>
      <c r="L66">
        <v>37.729999999999997</v>
      </c>
    </row>
    <row r="67" spans="1:12">
      <c r="A67" s="136">
        <v>39747</v>
      </c>
      <c r="B67">
        <v>2020</v>
      </c>
      <c r="C67">
        <v>1927</v>
      </c>
      <c r="D67">
        <v>2024</v>
      </c>
      <c r="E67" s="136">
        <v>39747</v>
      </c>
      <c r="F67">
        <v>24.079000000000001</v>
      </c>
      <c r="G67">
        <v>22.343</v>
      </c>
      <c r="H67">
        <v>24.39</v>
      </c>
      <c r="I67" s="136">
        <v>39747</v>
      </c>
      <c r="J67">
        <v>35.119999999999997</v>
      </c>
      <c r="K67">
        <v>34.51</v>
      </c>
      <c r="L67">
        <v>37.729999999999997</v>
      </c>
    </row>
    <row r="68" spans="1:12">
      <c r="A68" s="136">
        <v>39748</v>
      </c>
      <c r="B68">
        <v>1960</v>
      </c>
      <c r="C68">
        <v>1925</v>
      </c>
      <c r="D68">
        <v>2040</v>
      </c>
      <c r="E68" s="136">
        <v>39748</v>
      </c>
      <c r="F68">
        <v>21.361000000000001</v>
      </c>
      <c r="G68">
        <v>19.701999999999998</v>
      </c>
      <c r="H68">
        <v>22.137</v>
      </c>
      <c r="I68" s="136">
        <v>39748</v>
      </c>
      <c r="J68">
        <v>35.1</v>
      </c>
      <c r="K68">
        <v>33.33</v>
      </c>
      <c r="L68">
        <v>35.9</v>
      </c>
    </row>
    <row r="69" spans="1:12">
      <c r="A69" s="136">
        <v>39749</v>
      </c>
      <c r="B69">
        <v>2025</v>
      </c>
      <c r="C69">
        <v>2000</v>
      </c>
      <c r="D69">
        <v>2117</v>
      </c>
      <c r="E69" s="136">
        <v>39749</v>
      </c>
      <c r="F69">
        <v>21.128</v>
      </c>
      <c r="G69">
        <v>17.291</v>
      </c>
      <c r="H69">
        <v>21.748999999999999</v>
      </c>
      <c r="I69" s="136">
        <v>39749</v>
      </c>
      <c r="J69">
        <v>34.950000000000003</v>
      </c>
      <c r="K69">
        <v>32.520000000000003</v>
      </c>
      <c r="L69">
        <v>37.72</v>
      </c>
    </row>
    <row r="70" spans="1:12">
      <c r="A70" s="136">
        <v>39750</v>
      </c>
      <c r="B70">
        <v>2130</v>
      </c>
      <c r="C70">
        <v>2115</v>
      </c>
      <c r="D70">
        <v>2189.75</v>
      </c>
      <c r="E70" s="136">
        <v>39750</v>
      </c>
      <c r="F70">
        <v>20.350999999999999</v>
      </c>
      <c r="G70">
        <v>18.331</v>
      </c>
      <c r="H70">
        <v>20.739000000000001</v>
      </c>
      <c r="I70" s="136">
        <v>39750</v>
      </c>
      <c r="J70">
        <v>37.11</v>
      </c>
      <c r="K70">
        <v>35.51</v>
      </c>
      <c r="L70">
        <v>38.380000000000003</v>
      </c>
    </row>
    <row r="71" spans="1:12">
      <c r="A71" s="136">
        <v>39751</v>
      </c>
      <c r="B71">
        <v>2130</v>
      </c>
      <c r="C71">
        <v>2050</v>
      </c>
      <c r="D71">
        <v>2199</v>
      </c>
      <c r="E71" s="136">
        <v>39751</v>
      </c>
      <c r="F71">
        <v>20.777999999999999</v>
      </c>
      <c r="G71">
        <v>19.923999999999999</v>
      </c>
      <c r="H71">
        <v>23.225000000000001</v>
      </c>
      <c r="I71" s="136">
        <v>39751</v>
      </c>
      <c r="J71">
        <v>36.89</v>
      </c>
      <c r="K71">
        <v>36.03</v>
      </c>
      <c r="L71">
        <v>38</v>
      </c>
    </row>
    <row r="72" spans="1:12">
      <c r="A72" s="136">
        <v>39752</v>
      </c>
      <c r="B72">
        <v>2065</v>
      </c>
      <c r="C72">
        <v>1997</v>
      </c>
      <c r="D72">
        <v>2080</v>
      </c>
      <c r="E72" s="136">
        <v>39752</v>
      </c>
      <c r="F72">
        <v>22.526</v>
      </c>
      <c r="G72">
        <v>22.137</v>
      </c>
      <c r="H72">
        <v>23.963000000000001</v>
      </c>
      <c r="I72" s="136">
        <v>39752</v>
      </c>
      <c r="J72">
        <v>37.29</v>
      </c>
      <c r="K72">
        <v>37.28</v>
      </c>
      <c r="L72">
        <v>41.25</v>
      </c>
    </row>
    <row r="73" spans="1:12">
      <c r="A73" s="136">
        <v>39753</v>
      </c>
      <c r="B73">
        <v>2065</v>
      </c>
      <c r="C73">
        <v>1997</v>
      </c>
      <c r="D73">
        <v>2080</v>
      </c>
      <c r="E73" s="136">
        <v>39753</v>
      </c>
      <c r="F73">
        <v>22.526</v>
      </c>
      <c r="G73">
        <v>22.137</v>
      </c>
      <c r="H73">
        <v>23.963000000000001</v>
      </c>
      <c r="I73" s="136">
        <v>39753</v>
      </c>
      <c r="J73">
        <v>37.29</v>
      </c>
      <c r="K73">
        <v>37.28</v>
      </c>
      <c r="L73">
        <v>41.25</v>
      </c>
    </row>
    <row r="74" spans="1:12">
      <c r="A74" s="136">
        <v>39754</v>
      </c>
      <c r="B74">
        <v>2065</v>
      </c>
      <c r="C74">
        <v>1997</v>
      </c>
      <c r="D74">
        <v>2080</v>
      </c>
      <c r="E74" s="136">
        <v>39754</v>
      </c>
      <c r="F74">
        <v>22.526</v>
      </c>
      <c r="G74">
        <v>22.137</v>
      </c>
      <c r="H74">
        <v>23.963000000000001</v>
      </c>
      <c r="I74" s="136">
        <v>39754</v>
      </c>
      <c r="J74">
        <v>37.29</v>
      </c>
      <c r="K74">
        <v>37.28</v>
      </c>
      <c r="L74">
        <v>41.25</v>
      </c>
    </row>
    <row r="75" spans="1:12">
      <c r="A75" s="136">
        <v>39755</v>
      </c>
      <c r="B75">
        <v>2076</v>
      </c>
      <c r="C75">
        <v>2018.43</v>
      </c>
      <c r="D75">
        <v>2094.75</v>
      </c>
      <c r="E75" s="136">
        <v>39755</v>
      </c>
      <c r="F75">
        <v>24.701000000000001</v>
      </c>
      <c r="G75">
        <v>23.186</v>
      </c>
      <c r="H75">
        <v>25.245000000000001</v>
      </c>
      <c r="I75" s="136">
        <v>39755</v>
      </c>
      <c r="J75">
        <v>41.25</v>
      </c>
      <c r="K75">
        <v>40.200000000000003</v>
      </c>
      <c r="L75">
        <v>41.25</v>
      </c>
    </row>
    <row r="76" spans="1:12">
      <c r="A76" s="136">
        <v>39756</v>
      </c>
      <c r="B76">
        <v>2045</v>
      </c>
      <c r="C76">
        <v>1998</v>
      </c>
      <c r="D76">
        <v>2120</v>
      </c>
      <c r="E76" s="136">
        <v>39756</v>
      </c>
      <c r="F76">
        <v>24.777999999999999</v>
      </c>
      <c r="G76">
        <v>24.006</v>
      </c>
      <c r="H76">
        <v>28.196000000000002</v>
      </c>
      <c r="I76" s="136">
        <v>39756</v>
      </c>
      <c r="J76">
        <v>41.25</v>
      </c>
      <c r="K76">
        <v>40.880000000000003</v>
      </c>
      <c r="L76">
        <v>42.42</v>
      </c>
    </row>
    <row r="77" spans="1:12">
      <c r="A77" s="136">
        <v>39757</v>
      </c>
      <c r="B77">
        <v>2110</v>
      </c>
      <c r="C77">
        <v>2052</v>
      </c>
      <c r="D77">
        <v>2130</v>
      </c>
      <c r="E77" s="136">
        <v>39757</v>
      </c>
      <c r="F77">
        <v>28.274000000000001</v>
      </c>
      <c r="G77">
        <v>26.021000000000001</v>
      </c>
      <c r="H77">
        <v>29.128</v>
      </c>
      <c r="I77" s="136">
        <v>39757</v>
      </c>
      <c r="J77">
        <v>41.73</v>
      </c>
      <c r="K77">
        <v>38.619999999999997</v>
      </c>
      <c r="L77">
        <v>42.5</v>
      </c>
    </row>
    <row r="78" spans="1:12">
      <c r="A78" s="136">
        <v>39758</v>
      </c>
      <c r="B78">
        <v>2080</v>
      </c>
      <c r="C78">
        <v>2015</v>
      </c>
      <c r="D78">
        <v>2081</v>
      </c>
      <c r="E78" s="136">
        <v>39758</v>
      </c>
      <c r="F78">
        <v>24.864000000000001</v>
      </c>
      <c r="G78">
        <v>22.914000000000001</v>
      </c>
      <c r="H78">
        <v>25.943999999999999</v>
      </c>
      <c r="I78" s="136">
        <v>39758</v>
      </c>
      <c r="J78">
        <v>38.96</v>
      </c>
      <c r="K78">
        <v>37.86</v>
      </c>
      <c r="L78">
        <v>39.76</v>
      </c>
    </row>
    <row r="79" spans="1:12">
      <c r="A79" s="136">
        <v>39759</v>
      </c>
      <c r="B79">
        <v>2020</v>
      </c>
      <c r="C79">
        <v>1955</v>
      </c>
      <c r="D79">
        <v>2053</v>
      </c>
      <c r="E79" s="136">
        <v>39759</v>
      </c>
      <c r="F79">
        <v>23.38</v>
      </c>
      <c r="G79">
        <v>21.916</v>
      </c>
      <c r="H79">
        <v>23.986000000000001</v>
      </c>
      <c r="I79" s="136">
        <v>39759</v>
      </c>
      <c r="J79">
        <v>38.229999999999997</v>
      </c>
      <c r="K79">
        <v>36.47</v>
      </c>
      <c r="L79">
        <v>38.520000000000003</v>
      </c>
    </row>
    <row r="80" spans="1:12">
      <c r="A80" s="136">
        <v>39760</v>
      </c>
      <c r="B80">
        <v>2020</v>
      </c>
      <c r="C80">
        <v>1955</v>
      </c>
      <c r="D80">
        <v>2053</v>
      </c>
      <c r="E80" s="136">
        <v>39760</v>
      </c>
      <c r="F80">
        <v>23.38</v>
      </c>
      <c r="G80">
        <v>21.916</v>
      </c>
      <c r="H80">
        <v>23.986000000000001</v>
      </c>
      <c r="I80" s="136">
        <v>39760</v>
      </c>
      <c r="J80">
        <v>38.229999999999997</v>
      </c>
      <c r="K80">
        <v>36.47</v>
      </c>
      <c r="L80">
        <v>38.520000000000003</v>
      </c>
    </row>
    <row r="81" spans="1:12">
      <c r="A81" s="136">
        <v>39761</v>
      </c>
      <c r="B81">
        <v>2020</v>
      </c>
      <c r="C81">
        <v>1955</v>
      </c>
      <c r="D81">
        <v>2053</v>
      </c>
      <c r="E81" s="136">
        <v>39761</v>
      </c>
      <c r="F81">
        <v>23.38</v>
      </c>
      <c r="G81">
        <v>21.916</v>
      </c>
      <c r="H81">
        <v>23.986000000000001</v>
      </c>
      <c r="I81" s="136">
        <v>39761</v>
      </c>
      <c r="J81">
        <v>38.229999999999997</v>
      </c>
      <c r="K81">
        <v>36.47</v>
      </c>
      <c r="L81">
        <v>38.520000000000003</v>
      </c>
    </row>
    <row r="82" spans="1:12">
      <c r="A82" s="136">
        <v>39762</v>
      </c>
      <c r="B82">
        <v>2005</v>
      </c>
      <c r="C82">
        <v>1980</v>
      </c>
      <c r="D82">
        <v>2042</v>
      </c>
      <c r="E82" s="136">
        <v>39762</v>
      </c>
      <c r="F82">
        <v>24.468</v>
      </c>
      <c r="G82">
        <v>22.681000000000001</v>
      </c>
      <c r="H82">
        <v>25.632999999999999</v>
      </c>
      <c r="I82" s="136">
        <v>39762</v>
      </c>
      <c r="J82">
        <v>38.28</v>
      </c>
      <c r="K82">
        <v>35.65</v>
      </c>
      <c r="L82">
        <v>38.479999999999997</v>
      </c>
    </row>
    <row r="83" spans="1:12">
      <c r="A83" s="136">
        <v>39763</v>
      </c>
      <c r="B83">
        <v>2000</v>
      </c>
      <c r="C83">
        <v>1933</v>
      </c>
      <c r="D83">
        <v>2005</v>
      </c>
      <c r="E83" s="136">
        <v>39763</v>
      </c>
      <c r="F83">
        <v>23.303000000000001</v>
      </c>
      <c r="G83">
        <v>20.925999999999998</v>
      </c>
      <c r="H83">
        <v>23.303000000000001</v>
      </c>
      <c r="I83" s="136">
        <v>39763</v>
      </c>
      <c r="J83">
        <v>35.82</v>
      </c>
      <c r="K83">
        <v>35.270000000000003</v>
      </c>
      <c r="L83">
        <v>37.450000000000003</v>
      </c>
    </row>
    <row r="84" spans="1:12">
      <c r="A84" s="136">
        <v>39764</v>
      </c>
      <c r="B84">
        <v>1956</v>
      </c>
      <c r="C84">
        <v>1911</v>
      </c>
      <c r="D84">
        <v>1962</v>
      </c>
      <c r="E84" s="136">
        <v>39764</v>
      </c>
      <c r="F84">
        <v>21.904</v>
      </c>
      <c r="G84">
        <v>19.344999999999999</v>
      </c>
      <c r="H84">
        <v>22.759</v>
      </c>
      <c r="I84" s="136">
        <v>39764</v>
      </c>
      <c r="J84">
        <v>35.42</v>
      </c>
      <c r="K84">
        <v>34.31</v>
      </c>
      <c r="L84">
        <v>36.299999999999997</v>
      </c>
    </row>
    <row r="85" spans="1:12">
      <c r="A85" s="136">
        <v>39765</v>
      </c>
      <c r="B85">
        <v>1920</v>
      </c>
      <c r="C85">
        <v>1903</v>
      </c>
      <c r="D85">
        <v>1945.5</v>
      </c>
      <c r="E85" s="136">
        <v>39765</v>
      </c>
      <c r="F85">
        <v>18.952999999999999</v>
      </c>
      <c r="G85">
        <v>17.547000000000001</v>
      </c>
      <c r="H85">
        <v>20.001000000000001</v>
      </c>
      <c r="I85" s="136">
        <v>39765</v>
      </c>
      <c r="J85">
        <v>34.65</v>
      </c>
      <c r="K85">
        <v>33.5</v>
      </c>
      <c r="L85">
        <v>37.5</v>
      </c>
    </row>
    <row r="86" spans="1:12">
      <c r="A86" s="136">
        <v>39766</v>
      </c>
      <c r="B86">
        <v>1954</v>
      </c>
      <c r="C86">
        <v>1918.5</v>
      </c>
      <c r="D86">
        <v>1967</v>
      </c>
      <c r="E86" s="136">
        <v>39766</v>
      </c>
      <c r="F86">
        <v>20.584</v>
      </c>
      <c r="G86">
        <v>18.797000000000001</v>
      </c>
      <c r="H86">
        <v>21.204999999999998</v>
      </c>
      <c r="I86" s="136">
        <v>39766</v>
      </c>
      <c r="J86">
        <v>36.33</v>
      </c>
      <c r="K86">
        <v>34.159999999999997</v>
      </c>
      <c r="L86">
        <v>36.909999999999997</v>
      </c>
    </row>
    <row r="87" spans="1:12">
      <c r="A87" s="136">
        <v>39767</v>
      </c>
      <c r="B87">
        <v>1954</v>
      </c>
      <c r="C87">
        <v>1918.5</v>
      </c>
      <c r="D87">
        <v>1967</v>
      </c>
      <c r="E87" s="136">
        <v>39767</v>
      </c>
      <c r="F87">
        <v>20.584</v>
      </c>
      <c r="G87">
        <v>18.797000000000001</v>
      </c>
      <c r="H87">
        <v>21.204999999999998</v>
      </c>
      <c r="I87" s="136">
        <v>39767</v>
      </c>
      <c r="J87">
        <v>36.33</v>
      </c>
      <c r="K87">
        <v>34.159999999999997</v>
      </c>
      <c r="L87">
        <v>36.909999999999997</v>
      </c>
    </row>
    <row r="88" spans="1:12">
      <c r="A88" s="136">
        <v>39768</v>
      </c>
      <c r="B88">
        <v>1954</v>
      </c>
      <c r="C88">
        <v>1918.5</v>
      </c>
      <c r="D88">
        <v>1967</v>
      </c>
      <c r="E88" s="136">
        <v>39768</v>
      </c>
      <c r="F88">
        <v>20.584</v>
      </c>
      <c r="G88">
        <v>18.797000000000001</v>
      </c>
      <c r="H88">
        <v>21.204999999999998</v>
      </c>
      <c r="I88" s="136">
        <v>39768</v>
      </c>
      <c r="J88">
        <v>36.33</v>
      </c>
      <c r="K88">
        <v>34.159999999999997</v>
      </c>
      <c r="L88">
        <v>36.909999999999997</v>
      </c>
    </row>
    <row r="89" spans="1:12">
      <c r="A89" s="136">
        <v>39769</v>
      </c>
      <c r="B89">
        <v>1931</v>
      </c>
      <c r="C89">
        <v>1873</v>
      </c>
      <c r="D89">
        <v>1931.85</v>
      </c>
      <c r="E89" s="136">
        <v>39769</v>
      </c>
      <c r="F89">
        <v>20.350999999999999</v>
      </c>
      <c r="G89">
        <v>18.021000000000001</v>
      </c>
      <c r="H89">
        <v>20.350999999999999</v>
      </c>
      <c r="I89" s="136">
        <v>39769</v>
      </c>
      <c r="J89">
        <v>33.82</v>
      </c>
      <c r="K89">
        <v>32.5</v>
      </c>
      <c r="L89">
        <v>34.869999999999997</v>
      </c>
    </row>
    <row r="90" spans="1:12">
      <c r="A90" s="136">
        <v>39770</v>
      </c>
      <c r="B90">
        <v>1895</v>
      </c>
      <c r="C90">
        <v>1870</v>
      </c>
      <c r="D90">
        <v>1924</v>
      </c>
      <c r="E90" s="136">
        <v>39770</v>
      </c>
      <c r="F90">
        <v>18.797000000000001</v>
      </c>
      <c r="G90">
        <v>17.524000000000001</v>
      </c>
      <c r="H90">
        <v>18.797000000000001</v>
      </c>
      <c r="I90" s="136">
        <v>39770</v>
      </c>
      <c r="J90">
        <v>32.76</v>
      </c>
      <c r="K90">
        <v>30.36</v>
      </c>
      <c r="L90">
        <v>33.1</v>
      </c>
    </row>
    <row r="91" spans="1:12">
      <c r="A91" s="136">
        <v>39771</v>
      </c>
      <c r="B91">
        <v>1910</v>
      </c>
      <c r="C91">
        <v>1870</v>
      </c>
      <c r="D91">
        <v>1915</v>
      </c>
      <c r="E91" s="136">
        <v>39771</v>
      </c>
      <c r="F91">
        <v>18.448</v>
      </c>
      <c r="G91">
        <v>16.545000000000002</v>
      </c>
      <c r="H91">
        <v>18.448</v>
      </c>
      <c r="I91" s="136">
        <v>39771</v>
      </c>
      <c r="J91">
        <v>31.69</v>
      </c>
      <c r="K91">
        <v>28.28</v>
      </c>
      <c r="L91">
        <v>32.020000000000003</v>
      </c>
    </row>
    <row r="92" spans="1:12">
      <c r="A92" s="136">
        <v>39772</v>
      </c>
      <c r="B92">
        <v>1862</v>
      </c>
      <c r="C92">
        <v>1772</v>
      </c>
      <c r="D92">
        <v>1866.5</v>
      </c>
      <c r="E92" s="136">
        <v>39772</v>
      </c>
      <c r="F92">
        <v>16.079000000000001</v>
      </c>
      <c r="G92">
        <v>14.681000000000001</v>
      </c>
      <c r="H92">
        <v>16.273</v>
      </c>
      <c r="I92" s="136">
        <v>39772</v>
      </c>
      <c r="J92">
        <v>27.74</v>
      </c>
      <c r="K92">
        <v>22.32</v>
      </c>
      <c r="L92">
        <v>28.71</v>
      </c>
    </row>
    <row r="93" spans="1:12">
      <c r="A93" s="136">
        <v>39773</v>
      </c>
      <c r="B93">
        <v>1775</v>
      </c>
      <c r="C93">
        <v>1744</v>
      </c>
      <c r="D93">
        <v>1818</v>
      </c>
      <c r="E93" s="136">
        <v>39773</v>
      </c>
      <c r="F93">
        <v>15.69</v>
      </c>
      <c r="G93">
        <v>14.331</v>
      </c>
      <c r="H93">
        <v>16.11</v>
      </c>
      <c r="I93" s="136">
        <v>39773</v>
      </c>
      <c r="J93">
        <v>23.74</v>
      </c>
      <c r="K93">
        <v>19.690000000000001</v>
      </c>
      <c r="L93">
        <v>24.42</v>
      </c>
    </row>
    <row r="94" spans="1:12">
      <c r="A94" s="136">
        <v>39774</v>
      </c>
      <c r="B94">
        <v>1775</v>
      </c>
      <c r="C94">
        <v>1744</v>
      </c>
      <c r="D94">
        <v>1818</v>
      </c>
      <c r="E94" s="136">
        <v>39774</v>
      </c>
      <c r="F94">
        <v>15.69</v>
      </c>
      <c r="G94">
        <v>14.331</v>
      </c>
      <c r="H94">
        <v>16.11</v>
      </c>
      <c r="I94" s="136">
        <v>39774</v>
      </c>
      <c r="J94">
        <v>23.74</v>
      </c>
      <c r="K94">
        <v>19.690000000000001</v>
      </c>
      <c r="L94">
        <v>24.42</v>
      </c>
    </row>
    <row r="95" spans="1:12">
      <c r="A95" s="136">
        <v>39775</v>
      </c>
      <c r="B95">
        <v>1775</v>
      </c>
      <c r="C95">
        <v>1744</v>
      </c>
      <c r="D95">
        <v>1818</v>
      </c>
      <c r="E95" s="136">
        <v>39775</v>
      </c>
      <c r="F95">
        <v>15.69</v>
      </c>
      <c r="G95">
        <v>14.331</v>
      </c>
      <c r="H95">
        <v>16.11</v>
      </c>
      <c r="I95" s="136">
        <v>39775</v>
      </c>
      <c r="J95">
        <v>23.74</v>
      </c>
      <c r="K95">
        <v>19.690000000000001</v>
      </c>
      <c r="L95">
        <v>24.42</v>
      </c>
    </row>
    <row r="96" spans="1:12">
      <c r="A96" s="136">
        <v>39776</v>
      </c>
      <c r="B96">
        <v>1780</v>
      </c>
      <c r="C96">
        <v>1762</v>
      </c>
      <c r="D96">
        <v>1826</v>
      </c>
      <c r="E96" s="136">
        <v>39776</v>
      </c>
      <c r="F96">
        <v>15.768000000000001</v>
      </c>
      <c r="G96">
        <v>14.885999999999999</v>
      </c>
      <c r="H96">
        <v>18.175999999999998</v>
      </c>
      <c r="I96" s="136">
        <v>39776</v>
      </c>
      <c r="J96">
        <v>23.92</v>
      </c>
      <c r="K96">
        <v>22.5</v>
      </c>
      <c r="L96">
        <v>28.34</v>
      </c>
    </row>
    <row r="97" spans="1:12">
      <c r="A97" s="136">
        <v>39777</v>
      </c>
      <c r="B97">
        <v>1802</v>
      </c>
      <c r="C97">
        <v>1793</v>
      </c>
      <c r="D97">
        <v>1835</v>
      </c>
      <c r="E97" s="136">
        <v>39777</v>
      </c>
      <c r="F97">
        <v>18.564</v>
      </c>
      <c r="G97">
        <v>17.670999999999999</v>
      </c>
      <c r="H97">
        <v>19.625</v>
      </c>
      <c r="I97" s="136">
        <v>39777</v>
      </c>
      <c r="J97">
        <v>29.63</v>
      </c>
      <c r="K97">
        <v>28.5</v>
      </c>
      <c r="L97">
        <v>30.71</v>
      </c>
    </row>
    <row r="98" spans="1:12">
      <c r="A98" s="136">
        <v>39778</v>
      </c>
      <c r="B98">
        <v>1809</v>
      </c>
      <c r="C98">
        <v>1780</v>
      </c>
      <c r="D98">
        <v>1825</v>
      </c>
      <c r="E98" s="136">
        <v>39778</v>
      </c>
      <c r="F98">
        <v>18.797000000000001</v>
      </c>
      <c r="G98">
        <v>18.3</v>
      </c>
      <c r="H98">
        <v>19.170000000000002</v>
      </c>
      <c r="I98" s="136">
        <v>39778</v>
      </c>
      <c r="J98">
        <v>28.76</v>
      </c>
      <c r="K98">
        <v>28.17</v>
      </c>
      <c r="L98">
        <v>30.75</v>
      </c>
    </row>
    <row r="99" spans="1:12">
      <c r="A99" s="136">
        <v>39779</v>
      </c>
      <c r="B99">
        <v>1805</v>
      </c>
      <c r="C99">
        <v>1769.5</v>
      </c>
      <c r="D99">
        <v>1812.75</v>
      </c>
      <c r="E99" s="136">
        <v>39779</v>
      </c>
      <c r="F99">
        <v>19.497</v>
      </c>
      <c r="G99">
        <v>19.225000000000001</v>
      </c>
      <c r="H99">
        <v>21.158999999999999</v>
      </c>
      <c r="I99" s="136">
        <v>39779</v>
      </c>
      <c r="J99">
        <v>28.76</v>
      </c>
      <c r="K99">
        <v>28.17</v>
      </c>
      <c r="L99">
        <v>30.75</v>
      </c>
    </row>
    <row r="100" spans="1:12">
      <c r="A100" s="136">
        <v>39780</v>
      </c>
      <c r="B100">
        <v>1780</v>
      </c>
      <c r="C100">
        <v>1745</v>
      </c>
      <c r="D100">
        <v>1790</v>
      </c>
      <c r="E100" s="136">
        <v>39780</v>
      </c>
      <c r="F100">
        <v>21.748999999999999</v>
      </c>
      <c r="G100">
        <v>20.704000000000001</v>
      </c>
      <c r="H100">
        <v>21.959</v>
      </c>
      <c r="I100" s="136">
        <v>39780</v>
      </c>
      <c r="J100">
        <v>30.36</v>
      </c>
      <c r="K100">
        <v>30.13</v>
      </c>
      <c r="L100">
        <v>31.93</v>
      </c>
    </row>
    <row r="101" spans="1:12">
      <c r="A101" s="136">
        <v>39781</v>
      </c>
      <c r="B101">
        <v>1780</v>
      </c>
      <c r="C101">
        <v>1745</v>
      </c>
      <c r="D101">
        <v>1790</v>
      </c>
      <c r="E101" s="136">
        <v>39781</v>
      </c>
      <c r="F101">
        <v>21.748999999999999</v>
      </c>
      <c r="G101">
        <v>20.704000000000001</v>
      </c>
      <c r="H101">
        <v>21.959</v>
      </c>
      <c r="I101" s="136">
        <v>39781</v>
      </c>
      <c r="J101">
        <v>30.36</v>
      </c>
      <c r="K101">
        <v>30.13</v>
      </c>
      <c r="L101">
        <v>31.93</v>
      </c>
    </row>
    <row r="102" spans="1:12">
      <c r="A102" s="136">
        <v>39782</v>
      </c>
      <c r="B102">
        <v>1780</v>
      </c>
      <c r="C102">
        <v>1745</v>
      </c>
      <c r="D102">
        <v>1790</v>
      </c>
      <c r="E102" s="136">
        <v>39782</v>
      </c>
      <c r="F102">
        <v>21.748999999999999</v>
      </c>
      <c r="G102">
        <v>20.704000000000001</v>
      </c>
      <c r="H102">
        <v>21.959</v>
      </c>
      <c r="I102" s="136">
        <v>39782</v>
      </c>
      <c r="J102">
        <v>30.36</v>
      </c>
      <c r="K102">
        <v>30.13</v>
      </c>
      <c r="L102">
        <v>31.93</v>
      </c>
    </row>
    <row r="103" spans="1:12">
      <c r="A103" s="136">
        <v>39783</v>
      </c>
      <c r="B103">
        <v>1770</v>
      </c>
      <c r="C103">
        <v>1721</v>
      </c>
      <c r="D103">
        <v>1787</v>
      </c>
      <c r="E103" s="136">
        <v>39783</v>
      </c>
      <c r="F103">
        <v>21.826999999999998</v>
      </c>
      <c r="G103">
        <v>19.146999999999998</v>
      </c>
      <c r="H103">
        <v>21.904</v>
      </c>
      <c r="I103" s="136">
        <v>39783</v>
      </c>
      <c r="J103">
        <v>30.67</v>
      </c>
      <c r="K103">
        <v>26.02</v>
      </c>
      <c r="L103">
        <v>30.7</v>
      </c>
    </row>
    <row r="104" spans="1:12">
      <c r="A104" s="136">
        <v>39784</v>
      </c>
      <c r="B104">
        <v>1730</v>
      </c>
      <c r="C104">
        <v>1686</v>
      </c>
      <c r="D104">
        <v>1733</v>
      </c>
      <c r="E104" s="136">
        <v>39784</v>
      </c>
      <c r="F104">
        <v>18.408999999999999</v>
      </c>
      <c r="G104">
        <v>18.097999999999999</v>
      </c>
      <c r="H104">
        <v>20.576000000000001</v>
      </c>
      <c r="I104" s="136">
        <v>39784</v>
      </c>
      <c r="J104">
        <v>26.54</v>
      </c>
      <c r="K104">
        <v>24.61</v>
      </c>
      <c r="L104">
        <v>28.9</v>
      </c>
    </row>
    <row r="105" spans="1:12">
      <c r="A105" s="136">
        <v>39785</v>
      </c>
      <c r="B105">
        <v>1695</v>
      </c>
      <c r="C105">
        <v>1610</v>
      </c>
      <c r="D105">
        <v>1697</v>
      </c>
      <c r="E105" s="136">
        <v>39785</v>
      </c>
      <c r="F105">
        <v>20.584</v>
      </c>
      <c r="G105">
        <v>19.248000000000001</v>
      </c>
      <c r="H105">
        <v>20.584</v>
      </c>
      <c r="I105" s="136">
        <v>39785</v>
      </c>
      <c r="J105">
        <v>27.44</v>
      </c>
      <c r="K105">
        <v>27.04</v>
      </c>
      <c r="L105">
        <v>30.74</v>
      </c>
    </row>
    <row r="106" spans="1:12">
      <c r="A106" s="136">
        <v>39786</v>
      </c>
      <c r="B106">
        <v>1627</v>
      </c>
      <c r="C106">
        <v>1570</v>
      </c>
      <c r="D106">
        <v>1627</v>
      </c>
      <c r="E106" s="136">
        <v>39786</v>
      </c>
      <c r="F106">
        <v>20.584</v>
      </c>
      <c r="G106">
        <v>19.823</v>
      </c>
      <c r="H106">
        <v>21.268000000000001</v>
      </c>
      <c r="I106" s="136">
        <v>39786</v>
      </c>
      <c r="J106">
        <v>29.84</v>
      </c>
      <c r="K106">
        <v>29.75</v>
      </c>
      <c r="L106">
        <v>32.9</v>
      </c>
    </row>
    <row r="107" spans="1:12">
      <c r="A107" s="136">
        <v>39787</v>
      </c>
      <c r="B107">
        <v>1575</v>
      </c>
      <c r="C107">
        <v>1485</v>
      </c>
      <c r="D107">
        <v>1575</v>
      </c>
      <c r="E107" s="136">
        <v>39787</v>
      </c>
      <c r="F107">
        <v>20.428999999999998</v>
      </c>
      <c r="G107">
        <v>19.286999999999999</v>
      </c>
      <c r="H107">
        <v>20.526</v>
      </c>
      <c r="I107" s="136">
        <v>39787</v>
      </c>
      <c r="J107">
        <v>30.41</v>
      </c>
      <c r="K107">
        <v>29.73</v>
      </c>
      <c r="L107">
        <v>34</v>
      </c>
    </row>
    <row r="108" spans="1:12">
      <c r="A108" s="136">
        <v>39788</v>
      </c>
      <c r="B108">
        <v>1575</v>
      </c>
      <c r="C108">
        <v>1485</v>
      </c>
      <c r="D108">
        <v>1575</v>
      </c>
      <c r="E108" s="136">
        <v>39788</v>
      </c>
      <c r="F108">
        <v>20.428999999999998</v>
      </c>
      <c r="G108">
        <v>19.286999999999999</v>
      </c>
      <c r="H108">
        <v>20.526</v>
      </c>
      <c r="I108" s="136">
        <v>39788</v>
      </c>
      <c r="J108">
        <v>30.41</v>
      </c>
      <c r="K108">
        <v>29.73</v>
      </c>
      <c r="L108">
        <v>34</v>
      </c>
    </row>
    <row r="109" spans="1:12">
      <c r="A109" s="136">
        <v>39789</v>
      </c>
      <c r="B109">
        <v>1575</v>
      </c>
      <c r="C109">
        <v>1485</v>
      </c>
      <c r="D109">
        <v>1575</v>
      </c>
      <c r="E109" s="136">
        <v>39789</v>
      </c>
      <c r="F109">
        <v>20.428999999999998</v>
      </c>
      <c r="G109">
        <v>19.286999999999999</v>
      </c>
      <c r="H109">
        <v>20.526</v>
      </c>
      <c r="I109" s="136">
        <v>39789</v>
      </c>
      <c r="J109">
        <v>30.41</v>
      </c>
      <c r="K109">
        <v>29.73</v>
      </c>
      <c r="L109">
        <v>34</v>
      </c>
    </row>
    <row r="110" spans="1:12">
      <c r="A110" s="136">
        <v>39790</v>
      </c>
      <c r="B110">
        <v>1500</v>
      </c>
      <c r="C110">
        <v>1500</v>
      </c>
      <c r="D110">
        <v>1548</v>
      </c>
      <c r="E110" s="136">
        <v>39790</v>
      </c>
      <c r="F110">
        <v>21.361000000000001</v>
      </c>
      <c r="G110">
        <v>20.202999999999999</v>
      </c>
      <c r="H110">
        <v>21.826999999999998</v>
      </c>
      <c r="I110" s="136">
        <v>39790</v>
      </c>
      <c r="J110">
        <v>33.97</v>
      </c>
      <c r="K110">
        <v>33.6</v>
      </c>
      <c r="L110">
        <v>37.700000000000003</v>
      </c>
    </row>
    <row r="111" spans="1:12">
      <c r="A111" s="136">
        <v>39791</v>
      </c>
      <c r="B111">
        <v>1520</v>
      </c>
      <c r="C111">
        <v>1478</v>
      </c>
      <c r="D111">
        <v>1520</v>
      </c>
      <c r="E111" s="136">
        <v>39791</v>
      </c>
      <c r="F111">
        <v>21.515999999999998</v>
      </c>
      <c r="G111">
        <v>20.817</v>
      </c>
      <c r="H111">
        <v>22.521999999999998</v>
      </c>
      <c r="I111" s="136">
        <v>39791</v>
      </c>
      <c r="J111">
        <v>35.67</v>
      </c>
      <c r="K111">
        <v>33.659999999999997</v>
      </c>
      <c r="L111">
        <v>35.700000000000003</v>
      </c>
    </row>
    <row r="112" spans="1:12">
      <c r="A112" s="136">
        <v>39792</v>
      </c>
      <c r="B112">
        <v>1505</v>
      </c>
      <c r="C112">
        <v>1502</v>
      </c>
      <c r="D112">
        <v>1546</v>
      </c>
      <c r="E112" s="136">
        <v>39792</v>
      </c>
      <c r="F112">
        <v>21.885000000000002</v>
      </c>
      <c r="G112">
        <v>21.344999999999999</v>
      </c>
      <c r="H112">
        <v>22.350999999999999</v>
      </c>
      <c r="I112" s="136">
        <v>39792</v>
      </c>
      <c r="J112">
        <v>34.4</v>
      </c>
      <c r="K112">
        <v>33.08</v>
      </c>
      <c r="L112">
        <v>34.96</v>
      </c>
    </row>
    <row r="113" spans="1:12">
      <c r="A113" s="136">
        <v>39793</v>
      </c>
      <c r="B113">
        <v>1520</v>
      </c>
      <c r="C113">
        <v>1505</v>
      </c>
      <c r="D113">
        <v>1573.25</v>
      </c>
      <c r="E113" s="136">
        <v>39793</v>
      </c>
      <c r="F113">
        <v>22.06</v>
      </c>
      <c r="G113">
        <v>21.454000000000001</v>
      </c>
      <c r="H113">
        <v>22.367000000000001</v>
      </c>
      <c r="I113" s="136">
        <v>39793</v>
      </c>
      <c r="J113">
        <v>32.6</v>
      </c>
      <c r="K113">
        <v>29.74</v>
      </c>
      <c r="L113">
        <v>32.76</v>
      </c>
    </row>
    <row r="114" spans="1:12">
      <c r="A114" s="136">
        <v>39794</v>
      </c>
      <c r="B114">
        <v>1565</v>
      </c>
      <c r="C114">
        <v>1483</v>
      </c>
      <c r="D114">
        <v>1568</v>
      </c>
      <c r="E114" s="136">
        <v>39794</v>
      </c>
      <c r="F114">
        <v>20.428999999999998</v>
      </c>
      <c r="G114">
        <v>19.497</v>
      </c>
      <c r="H114">
        <v>21.283000000000001</v>
      </c>
      <c r="I114" s="136">
        <v>39794</v>
      </c>
      <c r="J114">
        <v>28.44</v>
      </c>
      <c r="K114">
        <v>28.01</v>
      </c>
      <c r="L114">
        <v>31.22</v>
      </c>
    </row>
    <row r="115" spans="1:12">
      <c r="A115" s="136">
        <v>39795</v>
      </c>
      <c r="B115">
        <v>1565</v>
      </c>
      <c r="C115">
        <v>1483</v>
      </c>
      <c r="D115">
        <v>1568</v>
      </c>
      <c r="E115" s="136">
        <v>39795</v>
      </c>
      <c r="F115">
        <v>20.428999999999998</v>
      </c>
      <c r="G115">
        <v>19.497</v>
      </c>
      <c r="H115">
        <v>21.283000000000001</v>
      </c>
      <c r="I115" s="136">
        <v>39795</v>
      </c>
      <c r="J115">
        <v>28.44</v>
      </c>
      <c r="K115">
        <v>28.01</v>
      </c>
      <c r="L115">
        <v>31.22</v>
      </c>
    </row>
    <row r="116" spans="1:12">
      <c r="A116" s="136">
        <v>39796</v>
      </c>
      <c r="B116">
        <v>1565</v>
      </c>
      <c r="C116">
        <v>1483</v>
      </c>
      <c r="D116">
        <v>1568</v>
      </c>
      <c r="E116" s="136">
        <v>39796</v>
      </c>
      <c r="F116">
        <v>20.428999999999998</v>
      </c>
      <c r="G116">
        <v>19.497</v>
      </c>
      <c r="H116">
        <v>21.283000000000001</v>
      </c>
      <c r="I116" s="136">
        <v>39796</v>
      </c>
      <c r="J116">
        <v>28.44</v>
      </c>
      <c r="K116">
        <v>28.01</v>
      </c>
      <c r="L116">
        <v>31.22</v>
      </c>
    </row>
    <row r="117" spans="1:12">
      <c r="A117" s="136">
        <v>39797</v>
      </c>
      <c r="B117">
        <v>1520</v>
      </c>
      <c r="C117">
        <v>1458</v>
      </c>
      <c r="D117">
        <v>1540</v>
      </c>
      <c r="E117" s="136">
        <v>39797</v>
      </c>
      <c r="F117">
        <v>21.384</v>
      </c>
      <c r="G117">
        <v>20.821000000000002</v>
      </c>
      <c r="H117">
        <v>21.670999999999999</v>
      </c>
      <c r="I117" s="136">
        <v>39797</v>
      </c>
      <c r="J117">
        <v>29.34</v>
      </c>
      <c r="K117">
        <v>28.17</v>
      </c>
      <c r="L117">
        <v>29.78</v>
      </c>
    </row>
    <row r="118" spans="1:12">
      <c r="A118" s="136">
        <v>39798</v>
      </c>
      <c r="B118">
        <v>1477</v>
      </c>
      <c r="C118">
        <v>1435</v>
      </c>
      <c r="D118">
        <v>1495.25</v>
      </c>
      <c r="E118" s="136">
        <v>39798</v>
      </c>
      <c r="F118">
        <v>21.12</v>
      </c>
      <c r="G118">
        <v>20.809000000000001</v>
      </c>
      <c r="H118">
        <v>21.835000000000001</v>
      </c>
      <c r="I118" s="136">
        <v>39798</v>
      </c>
      <c r="J118">
        <v>29.01</v>
      </c>
      <c r="K118">
        <v>28.84</v>
      </c>
      <c r="L118">
        <v>32.75</v>
      </c>
    </row>
    <row r="119" spans="1:12">
      <c r="A119" s="136">
        <v>39799</v>
      </c>
      <c r="B119">
        <v>1490</v>
      </c>
      <c r="C119">
        <v>1462</v>
      </c>
      <c r="D119">
        <v>1510.15</v>
      </c>
      <c r="E119" s="136">
        <v>39799</v>
      </c>
      <c r="F119">
        <v>22.681000000000001</v>
      </c>
      <c r="G119">
        <v>19.745000000000001</v>
      </c>
      <c r="H119">
        <v>22.681000000000001</v>
      </c>
      <c r="I119" s="136">
        <v>39799</v>
      </c>
      <c r="J119">
        <v>31.5</v>
      </c>
      <c r="K119">
        <v>31.05</v>
      </c>
      <c r="L119">
        <v>32.89</v>
      </c>
    </row>
    <row r="120" spans="1:12">
      <c r="A120" s="136">
        <v>39800</v>
      </c>
      <c r="B120">
        <v>1500</v>
      </c>
      <c r="C120">
        <v>1430.5</v>
      </c>
      <c r="D120">
        <v>1520</v>
      </c>
      <c r="E120" s="136">
        <v>39800</v>
      </c>
      <c r="F120">
        <v>20.273</v>
      </c>
      <c r="G120">
        <v>19.690999999999999</v>
      </c>
      <c r="H120">
        <v>20.506</v>
      </c>
      <c r="I120" s="136">
        <v>39800</v>
      </c>
      <c r="J120">
        <v>32.159999999999997</v>
      </c>
      <c r="K120">
        <v>30.12</v>
      </c>
      <c r="L120">
        <v>32.590000000000003</v>
      </c>
    </row>
    <row r="121" spans="1:12">
      <c r="A121" s="136">
        <v>39801</v>
      </c>
      <c r="B121">
        <v>1490</v>
      </c>
      <c r="C121">
        <v>1478</v>
      </c>
      <c r="D121">
        <v>1523</v>
      </c>
      <c r="E121" s="136">
        <v>39801</v>
      </c>
      <c r="F121">
        <v>19.885000000000002</v>
      </c>
      <c r="G121">
        <v>19.515999999999998</v>
      </c>
      <c r="H121">
        <v>20.739000000000001</v>
      </c>
      <c r="I121" s="136">
        <v>39801</v>
      </c>
      <c r="J121">
        <v>30.11</v>
      </c>
      <c r="K121">
        <v>29.78</v>
      </c>
      <c r="L121">
        <v>31.25</v>
      </c>
    </row>
    <row r="122" spans="1:12">
      <c r="A122" s="136">
        <v>39802</v>
      </c>
      <c r="B122">
        <v>1490</v>
      </c>
      <c r="C122">
        <v>1478</v>
      </c>
      <c r="D122">
        <v>1523</v>
      </c>
      <c r="E122" s="136">
        <v>39802</v>
      </c>
      <c r="F122">
        <v>19.885000000000002</v>
      </c>
      <c r="G122">
        <v>19.515999999999998</v>
      </c>
      <c r="H122">
        <v>20.739000000000001</v>
      </c>
      <c r="I122" s="136">
        <v>39802</v>
      </c>
      <c r="J122">
        <v>30.11</v>
      </c>
      <c r="K122">
        <v>29.78</v>
      </c>
      <c r="L122">
        <v>31.25</v>
      </c>
    </row>
    <row r="123" spans="1:12">
      <c r="A123" s="136">
        <v>39803</v>
      </c>
      <c r="B123">
        <v>1490</v>
      </c>
      <c r="C123">
        <v>1478</v>
      </c>
      <c r="D123">
        <v>1523</v>
      </c>
      <c r="E123" s="136">
        <v>39803</v>
      </c>
      <c r="F123">
        <v>19.885000000000002</v>
      </c>
      <c r="G123">
        <v>19.515999999999998</v>
      </c>
      <c r="H123">
        <v>20.739000000000001</v>
      </c>
      <c r="I123" s="136">
        <v>39803</v>
      </c>
      <c r="J123">
        <v>30.11</v>
      </c>
      <c r="K123">
        <v>29.78</v>
      </c>
      <c r="L123">
        <v>31.25</v>
      </c>
    </row>
    <row r="124" spans="1:12">
      <c r="A124" s="136">
        <v>39804</v>
      </c>
      <c r="B124">
        <v>1522</v>
      </c>
      <c r="C124">
        <v>1500</v>
      </c>
      <c r="D124">
        <v>1564</v>
      </c>
      <c r="E124" s="136">
        <v>39804</v>
      </c>
      <c r="F124">
        <v>20.934000000000001</v>
      </c>
      <c r="G124">
        <v>19.497</v>
      </c>
      <c r="H124">
        <v>20.934000000000001</v>
      </c>
      <c r="I124" s="136">
        <v>39804</v>
      </c>
      <c r="J124">
        <v>30.64</v>
      </c>
      <c r="K124">
        <v>29.51</v>
      </c>
      <c r="L124">
        <v>31.19</v>
      </c>
    </row>
    <row r="125" spans="1:12">
      <c r="A125" s="136">
        <v>39805</v>
      </c>
      <c r="B125">
        <v>1560</v>
      </c>
      <c r="C125">
        <v>1539.75</v>
      </c>
      <c r="D125">
        <v>1585</v>
      </c>
      <c r="E125" s="136">
        <v>39805</v>
      </c>
      <c r="F125">
        <v>19.690999999999999</v>
      </c>
      <c r="G125">
        <v>19.574000000000002</v>
      </c>
      <c r="H125">
        <v>20.196000000000002</v>
      </c>
      <c r="I125" s="136">
        <v>39805</v>
      </c>
      <c r="J125">
        <v>30.23</v>
      </c>
      <c r="K125">
        <v>29.11</v>
      </c>
      <c r="L125">
        <v>30.4</v>
      </c>
    </row>
    <row r="126" spans="1:12">
      <c r="A126" s="136">
        <v>39806</v>
      </c>
      <c r="B126">
        <v>1565</v>
      </c>
      <c r="C126">
        <v>1525.15</v>
      </c>
      <c r="D126">
        <v>1577</v>
      </c>
      <c r="E126" s="136">
        <v>39806</v>
      </c>
      <c r="F126">
        <v>19.690999999999999</v>
      </c>
      <c r="G126">
        <v>19.574000000000002</v>
      </c>
      <c r="H126">
        <v>20.196000000000002</v>
      </c>
      <c r="I126" s="136">
        <v>39806</v>
      </c>
      <c r="J126">
        <v>28.65</v>
      </c>
      <c r="K126">
        <v>28.65</v>
      </c>
      <c r="L126">
        <v>29.88</v>
      </c>
    </row>
    <row r="127" spans="1:12">
      <c r="A127" s="136">
        <v>39807</v>
      </c>
      <c r="B127">
        <v>1565</v>
      </c>
      <c r="C127">
        <v>1525.15</v>
      </c>
      <c r="D127">
        <v>1577</v>
      </c>
      <c r="E127" s="136">
        <v>39807</v>
      </c>
      <c r="F127">
        <v>19.690999999999999</v>
      </c>
      <c r="G127">
        <v>19.574000000000002</v>
      </c>
      <c r="H127">
        <v>20.196000000000002</v>
      </c>
      <c r="I127" s="136">
        <v>39807</v>
      </c>
      <c r="J127">
        <v>28.65</v>
      </c>
      <c r="K127">
        <v>28.65</v>
      </c>
      <c r="L127">
        <v>29.88</v>
      </c>
    </row>
    <row r="128" spans="1:12">
      <c r="A128" s="136">
        <v>39808</v>
      </c>
      <c r="B128">
        <v>1565</v>
      </c>
      <c r="C128">
        <v>1525.15</v>
      </c>
      <c r="D128">
        <v>1577</v>
      </c>
      <c r="E128" s="136">
        <v>39808</v>
      </c>
      <c r="F128">
        <v>19.690999999999999</v>
      </c>
      <c r="G128">
        <v>19.574000000000002</v>
      </c>
      <c r="H128">
        <v>20.196000000000002</v>
      </c>
      <c r="I128" s="136">
        <v>39808</v>
      </c>
      <c r="J128">
        <v>30.05</v>
      </c>
      <c r="K128">
        <v>29.25</v>
      </c>
      <c r="L128">
        <v>30.26</v>
      </c>
    </row>
    <row r="129" spans="1:12">
      <c r="A129" s="136">
        <v>39809</v>
      </c>
      <c r="B129">
        <v>1565</v>
      </c>
      <c r="C129">
        <v>1525.15</v>
      </c>
      <c r="D129">
        <v>1577</v>
      </c>
      <c r="E129" s="136">
        <v>39809</v>
      </c>
      <c r="F129">
        <v>19.690999999999999</v>
      </c>
      <c r="G129">
        <v>19.574000000000002</v>
      </c>
      <c r="H129">
        <v>20.196000000000002</v>
      </c>
      <c r="I129" s="136">
        <v>39809</v>
      </c>
      <c r="J129">
        <v>30.05</v>
      </c>
      <c r="K129">
        <v>29.25</v>
      </c>
      <c r="L129">
        <v>30.26</v>
      </c>
    </row>
    <row r="130" spans="1:12">
      <c r="A130" s="136">
        <v>39810</v>
      </c>
      <c r="B130">
        <v>1565</v>
      </c>
      <c r="C130">
        <v>1525.15</v>
      </c>
      <c r="D130">
        <v>1577</v>
      </c>
      <c r="E130" s="136">
        <v>39810</v>
      </c>
      <c r="F130">
        <v>19.690999999999999</v>
      </c>
      <c r="G130">
        <v>19.574000000000002</v>
      </c>
      <c r="H130">
        <v>20.196000000000002</v>
      </c>
      <c r="I130" s="136">
        <v>39810</v>
      </c>
      <c r="J130">
        <v>30.05</v>
      </c>
      <c r="K130">
        <v>29.25</v>
      </c>
      <c r="L130">
        <v>30.26</v>
      </c>
    </row>
    <row r="131" spans="1:12">
      <c r="A131" s="136">
        <v>39811</v>
      </c>
      <c r="B131">
        <v>1550</v>
      </c>
      <c r="C131">
        <v>1505</v>
      </c>
      <c r="D131">
        <v>1550</v>
      </c>
      <c r="E131" s="136">
        <v>39811</v>
      </c>
      <c r="F131">
        <v>20.584</v>
      </c>
      <c r="G131">
        <v>20.196000000000002</v>
      </c>
      <c r="H131">
        <v>21.353000000000002</v>
      </c>
      <c r="I131" s="136">
        <v>39811</v>
      </c>
      <c r="J131">
        <v>29.99</v>
      </c>
      <c r="K131">
        <v>28.8</v>
      </c>
      <c r="L131">
        <v>30.02</v>
      </c>
    </row>
    <row r="132" spans="1:12">
      <c r="A132" s="136">
        <v>39812</v>
      </c>
      <c r="B132">
        <v>1520</v>
      </c>
      <c r="C132">
        <v>1465</v>
      </c>
      <c r="D132">
        <v>1527</v>
      </c>
      <c r="E132" s="136">
        <v>39812</v>
      </c>
      <c r="F132">
        <v>21.515999999999998</v>
      </c>
      <c r="G132">
        <v>21.209</v>
      </c>
      <c r="H132">
        <v>22.013000000000002</v>
      </c>
      <c r="I132" s="136">
        <v>39812</v>
      </c>
      <c r="J132">
        <v>29.89</v>
      </c>
      <c r="K132">
        <v>29.88</v>
      </c>
      <c r="L132">
        <v>31.05</v>
      </c>
    </row>
    <row r="133" spans="1:12">
      <c r="A133" s="136">
        <v>39813</v>
      </c>
      <c r="B133">
        <v>1502</v>
      </c>
      <c r="C133">
        <v>1495.75</v>
      </c>
      <c r="D133">
        <v>1540.25</v>
      </c>
      <c r="E133" s="136">
        <v>39813</v>
      </c>
      <c r="F133">
        <v>21.515999999999998</v>
      </c>
      <c r="G133">
        <v>21.209</v>
      </c>
      <c r="H133">
        <v>22.013000000000002</v>
      </c>
      <c r="I133" s="136">
        <v>39813</v>
      </c>
      <c r="J133">
        <v>30.7</v>
      </c>
      <c r="K133">
        <v>30.44</v>
      </c>
      <c r="L133">
        <v>31.94</v>
      </c>
    </row>
    <row r="134" spans="1:12">
      <c r="A134" s="136">
        <v>39814</v>
      </c>
      <c r="B134">
        <v>1502</v>
      </c>
      <c r="C134">
        <v>1495.75</v>
      </c>
      <c r="D134">
        <v>1540.25</v>
      </c>
      <c r="E134" s="136">
        <v>39814</v>
      </c>
      <c r="F134">
        <v>21.515999999999998</v>
      </c>
      <c r="G134">
        <v>21.209</v>
      </c>
      <c r="H134">
        <v>22.013000000000002</v>
      </c>
      <c r="I134" s="136">
        <v>39814</v>
      </c>
      <c r="J134">
        <v>30.7</v>
      </c>
      <c r="K134">
        <v>30.44</v>
      </c>
      <c r="L134">
        <v>31.94</v>
      </c>
    </row>
    <row r="135" spans="1:12">
      <c r="A135" s="136">
        <v>39815</v>
      </c>
      <c r="B135">
        <v>1525</v>
      </c>
      <c r="C135">
        <v>1515.25</v>
      </c>
      <c r="D135">
        <v>1585</v>
      </c>
      <c r="E135" s="136">
        <v>39815</v>
      </c>
      <c r="F135">
        <v>22.215</v>
      </c>
      <c r="G135">
        <v>21.718</v>
      </c>
      <c r="H135">
        <v>22.882999999999999</v>
      </c>
      <c r="I135" s="136">
        <v>39815</v>
      </c>
      <c r="J135">
        <v>31.19</v>
      </c>
      <c r="K135">
        <v>30.47</v>
      </c>
      <c r="L135">
        <v>31.64</v>
      </c>
    </row>
    <row r="136" spans="1:12">
      <c r="A136" s="136">
        <v>39816</v>
      </c>
      <c r="B136">
        <v>1525</v>
      </c>
      <c r="C136">
        <v>1515.25</v>
      </c>
      <c r="D136">
        <v>1585</v>
      </c>
      <c r="E136" s="136">
        <v>39816</v>
      </c>
      <c r="F136">
        <v>22.215</v>
      </c>
      <c r="G136">
        <v>21.718</v>
      </c>
      <c r="H136">
        <v>22.882999999999999</v>
      </c>
      <c r="I136" s="136">
        <v>39816</v>
      </c>
      <c r="J136">
        <v>31.19</v>
      </c>
      <c r="K136">
        <v>30.47</v>
      </c>
      <c r="L136">
        <v>31.64</v>
      </c>
    </row>
    <row r="137" spans="1:12">
      <c r="A137" s="136">
        <v>39817</v>
      </c>
      <c r="B137">
        <v>1525</v>
      </c>
      <c r="C137">
        <v>1515.25</v>
      </c>
      <c r="D137">
        <v>1585</v>
      </c>
      <c r="E137" s="136">
        <v>39817</v>
      </c>
      <c r="F137">
        <v>22.215</v>
      </c>
      <c r="G137">
        <v>21.718</v>
      </c>
      <c r="H137">
        <v>22.882999999999999</v>
      </c>
      <c r="I137" s="136">
        <v>39817</v>
      </c>
      <c r="J137">
        <v>31.19</v>
      </c>
      <c r="K137">
        <v>30.47</v>
      </c>
      <c r="L137">
        <v>31.64</v>
      </c>
    </row>
    <row r="138" spans="1:12">
      <c r="A138" s="136">
        <v>39818</v>
      </c>
      <c r="B138">
        <v>1570</v>
      </c>
      <c r="C138">
        <v>1535</v>
      </c>
      <c r="D138">
        <v>1584</v>
      </c>
      <c r="E138" s="136">
        <v>39818</v>
      </c>
      <c r="F138">
        <v>22.626999999999999</v>
      </c>
      <c r="G138">
        <v>21.981999999999999</v>
      </c>
      <c r="H138">
        <v>22.992000000000001</v>
      </c>
      <c r="I138" s="136">
        <v>39818</v>
      </c>
      <c r="J138">
        <v>30.73</v>
      </c>
      <c r="K138">
        <v>29.08</v>
      </c>
      <c r="L138">
        <v>30.77</v>
      </c>
    </row>
    <row r="139" spans="1:12">
      <c r="A139" s="136">
        <v>39819</v>
      </c>
      <c r="B139">
        <v>1555</v>
      </c>
      <c r="C139">
        <v>1555</v>
      </c>
      <c r="D139">
        <v>1630</v>
      </c>
      <c r="E139" s="136">
        <v>39819</v>
      </c>
      <c r="F139">
        <v>22.402000000000001</v>
      </c>
      <c r="G139">
        <v>21.437999999999999</v>
      </c>
      <c r="H139">
        <v>22.428999999999998</v>
      </c>
      <c r="I139" s="136">
        <v>39819</v>
      </c>
      <c r="J139">
        <v>29.79</v>
      </c>
      <c r="K139">
        <v>29.51</v>
      </c>
      <c r="L139">
        <v>30.42</v>
      </c>
    </row>
    <row r="140" spans="1:12">
      <c r="A140" s="136">
        <v>39820</v>
      </c>
      <c r="B140">
        <v>1625</v>
      </c>
      <c r="C140">
        <v>1582</v>
      </c>
      <c r="D140">
        <v>1648</v>
      </c>
      <c r="E140" s="136">
        <v>39820</v>
      </c>
      <c r="F140">
        <v>21.818999999999999</v>
      </c>
      <c r="G140">
        <v>21.068999999999999</v>
      </c>
      <c r="H140">
        <v>21.818999999999999</v>
      </c>
      <c r="I140" s="136">
        <v>39820</v>
      </c>
      <c r="J140">
        <v>29.15</v>
      </c>
      <c r="K140">
        <v>28</v>
      </c>
      <c r="L140">
        <v>29.4</v>
      </c>
    </row>
    <row r="141" spans="1:12">
      <c r="A141" s="136">
        <v>39821</v>
      </c>
      <c r="B141">
        <v>1585</v>
      </c>
      <c r="C141">
        <v>1536.5</v>
      </c>
      <c r="D141">
        <v>1585.25</v>
      </c>
      <c r="E141" s="136">
        <v>39821</v>
      </c>
      <c r="F141">
        <v>21.111999999999998</v>
      </c>
      <c r="G141">
        <v>19.419</v>
      </c>
      <c r="H141">
        <v>22.402000000000001</v>
      </c>
      <c r="I141" s="136">
        <v>39821</v>
      </c>
      <c r="J141">
        <v>27.9</v>
      </c>
      <c r="K141">
        <v>26.86</v>
      </c>
      <c r="L141">
        <v>27.95</v>
      </c>
    </row>
    <row r="142" spans="1:12">
      <c r="A142" s="136">
        <v>39822</v>
      </c>
      <c r="B142">
        <v>1565</v>
      </c>
      <c r="C142">
        <v>1541.5</v>
      </c>
      <c r="D142">
        <v>1590</v>
      </c>
      <c r="E142" s="136">
        <v>39822</v>
      </c>
      <c r="F142">
        <v>19.574000000000002</v>
      </c>
      <c r="G142">
        <v>18.626999999999999</v>
      </c>
      <c r="H142">
        <v>19.713999999999999</v>
      </c>
      <c r="I142" s="136">
        <v>39822</v>
      </c>
      <c r="J142">
        <v>27.55</v>
      </c>
      <c r="K142">
        <v>25.81</v>
      </c>
      <c r="L142">
        <v>27.55</v>
      </c>
    </row>
    <row r="143" spans="1:12">
      <c r="A143" s="136">
        <v>39823</v>
      </c>
      <c r="B143">
        <v>1565</v>
      </c>
      <c r="C143">
        <v>1541.5</v>
      </c>
      <c r="D143">
        <v>1590</v>
      </c>
      <c r="E143" s="136">
        <v>39823</v>
      </c>
      <c r="F143">
        <v>19.574000000000002</v>
      </c>
      <c r="G143">
        <v>18.626999999999999</v>
      </c>
      <c r="H143">
        <v>19.713999999999999</v>
      </c>
      <c r="I143" s="136">
        <v>39823</v>
      </c>
      <c r="J143">
        <v>27.55</v>
      </c>
      <c r="K143">
        <v>25.81</v>
      </c>
      <c r="L143">
        <v>27.55</v>
      </c>
    </row>
    <row r="144" spans="1:12">
      <c r="A144" s="136">
        <v>39824</v>
      </c>
      <c r="B144">
        <v>1565</v>
      </c>
      <c r="C144">
        <v>1541.5</v>
      </c>
      <c r="D144">
        <v>1590</v>
      </c>
      <c r="E144" s="136">
        <v>39824</v>
      </c>
      <c r="F144">
        <v>19.574000000000002</v>
      </c>
      <c r="G144">
        <v>18.626999999999999</v>
      </c>
      <c r="H144">
        <v>19.713999999999999</v>
      </c>
      <c r="I144" s="136">
        <v>39824</v>
      </c>
      <c r="J144">
        <v>27.55</v>
      </c>
      <c r="K144">
        <v>25.81</v>
      </c>
      <c r="L144">
        <v>27.55</v>
      </c>
    </row>
    <row r="145" spans="1:12">
      <c r="A145" s="136">
        <v>39825</v>
      </c>
      <c r="B145">
        <v>1570</v>
      </c>
      <c r="C145">
        <v>1503</v>
      </c>
      <c r="D145">
        <v>1595</v>
      </c>
      <c r="E145" s="136">
        <v>39825</v>
      </c>
      <c r="F145">
        <v>18.347000000000001</v>
      </c>
      <c r="G145">
        <v>18.347000000000001</v>
      </c>
      <c r="H145">
        <v>19.216999999999999</v>
      </c>
      <c r="I145" s="136">
        <v>39825</v>
      </c>
      <c r="J145">
        <v>25.92</v>
      </c>
      <c r="K145">
        <v>24.5</v>
      </c>
      <c r="L145">
        <v>26.15</v>
      </c>
    </row>
    <row r="146" spans="1:12">
      <c r="A146" s="136">
        <v>39826</v>
      </c>
      <c r="B146">
        <v>1520</v>
      </c>
      <c r="C146">
        <v>1466</v>
      </c>
      <c r="D146">
        <v>1525</v>
      </c>
      <c r="E146" s="136">
        <v>39826</v>
      </c>
      <c r="F146">
        <v>19.023</v>
      </c>
      <c r="G146">
        <v>18.564</v>
      </c>
      <c r="H146">
        <v>19.562999999999999</v>
      </c>
      <c r="I146" s="136">
        <v>39826</v>
      </c>
      <c r="J146">
        <v>25.21</v>
      </c>
      <c r="K146">
        <v>24.27</v>
      </c>
      <c r="L146">
        <v>26.59</v>
      </c>
    </row>
    <row r="147" spans="1:12">
      <c r="A147" s="136">
        <v>39827</v>
      </c>
      <c r="B147">
        <v>1524</v>
      </c>
      <c r="C147">
        <v>1470</v>
      </c>
      <c r="D147">
        <v>1535</v>
      </c>
      <c r="E147" s="136">
        <v>39827</v>
      </c>
      <c r="F147">
        <v>18.812999999999999</v>
      </c>
      <c r="G147">
        <v>16.39</v>
      </c>
      <c r="H147">
        <v>19.318000000000001</v>
      </c>
      <c r="I147" s="136">
        <v>39827</v>
      </c>
      <c r="J147">
        <v>25.59</v>
      </c>
      <c r="K147">
        <v>24.76</v>
      </c>
      <c r="L147">
        <v>26.28</v>
      </c>
    </row>
    <row r="148" spans="1:12">
      <c r="A148" s="136">
        <v>39828</v>
      </c>
      <c r="B148">
        <v>1495</v>
      </c>
      <c r="C148">
        <v>1451</v>
      </c>
      <c r="D148">
        <v>1500</v>
      </c>
      <c r="E148" s="136">
        <v>39828</v>
      </c>
      <c r="F148">
        <v>17.088999999999999</v>
      </c>
      <c r="G148">
        <v>15.714</v>
      </c>
      <c r="H148">
        <v>17.632000000000001</v>
      </c>
      <c r="I148" s="136">
        <v>39828</v>
      </c>
      <c r="J148">
        <v>26.54</v>
      </c>
      <c r="K148">
        <v>23.76</v>
      </c>
      <c r="L148">
        <v>27.05</v>
      </c>
    </row>
    <row r="149" spans="1:12">
      <c r="A149" s="136">
        <v>39829</v>
      </c>
      <c r="B149">
        <v>1480</v>
      </c>
      <c r="C149">
        <v>1454</v>
      </c>
      <c r="D149">
        <v>1500</v>
      </c>
      <c r="E149" s="136">
        <v>39829</v>
      </c>
      <c r="F149">
        <v>16.800999999999998</v>
      </c>
      <c r="G149">
        <v>15.154</v>
      </c>
      <c r="H149">
        <v>17.274999999999999</v>
      </c>
      <c r="I149" s="136">
        <v>39829</v>
      </c>
      <c r="J149">
        <v>24.83</v>
      </c>
      <c r="K149">
        <v>20.53</v>
      </c>
      <c r="L149">
        <v>25</v>
      </c>
    </row>
    <row r="150" spans="1:12">
      <c r="A150" s="136">
        <v>39830</v>
      </c>
      <c r="B150">
        <v>1480</v>
      </c>
      <c r="C150">
        <v>1454</v>
      </c>
      <c r="D150">
        <v>1500</v>
      </c>
      <c r="E150" s="136">
        <v>39830</v>
      </c>
      <c r="F150">
        <v>16.800999999999998</v>
      </c>
      <c r="G150">
        <v>15.154</v>
      </c>
      <c r="H150">
        <v>17.274999999999999</v>
      </c>
      <c r="I150" s="136">
        <v>39830</v>
      </c>
      <c r="J150">
        <v>24.83</v>
      </c>
      <c r="K150">
        <v>20.53</v>
      </c>
      <c r="L150">
        <v>25</v>
      </c>
    </row>
    <row r="151" spans="1:12">
      <c r="A151" s="136">
        <v>39831</v>
      </c>
      <c r="B151">
        <v>1480</v>
      </c>
      <c r="C151">
        <v>1454</v>
      </c>
      <c r="D151">
        <v>1500</v>
      </c>
      <c r="E151" s="136">
        <v>39831</v>
      </c>
      <c r="F151">
        <v>16.800999999999998</v>
      </c>
      <c r="G151">
        <v>15.154</v>
      </c>
      <c r="H151">
        <v>17.274999999999999</v>
      </c>
      <c r="I151" s="136">
        <v>39831</v>
      </c>
      <c r="J151">
        <v>24.83</v>
      </c>
      <c r="K151">
        <v>20.53</v>
      </c>
      <c r="L151">
        <v>25</v>
      </c>
    </row>
    <row r="152" spans="1:12">
      <c r="A152" s="136">
        <v>39832</v>
      </c>
      <c r="B152">
        <v>1469</v>
      </c>
      <c r="C152">
        <v>1408</v>
      </c>
      <c r="D152">
        <v>1485</v>
      </c>
      <c r="E152" s="136">
        <v>39832</v>
      </c>
      <c r="F152">
        <v>15.834</v>
      </c>
      <c r="G152">
        <v>13.516</v>
      </c>
      <c r="H152">
        <v>15.834</v>
      </c>
      <c r="I152" s="136">
        <v>39832</v>
      </c>
      <c r="J152">
        <v>24.83</v>
      </c>
      <c r="K152">
        <v>20.53</v>
      </c>
      <c r="L152">
        <v>25</v>
      </c>
    </row>
    <row r="153" spans="1:12">
      <c r="A153" s="136">
        <v>39833</v>
      </c>
      <c r="B153">
        <v>1427</v>
      </c>
      <c r="C153">
        <v>1370</v>
      </c>
      <c r="D153">
        <v>1427</v>
      </c>
      <c r="E153" s="136">
        <v>39833</v>
      </c>
      <c r="F153">
        <v>13.865</v>
      </c>
      <c r="G153">
        <v>12.956</v>
      </c>
      <c r="H153">
        <v>14.448</v>
      </c>
      <c r="I153" s="136">
        <v>39833</v>
      </c>
      <c r="J153">
        <v>21</v>
      </c>
      <c r="K153">
        <v>17.7</v>
      </c>
      <c r="L153">
        <v>21.27</v>
      </c>
    </row>
    <row r="154" spans="1:12">
      <c r="A154" s="136">
        <v>39834</v>
      </c>
      <c r="B154">
        <v>1386</v>
      </c>
      <c r="C154">
        <v>1330</v>
      </c>
      <c r="D154">
        <v>1393</v>
      </c>
      <c r="E154" s="136">
        <v>39834</v>
      </c>
      <c r="F154">
        <v>12.731</v>
      </c>
      <c r="G154">
        <v>11.946</v>
      </c>
      <c r="H154">
        <v>14.362</v>
      </c>
      <c r="I154" s="136">
        <v>39834</v>
      </c>
      <c r="J154">
        <v>19.29</v>
      </c>
      <c r="K154">
        <v>18.88</v>
      </c>
      <c r="L154">
        <v>22.84</v>
      </c>
    </row>
    <row r="155" spans="1:12">
      <c r="A155" s="136">
        <v>39835</v>
      </c>
      <c r="B155">
        <v>1340</v>
      </c>
      <c r="C155">
        <v>1325</v>
      </c>
      <c r="D155">
        <v>1362</v>
      </c>
      <c r="E155" s="136">
        <v>39835</v>
      </c>
      <c r="F155">
        <v>14.956</v>
      </c>
      <c r="G155">
        <v>13.561999999999999</v>
      </c>
      <c r="H155">
        <v>15.247999999999999</v>
      </c>
      <c r="I155" s="136">
        <v>39835</v>
      </c>
      <c r="J155">
        <v>22.36</v>
      </c>
      <c r="K155">
        <v>21.21</v>
      </c>
      <c r="L155">
        <v>23.83</v>
      </c>
    </row>
    <row r="156" spans="1:12">
      <c r="A156" s="136">
        <v>39836</v>
      </c>
      <c r="B156">
        <v>1336</v>
      </c>
      <c r="C156">
        <v>1316.5</v>
      </c>
      <c r="D156">
        <v>1356</v>
      </c>
      <c r="E156" s="136">
        <v>39836</v>
      </c>
      <c r="F156">
        <v>14.02</v>
      </c>
      <c r="G156">
        <v>12.801</v>
      </c>
      <c r="H156">
        <v>14.02</v>
      </c>
      <c r="I156" s="136">
        <v>39836</v>
      </c>
      <c r="J156">
        <v>21.92</v>
      </c>
      <c r="K156">
        <v>21.81</v>
      </c>
      <c r="L156">
        <v>24.58</v>
      </c>
    </row>
    <row r="157" spans="1:12">
      <c r="A157" s="136">
        <v>39837</v>
      </c>
      <c r="B157">
        <v>1336</v>
      </c>
      <c r="C157">
        <v>1316.5</v>
      </c>
      <c r="D157">
        <v>1356</v>
      </c>
      <c r="E157" s="136">
        <v>39837</v>
      </c>
      <c r="F157">
        <v>14.02</v>
      </c>
      <c r="G157">
        <v>12.801</v>
      </c>
      <c r="H157">
        <v>14.02</v>
      </c>
      <c r="I157" s="136">
        <v>39837</v>
      </c>
      <c r="J157">
        <v>21.92</v>
      </c>
      <c r="K157">
        <v>21.81</v>
      </c>
      <c r="L157">
        <v>24.58</v>
      </c>
    </row>
    <row r="158" spans="1:12">
      <c r="A158" s="136">
        <v>39838</v>
      </c>
      <c r="B158">
        <v>1336</v>
      </c>
      <c r="C158">
        <v>1316.5</v>
      </c>
      <c r="D158">
        <v>1356</v>
      </c>
      <c r="E158" s="136">
        <v>39838</v>
      </c>
      <c r="F158">
        <v>14.02</v>
      </c>
      <c r="G158">
        <v>12.801</v>
      </c>
      <c r="H158">
        <v>14.02</v>
      </c>
      <c r="I158" s="136">
        <v>39838</v>
      </c>
      <c r="J158">
        <v>21.92</v>
      </c>
      <c r="K158">
        <v>21.81</v>
      </c>
      <c r="L158">
        <v>24.58</v>
      </c>
    </row>
    <row r="159" spans="1:12">
      <c r="A159" s="136">
        <v>39839</v>
      </c>
      <c r="B159">
        <v>1345</v>
      </c>
      <c r="C159">
        <v>1325</v>
      </c>
      <c r="D159">
        <v>1390</v>
      </c>
      <c r="E159" s="136">
        <v>39839</v>
      </c>
      <c r="F159">
        <v>13.282</v>
      </c>
      <c r="G159">
        <v>12.606999999999999</v>
      </c>
      <c r="H159">
        <v>14.459</v>
      </c>
      <c r="I159" s="136">
        <v>39839</v>
      </c>
      <c r="J159">
        <v>25</v>
      </c>
      <c r="K159">
        <v>23.74</v>
      </c>
      <c r="L159">
        <v>25.75</v>
      </c>
    </row>
    <row r="160" spans="1:12">
      <c r="A160" s="136">
        <v>39840</v>
      </c>
      <c r="B160">
        <v>1376</v>
      </c>
      <c r="C160">
        <v>1331</v>
      </c>
      <c r="D160">
        <v>1400</v>
      </c>
      <c r="E160" s="136">
        <v>39840</v>
      </c>
      <c r="F160">
        <v>14.246</v>
      </c>
      <c r="G160">
        <v>13.452999999999999</v>
      </c>
      <c r="H160">
        <v>14.409000000000001</v>
      </c>
      <c r="I160" s="136">
        <v>39840</v>
      </c>
      <c r="J160">
        <v>25.12</v>
      </c>
      <c r="K160">
        <v>24.06</v>
      </c>
      <c r="L160">
        <v>25.17</v>
      </c>
    </row>
    <row r="161" spans="1:12">
      <c r="A161" s="136">
        <v>39841</v>
      </c>
      <c r="B161">
        <v>1339</v>
      </c>
      <c r="C161">
        <v>1330</v>
      </c>
      <c r="D161">
        <v>1410</v>
      </c>
      <c r="E161" s="136">
        <v>39841</v>
      </c>
      <c r="F161">
        <v>14.467000000000001</v>
      </c>
      <c r="G161">
        <v>14.467000000000001</v>
      </c>
      <c r="H161">
        <v>17.981999999999999</v>
      </c>
      <c r="I161" s="136">
        <v>39841</v>
      </c>
      <c r="J161">
        <v>27.19</v>
      </c>
      <c r="K161">
        <v>26.34</v>
      </c>
      <c r="L161">
        <v>27.77</v>
      </c>
    </row>
    <row r="162" spans="1:12">
      <c r="A162" s="136">
        <v>39842</v>
      </c>
      <c r="B162">
        <v>1369</v>
      </c>
      <c r="C162">
        <v>1335</v>
      </c>
      <c r="D162">
        <v>1380</v>
      </c>
      <c r="E162" s="136">
        <v>39842</v>
      </c>
      <c r="F162">
        <v>17.593</v>
      </c>
      <c r="G162">
        <v>15.869</v>
      </c>
      <c r="H162">
        <v>17.974</v>
      </c>
      <c r="I162" s="136">
        <v>39842</v>
      </c>
      <c r="J162">
        <v>26.74</v>
      </c>
      <c r="K162">
        <v>25.25</v>
      </c>
      <c r="L162">
        <v>27.18</v>
      </c>
    </row>
    <row r="163" spans="1:12">
      <c r="A163" s="136">
        <v>39843</v>
      </c>
      <c r="B163">
        <v>1375</v>
      </c>
      <c r="C163">
        <v>1338</v>
      </c>
      <c r="D163">
        <v>1380</v>
      </c>
      <c r="E163" s="136">
        <v>39843</v>
      </c>
      <c r="F163">
        <v>15.651999999999999</v>
      </c>
      <c r="G163">
        <v>15.561999999999999</v>
      </c>
      <c r="H163">
        <v>16.963999999999999</v>
      </c>
      <c r="I163" s="136">
        <v>39843</v>
      </c>
      <c r="J163">
        <v>25.81</v>
      </c>
      <c r="K163">
        <v>24.6</v>
      </c>
      <c r="L163">
        <v>26.98</v>
      </c>
    </row>
    <row r="164" spans="1:12">
      <c r="A164" s="136">
        <v>39844</v>
      </c>
      <c r="B164">
        <v>1375</v>
      </c>
      <c r="C164">
        <v>1338</v>
      </c>
      <c r="D164">
        <v>1380</v>
      </c>
      <c r="E164" s="136">
        <v>39844</v>
      </c>
      <c r="F164">
        <v>15.651999999999999</v>
      </c>
      <c r="G164">
        <v>15.561999999999999</v>
      </c>
      <c r="H164">
        <v>16.963999999999999</v>
      </c>
      <c r="I164" s="136">
        <v>39844</v>
      </c>
      <c r="J164">
        <v>25.81</v>
      </c>
      <c r="K164">
        <v>24.6</v>
      </c>
      <c r="L164">
        <v>26.98</v>
      </c>
    </row>
    <row r="165" spans="1:12">
      <c r="A165" s="136">
        <v>39845</v>
      </c>
      <c r="B165">
        <v>1375</v>
      </c>
      <c r="C165">
        <v>1338</v>
      </c>
      <c r="D165">
        <v>1380</v>
      </c>
      <c r="E165" s="136">
        <v>39845</v>
      </c>
      <c r="F165">
        <v>15.651999999999999</v>
      </c>
      <c r="G165">
        <v>15.561999999999999</v>
      </c>
      <c r="H165">
        <v>16.963999999999999</v>
      </c>
      <c r="I165" s="136">
        <v>39845</v>
      </c>
      <c r="J165">
        <v>25.81</v>
      </c>
      <c r="K165">
        <v>24.6</v>
      </c>
      <c r="L165">
        <v>26.98</v>
      </c>
    </row>
    <row r="166" spans="1:12">
      <c r="A166" s="136">
        <v>39846</v>
      </c>
      <c r="B166">
        <v>1349</v>
      </c>
      <c r="C166">
        <v>1340</v>
      </c>
      <c r="D166">
        <v>1390</v>
      </c>
      <c r="E166" s="136">
        <v>39846</v>
      </c>
      <c r="F166">
        <v>15.807</v>
      </c>
      <c r="G166">
        <v>14.571999999999999</v>
      </c>
      <c r="H166">
        <v>15.807</v>
      </c>
      <c r="I166" s="136">
        <v>39846</v>
      </c>
      <c r="J166">
        <v>25</v>
      </c>
      <c r="K166">
        <v>24.35</v>
      </c>
      <c r="L166">
        <v>25.68</v>
      </c>
    </row>
    <row r="167" spans="1:12">
      <c r="A167" s="136">
        <v>39847</v>
      </c>
      <c r="B167">
        <v>1385</v>
      </c>
      <c r="C167">
        <v>1366</v>
      </c>
      <c r="D167">
        <v>1420</v>
      </c>
      <c r="E167" s="136">
        <v>39847</v>
      </c>
      <c r="F167">
        <v>15.279</v>
      </c>
      <c r="G167">
        <v>15.077</v>
      </c>
      <c r="H167">
        <v>16.350999999999999</v>
      </c>
      <c r="I167" s="136">
        <v>39847</v>
      </c>
      <c r="J167">
        <v>25.03</v>
      </c>
      <c r="K167">
        <v>23.7</v>
      </c>
      <c r="L167">
        <v>25.45</v>
      </c>
    </row>
    <row r="168" spans="1:12">
      <c r="A168" s="136">
        <v>39848</v>
      </c>
      <c r="B168">
        <v>1401</v>
      </c>
      <c r="C168">
        <v>1397</v>
      </c>
      <c r="D168">
        <v>1449</v>
      </c>
      <c r="E168" s="136">
        <v>39848</v>
      </c>
      <c r="F168">
        <v>16.234000000000002</v>
      </c>
      <c r="G168">
        <v>16.079000000000001</v>
      </c>
      <c r="H168">
        <v>17.196999999999999</v>
      </c>
      <c r="I168" s="136">
        <v>39848</v>
      </c>
      <c r="J168">
        <v>24.25</v>
      </c>
      <c r="K168">
        <v>23.74</v>
      </c>
      <c r="L168">
        <v>25.5</v>
      </c>
    </row>
    <row r="169" spans="1:12">
      <c r="A169" s="136">
        <v>39849</v>
      </c>
      <c r="B169">
        <v>1431</v>
      </c>
      <c r="C169">
        <v>1415</v>
      </c>
      <c r="D169">
        <v>1462</v>
      </c>
      <c r="E169" s="136">
        <v>39849</v>
      </c>
      <c r="F169">
        <v>15.807</v>
      </c>
      <c r="G169">
        <v>14.914</v>
      </c>
      <c r="H169">
        <v>16.443999999999999</v>
      </c>
      <c r="I169" s="136">
        <v>39849</v>
      </c>
      <c r="J169">
        <v>23.74</v>
      </c>
      <c r="K169">
        <v>22.49</v>
      </c>
      <c r="L169">
        <v>25.32</v>
      </c>
    </row>
    <row r="170" spans="1:12">
      <c r="A170" s="136">
        <v>39850</v>
      </c>
      <c r="B170">
        <v>1430</v>
      </c>
      <c r="C170">
        <v>1425</v>
      </c>
      <c r="D170">
        <v>1478</v>
      </c>
      <c r="E170" s="136">
        <v>39850</v>
      </c>
      <c r="F170">
        <v>16.04</v>
      </c>
      <c r="G170">
        <v>15.617000000000001</v>
      </c>
      <c r="H170">
        <v>17.221</v>
      </c>
      <c r="I170" s="136">
        <v>39850</v>
      </c>
      <c r="J170">
        <v>25.51</v>
      </c>
      <c r="K170">
        <v>25.3</v>
      </c>
      <c r="L170">
        <v>27.8</v>
      </c>
    </row>
    <row r="171" spans="1:12">
      <c r="A171" s="136">
        <v>39851</v>
      </c>
      <c r="B171">
        <v>1430</v>
      </c>
      <c r="C171">
        <v>1425</v>
      </c>
      <c r="D171">
        <v>1478</v>
      </c>
      <c r="E171" s="136">
        <v>39851</v>
      </c>
      <c r="F171">
        <v>16.04</v>
      </c>
      <c r="G171">
        <v>15.617000000000001</v>
      </c>
      <c r="H171">
        <v>17.221</v>
      </c>
      <c r="I171" s="136">
        <v>39851</v>
      </c>
      <c r="J171">
        <v>25.51</v>
      </c>
      <c r="K171">
        <v>25.3</v>
      </c>
      <c r="L171">
        <v>27.8</v>
      </c>
    </row>
    <row r="172" spans="1:12">
      <c r="A172" s="136">
        <v>39852</v>
      </c>
      <c r="B172">
        <v>1430</v>
      </c>
      <c r="C172">
        <v>1425</v>
      </c>
      <c r="D172">
        <v>1478</v>
      </c>
      <c r="E172" s="136">
        <v>39852</v>
      </c>
      <c r="F172">
        <v>16.04</v>
      </c>
      <c r="G172">
        <v>15.617000000000001</v>
      </c>
      <c r="H172">
        <v>17.221</v>
      </c>
      <c r="I172" s="136">
        <v>39852</v>
      </c>
      <c r="J172">
        <v>25.51</v>
      </c>
      <c r="K172">
        <v>25.3</v>
      </c>
      <c r="L172">
        <v>27.8</v>
      </c>
    </row>
    <row r="173" spans="1:12">
      <c r="A173" s="136">
        <v>39853</v>
      </c>
      <c r="B173">
        <v>1475</v>
      </c>
      <c r="C173">
        <v>1435</v>
      </c>
      <c r="D173">
        <v>1479</v>
      </c>
      <c r="E173" s="136">
        <v>39853</v>
      </c>
      <c r="F173">
        <v>16.7</v>
      </c>
      <c r="G173">
        <v>16.155999999999999</v>
      </c>
      <c r="H173">
        <v>18.215</v>
      </c>
      <c r="I173" s="136">
        <v>39853</v>
      </c>
      <c r="J173">
        <v>26.65</v>
      </c>
      <c r="K173">
        <v>26.3</v>
      </c>
      <c r="L173">
        <v>27.97</v>
      </c>
    </row>
    <row r="174" spans="1:12">
      <c r="A174" s="136">
        <v>39854</v>
      </c>
      <c r="B174">
        <v>1439</v>
      </c>
      <c r="C174">
        <v>1394.75</v>
      </c>
      <c r="D174">
        <v>1445</v>
      </c>
      <c r="E174" s="136">
        <v>39854</v>
      </c>
      <c r="F174">
        <v>17.593</v>
      </c>
      <c r="G174">
        <v>16.800999999999998</v>
      </c>
      <c r="H174">
        <v>18.634</v>
      </c>
      <c r="I174" s="136">
        <v>39854</v>
      </c>
      <c r="J174">
        <v>26.86</v>
      </c>
      <c r="K174">
        <v>24.3</v>
      </c>
      <c r="L174">
        <v>27.61</v>
      </c>
    </row>
    <row r="175" spans="1:12">
      <c r="A175" s="136">
        <v>39855</v>
      </c>
      <c r="B175">
        <v>1393</v>
      </c>
      <c r="C175">
        <v>1380</v>
      </c>
      <c r="D175">
        <v>1410</v>
      </c>
      <c r="E175" s="136">
        <v>39855</v>
      </c>
      <c r="F175">
        <v>16.684999999999999</v>
      </c>
      <c r="G175">
        <v>16.623000000000001</v>
      </c>
      <c r="H175">
        <v>17.811</v>
      </c>
      <c r="I175" s="136">
        <v>39855</v>
      </c>
      <c r="J175">
        <v>25.25</v>
      </c>
      <c r="K175">
        <v>25.14</v>
      </c>
      <c r="L175">
        <v>26.62</v>
      </c>
    </row>
    <row r="176" spans="1:12">
      <c r="A176" s="136">
        <v>39856</v>
      </c>
      <c r="B176">
        <v>1404</v>
      </c>
      <c r="C176">
        <v>1367</v>
      </c>
      <c r="D176">
        <v>1413</v>
      </c>
      <c r="E176" s="136">
        <v>39856</v>
      </c>
      <c r="F176">
        <v>17.283000000000001</v>
      </c>
      <c r="G176">
        <v>16.893999999999998</v>
      </c>
      <c r="H176">
        <v>17.625</v>
      </c>
      <c r="I176" s="136">
        <v>39856</v>
      </c>
      <c r="J176">
        <v>25.35</v>
      </c>
      <c r="K176">
        <v>24.17</v>
      </c>
      <c r="L176">
        <v>26.22</v>
      </c>
    </row>
    <row r="177" spans="1:12">
      <c r="A177" s="136">
        <v>39857</v>
      </c>
      <c r="B177">
        <v>1380</v>
      </c>
      <c r="C177">
        <v>1366</v>
      </c>
      <c r="D177">
        <v>1390</v>
      </c>
      <c r="E177" s="136">
        <v>39857</v>
      </c>
      <c r="F177">
        <v>17.748999999999999</v>
      </c>
      <c r="G177">
        <v>17.391999999999999</v>
      </c>
      <c r="H177">
        <v>18.506</v>
      </c>
      <c r="I177" s="136">
        <v>39857</v>
      </c>
      <c r="J177">
        <v>25.25</v>
      </c>
      <c r="K177">
        <v>24.66</v>
      </c>
      <c r="L177">
        <v>25.89</v>
      </c>
    </row>
    <row r="178" spans="1:12">
      <c r="A178" s="136">
        <v>39858</v>
      </c>
      <c r="B178">
        <v>1380</v>
      </c>
      <c r="C178">
        <v>1366</v>
      </c>
      <c r="D178">
        <v>1390</v>
      </c>
      <c r="E178" s="136">
        <v>39858</v>
      </c>
      <c r="F178">
        <v>17.748999999999999</v>
      </c>
      <c r="G178">
        <v>17.391999999999999</v>
      </c>
      <c r="H178">
        <v>18.506</v>
      </c>
      <c r="I178" s="136">
        <v>39858</v>
      </c>
      <c r="J178">
        <v>25.25</v>
      </c>
      <c r="K178">
        <v>24.66</v>
      </c>
      <c r="L178">
        <v>25.89</v>
      </c>
    </row>
    <row r="179" spans="1:12">
      <c r="A179" s="136">
        <v>39859</v>
      </c>
      <c r="B179">
        <v>1380</v>
      </c>
      <c r="C179">
        <v>1366</v>
      </c>
      <c r="D179">
        <v>1390</v>
      </c>
      <c r="E179" s="136">
        <v>39859</v>
      </c>
      <c r="F179">
        <v>17.748999999999999</v>
      </c>
      <c r="G179">
        <v>17.391999999999999</v>
      </c>
      <c r="H179">
        <v>18.506</v>
      </c>
      <c r="I179" s="136">
        <v>39859</v>
      </c>
      <c r="J179">
        <v>25.25</v>
      </c>
      <c r="K179">
        <v>24.66</v>
      </c>
      <c r="L179">
        <v>25.89</v>
      </c>
    </row>
    <row r="180" spans="1:12">
      <c r="A180" s="136">
        <v>39860</v>
      </c>
      <c r="B180">
        <v>1381</v>
      </c>
      <c r="C180">
        <v>1346</v>
      </c>
      <c r="D180">
        <v>1381</v>
      </c>
      <c r="E180" s="136">
        <v>39860</v>
      </c>
      <c r="F180">
        <v>17.166</v>
      </c>
      <c r="G180">
        <v>16.428000000000001</v>
      </c>
      <c r="H180">
        <v>17.489000000000001</v>
      </c>
      <c r="I180" s="136">
        <v>39860</v>
      </c>
      <c r="J180">
        <v>25.25</v>
      </c>
      <c r="K180">
        <v>24.66</v>
      </c>
      <c r="L180">
        <v>25.89</v>
      </c>
    </row>
    <row r="181" spans="1:12">
      <c r="A181" s="136">
        <v>39861</v>
      </c>
      <c r="B181">
        <v>1355</v>
      </c>
      <c r="C181">
        <v>1329.85</v>
      </c>
      <c r="D181">
        <v>1365</v>
      </c>
      <c r="E181" s="136">
        <v>39861</v>
      </c>
      <c r="F181">
        <v>16.39</v>
      </c>
      <c r="G181">
        <v>15.388</v>
      </c>
      <c r="H181">
        <v>16.39</v>
      </c>
      <c r="I181" s="136">
        <v>39861</v>
      </c>
      <c r="J181">
        <v>22.8</v>
      </c>
      <c r="K181">
        <v>21.65</v>
      </c>
      <c r="L181">
        <v>23.2</v>
      </c>
    </row>
    <row r="182" spans="1:12">
      <c r="A182" s="136">
        <v>39862</v>
      </c>
      <c r="B182">
        <v>1335</v>
      </c>
      <c r="C182">
        <v>1314</v>
      </c>
      <c r="D182">
        <v>1345</v>
      </c>
      <c r="E182" s="136">
        <v>39862</v>
      </c>
      <c r="F182">
        <v>15.574</v>
      </c>
      <c r="G182">
        <v>14.875</v>
      </c>
      <c r="H182">
        <v>16.079000000000001</v>
      </c>
      <c r="I182" s="136">
        <v>39862</v>
      </c>
      <c r="J182">
        <v>22.18</v>
      </c>
      <c r="K182">
        <v>21</v>
      </c>
      <c r="L182">
        <v>22.3</v>
      </c>
    </row>
    <row r="183" spans="1:12">
      <c r="A183" s="136">
        <v>39863</v>
      </c>
      <c r="B183">
        <v>1339</v>
      </c>
      <c r="C183">
        <v>1332</v>
      </c>
      <c r="D183">
        <v>1362</v>
      </c>
      <c r="E183" s="136">
        <v>39863</v>
      </c>
      <c r="F183">
        <v>15.815</v>
      </c>
      <c r="G183">
        <v>15.52</v>
      </c>
      <c r="H183">
        <v>16.413</v>
      </c>
      <c r="I183" s="136">
        <v>39863</v>
      </c>
      <c r="J183">
        <v>22.07</v>
      </c>
      <c r="K183">
        <v>20.54</v>
      </c>
      <c r="L183">
        <v>22.3</v>
      </c>
    </row>
    <row r="184" spans="1:12">
      <c r="A184" s="136">
        <v>39864</v>
      </c>
      <c r="B184">
        <v>1349</v>
      </c>
      <c r="C184">
        <v>1296.5</v>
      </c>
      <c r="D184">
        <v>1353</v>
      </c>
      <c r="E184" s="136">
        <v>39864</v>
      </c>
      <c r="F184">
        <v>15.147</v>
      </c>
      <c r="G184">
        <v>13.872999999999999</v>
      </c>
      <c r="H184">
        <v>15.201000000000001</v>
      </c>
      <c r="I184" s="136">
        <v>39864</v>
      </c>
      <c r="J184">
        <v>19.71</v>
      </c>
      <c r="K184">
        <v>18.75</v>
      </c>
      <c r="L184">
        <v>21</v>
      </c>
    </row>
    <row r="185" spans="1:12">
      <c r="A185" s="136">
        <v>39865</v>
      </c>
      <c r="B185">
        <v>1349</v>
      </c>
      <c r="C185">
        <v>1296.5</v>
      </c>
      <c r="D185">
        <v>1353</v>
      </c>
      <c r="E185" s="136">
        <v>39865</v>
      </c>
      <c r="F185">
        <v>15.147</v>
      </c>
      <c r="G185">
        <v>13.872999999999999</v>
      </c>
      <c r="H185">
        <v>15.201000000000001</v>
      </c>
      <c r="I185" s="136">
        <v>39865</v>
      </c>
      <c r="J185">
        <v>19.71</v>
      </c>
      <c r="K185">
        <v>18.75</v>
      </c>
      <c r="L185">
        <v>21</v>
      </c>
    </row>
    <row r="186" spans="1:12">
      <c r="A186" s="136">
        <v>39866</v>
      </c>
      <c r="B186">
        <v>1349</v>
      </c>
      <c r="C186">
        <v>1296.5</v>
      </c>
      <c r="D186">
        <v>1353</v>
      </c>
      <c r="E186" s="136">
        <v>39866</v>
      </c>
      <c r="F186">
        <v>15.147</v>
      </c>
      <c r="G186">
        <v>13.872999999999999</v>
      </c>
      <c r="H186">
        <v>15.201000000000001</v>
      </c>
      <c r="I186" s="136">
        <v>39866</v>
      </c>
      <c r="J186">
        <v>19.71</v>
      </c>
      <c r="K186">
        <v>18.75</v>
      </c>
      <c r="L186">
        <v>21</v>
      </c>
    </row>
    <row r="187" spans="1:12">
      <c r="A187" s="136">
        <v>39867</v>
      </c>
      <c r="B187">
        <v>1305</v>
      </c>
      <c r="C187">
        <v>1285</v>
      </c>
      <c r="D187">
        <v>1325.25</v>
      </c>
      <c r="E187" s="136">
        <v>39867</v>
      </c>
      <c r="F187">
        <v>15.03</v>
      </c>
      <c r="G187">
        <v>13.236000000000001</v>
      </c>
      <c r="H187">
        <v>15.069000000000001</v>
      </c>
      <c r="I187" s="136">
        <v>39867</v>
      </c>
      <c r="J187">
        <v>20.9</v>
      </c>
      <c r="K187">
        <v>19.48</v>
      </c>
      <c r="L187">
        <v>21.56</v>
      </c>
    </row>
    <row r="188" spans="1:12">
      <c r="A188" s="136">
        <v>39868</v>
      </c>
      <c r="B188">
        <v>1289</v>
      </c>
      <c r="C188">
        <v>1279</v>
      </c>
      <c r="D188">
        <v>1335</v>
      </c>
      <c r="E188" s="136">
        <v>39868</v>
      </c>
      <c r="F188">
        <v>13.205</v>
      </c>
      <c r="G188">
        <v>12.692</v>
      </c>
      <c r="H188">
        <v>14.836</v>
      </c>
      <c r="I188" s="136">
        <v>39868</v>
      </c>
      <c r="J188">
        <v>20.13</v>
      </c>
      <c r="K188">
        <v>18.96</v>
      </c>
      <c r="L188">
        <v>21.1</v>
      </c>
    </row>
    <row r="189" spans="1:12">
      <c r="A189" s="136">
        <v>39869</v>
      </c>
      <c r="B189">
        <v>1337</v>
      </c>
      <c r="C189">
        <v>1320</v>
      </c>
      <c r="D189">
        <v>1350.5</v>
      </c>
      <c r="E189" s="136">
        <v>39869</v>
      </c>
      <c r="F189">
        <v>15.138999999999999</v>
      </c>
      <c r="G189">
        <v>14.448</v>
      </c>
      <c r="H189">
        <v>15.484999999999999</v>
      </c>
      <c r="I189" s="136">
        <v>39869</v>
      </c>
      <c r="J189">
        <v>20.83</v>
      </c>
      <c r="K189">
        <v>20.12</v>
      </c>
      <c r="L189">
        <v>23.22</v>
      </c>
    </row>
    <row r="190" spans="1:12">
      <c r="A190" s="136">
        <v>39870</v>
      </c>
      <c r="B190">
        <v>1345</v>
      </c>
      <c r="C190">
        <v>1337</v>
      </c>
      <c r="D190">
        <v>1371</v>
      </c>
      <c r="E190" s="136">
        <v>39870</v>
      </c>
      <c r="F190">
        <v>14.901999999999999</v>
      </c>
      <c r="G190">
        <v>14.901999999999999</v>
      </c>
      <c r="H190">
        <v>17.135000000000002</v>
      </c>
      <c r="I190" s="136">
        <v>39870</v>
      </c>
      <c r="J190">
        <v>23.32</v>
      </c>
      <c r="K190">
        <v>22.8</v>
      </c>
      <c r="L190">
        <v>24.18</v>
      </c>
    </row>
    <row r="191" spans="1:12">
      <c r="A191" s="136">
        <v>39871</v>
      </c>
      <c r="B191">
        <v>1360</v>
      </c>
      <c r="C191">
        <v>1325</v>
      </c>
      <c r="D191">
        <v>1360</v>
      </c>
      <c r="E191" s="136">
        <v>39871</v>
      </c>
      <c r="F191">
        <v>16.245999999999999</v>
      </c>
      <c r="G191">
        <v>15.558</v>
      </c>
      <c r="H191">
        <v>16.835999999999999</v>
      </c>
      <c r="I191" s="136">
        <v>39871</v>
      </c>
      <c r="J191">
        <v>21.63</v>
      </c>
      <c r="K191">
        <v>21.55</v>
      </c>
      <c r="L191">
        <v>23.6</v>
      </c>
    </row>
    <row r="192" spans="1:12">
      <c r="A192" s="136">
        <v>39872</v>
      </c>
      <c r="B192">
        <v>1360</v>
      </c>
      <c r="C192">
        <v>1325</v>
      </c>
      <c r="D192">
        <v>1360</v>
      </c>
      <c r="E192" s="136">
        <v>39872</v>
      </c>
      <c r="F192">
        <v>16.245999999999999</v>
      </c>
      <c r="G192">
        <v>15.558</v>
      </c>
      <c r="H192">
        <v>16.835999999999999</v>
      </c>
      <c r="I192" s="136">
        <v>39872</v>
      </c>
      <c r="J192">
        <v>21.63</v>
      </c>
      <c r="K192">
        <v>21.55</v>
      </c>
      <c r="L192">
        <v>23.6</v>
      </c>
    </row>
    <row r="193" spans="1:12">
      <c r="A193" s="136">
        <v>39873</v>
      </c>
      <c r="B193">
        <v>1360</v>
      </c>
      <c r="C193">
        <v>1325</v>
      </c>
      <c r="D193">
        <v>1360</v>
      </c>
      <c r="E193" s="136">
        <v>39873</v>
      </c>
      <c r="F193">
        <v>16.245999999999999</v>
      </c>
      <c r="G193">
        <v>15.558</v>
      </c>
      <c r="H193">
        <v>16.835999999999999</v>
      </c>
      <c r="I193" s="136">
        <v>39873</v>
      </c>
      <c r="J193">
        <v>21.63</v>
      </c>
      <c r="K193">
        <v>21.55</v>
      </c>
      <c r="L193">
        <v>23.6</v>
      </c>
    </row>
    <row r="194" spans="1:12">
      <c r="A194" s="136">
        <v>39874</v>
      </c>
      <c r="B194">
        <v>1335</v>
      </c>
      <c r="C194">
        <v>1308</v>
      </c>
      <c r="D194">
        <v>1345</v>
      </c>
      <c r="E194" s="136">
        <v>39874</v>
      </c>
      <c r="F194">
        <v>15.419</v>
      </c>
      <c r="G194">
        <v>14.920999999999999</v>
      </c>
      <c r="H194">
        <v>15.763999999999999</v>
      </c>
      <c r="I194" s="136">
        <v>39874</v>
      </c>
      <c r="J194">
        <v>21.7</v>
      </c>
      <c r="K194">
        <v>21.07</v>
      </c>
      <c r="L194">
        <v>22.43</v>
      </c>
    </row>
    <row r="195" spans="1:12">
      <c r="A195" s="136">
        <v>39875</v>
      </c>
      <c r="B195">
        <v>1315</v>
      </c>
      <c r="C195">
        <v>1309.8499999999999</v>
      </c>
      <c r="D195">
        <v>1343</v>
      </c>
      <c r="E195" s="136">
        <v>39875</v>
      </c>
      <c r="F195">
        <v>15.419</v>
      </c>
      <c r="G195">
        <v>14.999000000000001</v>
      </c>
      <c r="H195">
        <v>15.955</v>
      </c>
      <c r="I195" s="136">
        <v>39875</v>
      </c>
      <c r="J195">
        <v>21.68</v>
      </c>
      <c r="K195">
        <v>20.600899999999999</v>
      </c>
      <c r="L195">
        <v>21.9</v>
      </c>
    </row>
    <row r="196" spans="1:12">
      <c r="A196" s="136">
        <v>39876</v>
      </c>
      <c r="B196">
        <v>1322</v>
      </c>
      <c r="C196">
        <v>1313.5</v>
      </c>
      <c r="D196">
        <v>1368</v>
      </c>
      <c r="E196" s="136">
        <v>39876</v>
      </c>
      <c r="F196">
        <v>15.526999999999999</v>
      </c>
      <c r="G196">
        <v>15.465</v>
      </c>
      <c r="H196">
        <v>16.295999999999999</v>
      </c>
      <c r="I196" s="136">
        <v>39876</v>
      </c>
      <c r="J196">
        <v>21.74</v>
      </c>
      <c r="K196">
        <v>18.8</v>
      </c>
      <c r="L196">
        <v>21.74</v>
      </c>
    </row>
    <row r="197" spans="1:12">
      <c r="A197" s="136">
        <v>39877</v>
      </c>
      <c r="B197">
        <v>1356</v>
      </c>
      <c r="C197">
        <v>1312</v>
      </c>
      <c r="D197">
        <v>1368</v>
      </c>
      <c r="E197" s="136">
        <v>39877</v>
      </c>
      <c r="F197">
        <v>15.923</v>
      </c>
      <c r="G197">
        <v>14.917999999999999</v>
      </c>
      <c r="H197">
        <v>15.923</v>
      </c>
      <c r="I197" s="136">
        <v>39877</v>
      </c>
      <c r="J197">
        <v>18.5</v>
      </c>
      <c r="K197">
        <v>16.04</v>
      </c>
      <c r="L197">
        <v>19</v>
      </c>
    </row>
    <row r="198" spans="1:12">
      <c r="A198" s="136">
        <v>39878</v>
      </c>
      <c r="B198">
        <v>1323</v>
      </c>
      <c r="C198">
        <v>1304</v>
      </c>
      <c r="D198">
        <v>1342</v>
      </c>
      <c r="E198" s="136">
        <v>39878</v>
      </c>
      <c r="F198">
        <v>14.797000000000001</v>
      </c>
      <c r="G198">
        <v>14.125</v>
      </c>
      <c r="H198">
        <v>15.22</v>
      </c>
      <c r="I198" s="136">
        <v>39878</v>
      </c>
      <c r="J198">
        <v>17.190000000000001</v>
      </c>
      <c r="K198">
        <v>14.96</v>
      </c>
      <c r="L198">
        <v>17.670000000000002</v>
      </c>
    </row>
    <row r="199" spans="1:12">
      <c r="A199" s="136">
        <v>39879</v>
      </c>
      <c r="B199">
        <v>1323</v>
      </c>
      <c r="C199">
        <v>1304</v>
      </c>
      <c r="D199">
        <v>1342</v>
      </c>
      <c r="E199" s="136">
        <v>39879</v>
      </c>
      <c r="F199">
        <v>14.797000000000001</v>
      </c>
      <c r="G199">
        <v>14.125</v>
      </c>
      <c r="H199">
        <v>15.22</v>
      </c>
      <c r="I199" s="136">
        <v>39879</v>
      </c>
      <c r="J199">
        <v>17.190000000000001</v>
      </c>
      <c r="K199">
        <v>14.96</v>
      </c>
      <c r="L199">
        <v>17.670000000000002</v>
      </c>
    </row>
    <row r="200" spans="1:12">
      <c r="A200" s="136">
        <v>39880</v>
      </c>
      <c r="B200">
        <v>1323</v>
      </c>
      <c r="C200">
        <v>1304</v>
      </c>
      <c r="D200">
        <v>1342</v>
      </c>
      <c r="E200" s="136">
        <v>39880</v>
      </c>
      <c r="F200">
        <v>14.797000000000001</v>
      </c>
      <c r="G200">
        <v>14.125</v>
      </c>
      <c r="H200">
        <v>15.22</v>
      </c>
      <c r="I200" s="136">
        <v>39880</v>
      </c>
      <c r="J200">
        <v>17.190000000000001</v>
      </c>
      <c r="K200">
        <v>14.96</v>
      </c>
      <c r="L200">
        <v>17.670000000000002</v>
      </c>
    </row>
    <row r="201" spans="1:12">
      <c r="A201" s="136">
        <v>39881</v>
      </c>
      <c r="B201">
        <v>1315</v>
      </c>
      <c r="C201">
        <v>1292.25</v>
      </c>
      <c r="D201">
        <v>1323</v>
      </c>
      <c r="E201" s="136">
        <v>39881</v>
      </c>
      <c r="F201">
        <v>15.03</v>
      </c>
      <c r="G201">
        <v>14.385</v>
      </c>
      <c r="H201">
        <v>15.613</v>
      </c>
      <c r="I201" s="136">
        <v>39881</v>
      </c>
      <c r="J201">
        <v>15.37</v>
      </c>
      <c r="K201">
        <v>15.02</v>
      </c>
      <c r="L201">
        <v>17.29</v>
      </c>
    </row>
    <row r="202" spans="1:12">
      <c r="A202" s="136">
        <v>39882</v>
      </c>
      <c r="B202">
        <v>1295</v>
      </c>
      <c r="C202">
        <v>1295</v>
      </c>
      <c r="D202">
        <v>1340</v>
      </c>
      <c r="E202" s="136">
        <v>39882</v>
      </c>
      <c r="F202">
        <v>15.038</v>
      </c>
      <c r="G202">
        <v>14.875</v>
      </c>
      <c r="H202">
        <v>17.632000000000001</v>
      </c>
      <c r="I202" s="136">
        <v>39882</v>
      </c>
      <c r="J202">
        <v>17.350000000000001</v>
      </c>
      <c r="K202">
        <v>17.13</v>
      </c>
      <c r="L202">
        <v>19.5</v>
      </c>
    </row>
    <row r="203" spans="1:12">
      <c r="A203" s="136">
        <v>39883</v>
      </c>
      <c r="B203">
        <v>1324</v>
      </c>
      <c r="C203">
        <v>1321</v>
      </c>
      <c r="D203">
        <v>1357</v>
      </c>
      <c r="E203" s="136">
        <v>39883</v>
      </c>
      <c r="F203">
        <v>17.36</v>
      </c>
      <c r="G203">
        <v>17.36</v>
      </c>
      <c r="H203">
        <v>19.372</v>
      </c>
      <c r="I203" s="136">
        <v>39883</v>
      </c>
      <c r="J203">
        <v>20.350000000000001</v>
      </c>
      <c r="K203">
        <v>19.12</v>
      </c>
      <c r="L203">
        <v>20.91</v>
      </c>
    </row>
    <row r="204" spans="1:12">
      <c r="A204" s="136">
        <v>39884</v>
      </c>
      <c r="B204">
        <v>1335</v>
      </c>
      <c r="C204">
        <v>1325</v>
      </c>
      <c r="D204">
        <v>1355.25</v>
      </c>
      <c r="E204" s="136">
        <v>39884</v>
      </c>
      <c r="F204">
        <v>18.254000000000001</v>
      </c>
      <c r="G204">
        <v>17.57</v>
      </c>
      <c r="H204">
        <v>21.128</v>
      </c>
      <c r="I204" s="136">
        <v>39884</v>
      </c>
      <c r="J204">
        <v>20.149999999999999</v>
      </c>
      <c r="K204">
        <v>20</v>
      </c>
      <c r="L204">
        <v>23.33</v>
      </c>
    </row>
    <row r="205" spans="1:12">
      <c r="A205" s="136">
        <v>39885</v>
      </c>
      <c r="B205">
        <v>1357</v>
      </c>
      <c r="C205">
        <v>1340.75</v>
      </c>
      <c r="D205">
        <v>1377</v>
      </c>
      <c r="E205" s="136">
        <v>39885</v>
      </c>
      <c r="F205">
        <v>21.158999999999999</v>
      </c>
      <c r="G205">
        <v>14.253</v>
      </c>
      <c r="H205">
        <v>21.702999999999999</v>
      </c>
      <c r="I205" s="136">
        <v>39885</v>
      </c>
      <c r="J205">
        <v>23.59</v>
      </c>
      <c r="K205">
        <v>22.91</v>
      </c>
      <c r="L205">
        <v>24.33</v>
      </c>
    </row>
    <row r="206" spans="1:12">
      <c r="A206" s="136">
        <v>39886</v>
      </c>
      <c r="B206">
        <v>1357</v>
      </c>
      <c r="C206">
        <v>1340.75</v>
      </c>
      <c r="D206">
        <v>1377</v>
      </c>
      <c r="E206" s="136">
        <v>39886</v>
      </c>
      <c r="F206">
        <v>21.158999999999999</v>
      </c>
      <c r="G206">
        <v>14.253</v>
      </c>
      <c r="H206">
        <v>21.702999999999999</v>
      </c>
      <c r="I206" s="136">
        <v>39886</v>
      </c>
      <c r="J206">
        <v>23.59</v>
      </c>
      <c r="K206">
        <v>22.91</v>
      </c>
      <c r="L206">
        <v>24.33</v>
      </c>
    </row>
    <row r="207" spans="1:12">
      <c r="A207" s="136">
        <v>39887</v>
      </c>
      <c r="B207">
        <v>1357</v>
      </c>
      <c r="C207">
        <v>1340.75</v>
      </c>
      <c r="D207">
        <v>1377</v>
      </c>
      <c r="E207" s="136">
        <v>39887</v>
      </c>
      <c r="F207">
        <v>21.158999999999999</v>
      </c>
      <c r="G207">
        <v>14.253</v>
      </c>
      <c r="H207">
        <v>21.702999999999999</v>
      </c>
      <c r="I207" s="136">
        <v>39887</v>
      </c>
      <c r="J207">
        <v>23.59</v>
      </c>
      <c r="K207">
        <v>22.91</v>
      </c>
      <c r="L207">
        <v>24.33</v>
      </c>
    </row>
    <row r="208" spans="1:12">
      <c r="A208" s="136">
        <v>39888</v>
      </c>
      <c r="B208">
        <v>1353.5</v>
      </c>
      <c r="C208">
        <v>1338</v>
      </c>
      <c r="D208">
        <v>1363</v>
      </c>
      <c r="E208" s="136">
        <v>39888</v>
      </c>
      <c r="F208">
        <v>20.289000000000001</v>
      </c>
      <c r="G208">
        <v>20.207000000000001</v>
      </c>
      <c r="H208">
        <v>21.353000000000002</v>
      </c>
      <c r="I208" s="136">
        <v>39888</v>
      </c>
      <c r="J208">
        <v>24.31</v>
      </c>
      <c r="K208">
        <v>22.96</v>
      </c>
      <c r="L208">
        <v>25.27</v>
      </c>
    </row>
    <row r="209" spans="1:12">
      <c r="A209" s="136">
        <v>39889</v>
      </c>
      <c r="B209">
        <v>1358</v>
      </c>
      <c r="C209">
        <v>1352.8</v>
      </c>
      <c r="D209">
        <v>1377</v>
      </c>
      <c r="E209" s="136">
        <v>39889</v>
      </c>
      <c r="F209">
        <v>20.506</v>
      </c>
      <c r="G209">
        <v>20.3</v>
      </c>
      <c r="H209">
        <v>21.431000000000001</v>
      </c>
      <c r="I209" s="136">
        <v>39889</v>
      </c>
      <c r="J209">
        <v>23.3</v>
      </c>
      <c r="K209">
        <v>22.27</v>
      </c>
      <c r="L209">
        <v>25.22</v>
      </c>
    </row>
    <row r="210" spans="1:12">
      <c r="A210" s="136">
        <v>39890</v>
      </c>
      <c r="B210">
        <v>1369</v>
      </c>
      <c r="C210">
        <v>1363</v>
      </c>
      <c r="D210">
        <v>1400</v>
      </c>
      <c r="E210" s="136">
        <v>39890</v>
      </c>
      <c r="F210">
        <v>21.594000000000001</v>
      </c>
      <c r="G210">
        <v>20.742999999999999</v>
      </c>
      <c r="H210">
        <v>21.901</v>
      </c>
      <c r="I210" s="136">
        <v>39890</v>
      </c>
      <c r="J210">
        <v>24.82</v>
      </c>
      <c r="K210">
        <v>24.18</v>
      </c>
      <c r="L210">
        <v>27.33</v>
      </c>
    </row>
    <row r="211" spans="1:12">
      <c r="A211" s="136">
        <v>39891</v>
      </c>
      <c r="B211">
        <v>1395</v>
      </c>
      <c r="C211">
        <v>1394</v>
      </c>
      <c r="D211">
        <v>1471</v>
      </c>
      <c r="E211" s="136">
        <v>39891</v>
      </c>
      <c r="F211">
        <v>21.283000000000001</v>
      </c>
      <c r="G211">
        <v>21.198</v>
      </c>
      <c r="H211">
        <v>23.943000000000001</v>
      </c>
      <c r="I211" s="136">
        <v>39891</v>
      </c>
      <c r="J211">
        <v>27.25</v>
      </c>
      <c r="K211">
        <v>24.59</v>
      </c>
      <c r="L211">
        <v>27.41</v>
      </c>
    </row>
    <row r="212" spans="1:12">
      <c r="A212" s="136">
        <v>39892</v>
      </c>
      <c r="B212">
        <v>1458</v>
      </c>
      <c r="C212">
        <v>1450.25</v>
      </c>
      <c r="D212">
        <v>1492</v>
      </c>
      <c r="E212" s="136">
        <v>39892</v>
      </c>
      <c r="F212">
        <v>21.748999999999999</v>
      </c>
      <c r="G212">
        <v>21.298999999999999</v>
      </c>
      <c r="H212">
        <v>22.666</v>
      </c>
      <c r="I212" s="136">
        <v>39892</v>
      </c>
      <c r="J212">
        <v>24.66</v>
      </c>
      <c r="K212">
        <v>23.15</v>
      </c>
      <c r="L212">
        <v>24.78</v>
      </c>
    </row>
    <row r="213" spans="1:12">
      <c r="A213" s="136">
        <v>39893</v>
      </c>
      <c r="B213">
        <v>1458</v>
      </c>
      <c r="C213">
        <v>1450.25</v>
      </c>
      <c r="D213">
        <v>1492</v>
      </c>
      <c r="E213" s="136">
        <v>39893</v>
      </c>
      <c r="F213">
        <v>21.748999999999999</v>
      </c>
      <c r="G213">
        <v>21.298999999999999</v>
      </c>
      <c r="H213">
        <v>22.666</v>
      </c>
      <c r="I213" s="136">
        <v>39893</v>
      </c>
      <c r="J213">
        <v>24.66</v>
      </c>
      <c r="K213">
        <v>23.15</v>
      </c>
      <c r="L213">
        <v>24.78</v>
      </c>
    </row>
    <row r="214" spans="1:12">
      <c r="A214" s="136">
        <v>39894</v>
      </c>
      <c r="B214">
        <v>1458</v>
      </c>
      <c r="C214">
        <v>1450.25</v>
      </c>
      <c r="D214">
        <v>1492</v>
      </c>
      <c r="E214" s="136">
        <v>39894</v>
      </c>
      <c r="F214">
        <v>21.748999999999999</v>
      </c>
      <c r="G214">
        <v>21.298999999999999</v>
      </c>
      <c r="H214">
        <v>22.666</v>
      </c>
      <c r="I214" s="136">
        <v>39894</v>
      </c>
      <c r="J214">
        <v>24.66</v>
      </c>
      <c r="K214">
        <v>23.15</v>
      </c>
      <c r="L214">
        <v>24.78</v>
      </c>
    </row>
    <row r="215" spans="1:12">
      <c r="A215" s="136">
        <v>39895</v>
      </c>
      <c r="B215">
        <v>1459</v>
      </c>
      <c r="C215">
        <v>1422</v>
      </c>
      <c r="D215">
        <v>1480</v>
      </c>
      <c r="E215" s="136">
        <v>39895</v>
      </c>
      <c r="F215">
        <v>23.062000000000001</v>
      </c>
      <c r="G215">
        <v>22.837</v>
      </c>
      <c r="H215">
        <v>24.428999999999998</v>
      </c>
      <c r="I215" s="136">
        <v>39895</v>
      </c>
      <c r="J215">
        <v>25.3</v>
      </c>
      <c r="K215">
        <v>25.13</v>
      </c>
      <c r="L215">
        <v>29.17</v>
      </c>
    </row>
    <row r="216" spans="1:12">
      <c r="A216" s="136">
        <v>39896</v>
      </c>
      <c r="B216">
        <v>1450</v>
      </c>
      <c r="C216">
        <v>1397</v>
      </c>
      <c r="D216">
        <v>1457</v>
      </c>
      <c r="E216" s="136">
        <v>39896</v>
      </c>
      <c r="F216">
        <v>25.05</v>
      </c>
      <c r="G216">
        <v>23.151</v>
      </c>
      <c r="H216">
        <v>25.492999999999999</v>
      </c>
      <c r="I216" s="136">
        <v>39896</v>
      </c>
      <c r="J216">
        <v>28.05</v>
      </c>
      <c r="K216">
        <v>26.2</v>
      </c>
      <c r="L216">
        <v>29.3</v>
      </c>
    </row>
    <row r="217" spans="1:12">
      <c r="A217" s="136">
        <v>39897</v>
      </c>
      <c r="B217">
        <v>1415</v>
      </c>
      <c r="C217">
        <v>1392</v>
      </c>
      <c r="D217">
        <v>1430</v>
      </c>
      <c r="E217" s="136">
        <v>39897</v>
      </c>
      <c r="F217">
        <v>24.064</v>
      </c>
      <c r="G217">
        <v>23.481000000000002</v>
      </c>
      <c r="H217">
        <v>25.221</v>
      </c>
      <c r="I217" s="136">
        <v>39897</v>
      </c>
      <c r="J217">
        <v>27.19</v>
      </c>
      <c r="K217">
        <v>25.93</v>
      </c>
      <c r="L217">
        <v>28.71</v>
      </c>
    </row>
    <row r="218" spans="1:12">
      <c r="A218" s="136">
        <v>39898</v>
      </c>
      <c r="B218">
        <v>1419</v>
      </c>
      <c r="C218">
        <v>1419</v>
      </c>
      <c r="D218">
        <v>1455</v>
      </c>
      <c r="E218" s="136">
        <v>39898</v>
      </c>
      <c r="F218">
        <v>24.623000000000001</v>
      </c>
      <c r="G218">
        <v>24.016999999999999</v>
      </c>
      <c r="H218">
        <v>25.338000000000001</v>
      </c>
      <c r="I218" s="136">
        <v>39898</v>
      </c>
      <c r="J218">
        <v>29.05</v>
      </c>
      <c r="K218">
        <v>27.65</v>
      </c>
      <c r="L218">
        <v>29.6</v>
      </c>
    </row>
    <row r="219" spans="1:12">
      <c r="A219" s="136">
        <v>39899</v>
      </c>
      <c r="B219">
        <v>1445</v>
      </c>
      <c r="C219">
        <v>1411</v>
      </c>
      <c r="D219">
        <v>1457</v>
      </c>
      <c r="E219" s="136">
        <v>39899</v>
      </c>
      <c r="F219">
        <v>25.4</v>
      </c>
      <c r="G219">
        <v>24.553000000000001</v>
      </c>
      <c r="H219">
        <v>25.617000000000001</v>
      </c>
      <c r="I219" s="136">
        <v>39899</v>
      </c>
      <c r="J219">
        <v>28.27</v>
      </c>
      <c r="K219">
        <v>27.28</v>
      </c>
      <c r="L219">
        <v>29.2</v>
      </c>
    </row>
    <row r="220" spans="1:12">
      <c r="A220" s="136">
        <v>39900</v>
      </c>
      <c r="B220">
        <v>1445</v>
      </c>
      <c r="C220">
        <v>1411</v>
      </c>
      <c r="D220">
        <v>1457</v>
      </c>
      <c r="E220" s="136">
        <v>39900</v>
      </c>
      <c r="F220">
        <v>25.4</v>
      </c>
      <c r="G220">
        <v>24.553000000000001</v>
      </c>
      <c r="H220">
        <v>25.617000000000001</v>
      </c>
      <c r="I220" s="136">
        <v>39900</v>
      </c>
      <c r="J220">
        <v>28.27</v>
      </c>
      <c r="K220">
        <v>27.28</v>
      </c>
      <c r="L220">
        <v>29.2</v>
      </c>
    </row>
    <row r="221" spans="1:12">
      <c r="A221" s="136">
        <v>39901</v>
      </c>
      <c r="B221">
        <v>1445</v>
      </c>
      <c r="C221">
        <v>1411</v>
      </c>
      <c r="D221">
        <v>1457</v>
      </c>
      <c r="E221" s="136">
        <v>39901</v>
      </c>
      <c r="F221">
        <v>25.4</v>
      </c>
      <c r="G221">
        <v>24.553000000000001</v>
      </c>
      <c r="H221">
        <v>25.617000000000001</v>
      </c>
      <c r="I221" s="136">
        <v>39901</v>
      </c>
      <c r="J221">
        <v>28.27</v>
      </c>
      <c r="K221">
        <v>27.28</v>
      </c>
      <c r="L221">
        <v>29.2</v>
      </c>
    </row>
    <row r="222" spans="1:12">
      <c r="A222" s="136">
        <v>39902</v>
      </c>
      <c r="B222">
        <v>1412</v>
      </c>
      <c r="C222">
        <v>1389</v>
      </c>
      <c r="D222">
        <v>1427</v>
      </c>
      <c r="E222" s="136">
        <v>39902</v>
      </c>
      <c r="F222">
        <v>24.234999999999999</v>
      </c>
      <c r="G222">
        <v>22.175999999999998</v>
      </c>
      <c r="H222">
        <v>24.234999999999999</v>
      </c>
      <c r="I222" s="136">
        <v>39902</v>
      </c>
      <c r="J222">
        <v>25.67</v>
      </c>
      <c r="K222">
        <v>24.78</v>
      </c>
      <c r="L222">
        <v>26.37</v>
      </c>
    </row>
    <row r="223" spans="1:12">
      <c r="A223" s="136">
        <v>39903</v>
      </c>
      <c r="B223">
        <v>1396</v>
      </c>
      <c r="C223">
        <v>1382</v>
      </c>
      <c r="D223">
        <v>1412.75</v>
      </c>
      <c r="E223" s="136">
        <v>39903</v>
      </c>
      <c r="F223">
        <v>22.292999999999999</v>
      </c>
      <c r="G223">
        <v>21.826999999999998</v>
      </c>
      <c r="H223">
        <v>24.024999999999999</v>
      </c>
      <c r="I223" s="136">
        <v>39903</v>
      </c>
      <c r="J223">
        <v>25.73</v>
      </c>
      <c r="K223">
        <v>24.85</v>
      </c>
      <c r="L223">
        <v>27.1</v>
      </c>
    </row>
    <row r="224" spans="1:12">
      <c r="A224" s="136">
        <v>39904</v>
      </c>
      <c r="B224">
        <v>1395</v>
      </c>
      <c r="C224">
        <v>1350</v>
      </c>
      <c r="D224">
        <v>1410</v>
      </c>
      <c r="E224" s="136">
        <v>39904</v>
      </c>
      <c r="F224">
        <v>23.613</v>
      </c>
      <c r="G224">
        <v>22.812999999999999</v>
      </c>
      <c r="H224">
        <v>24.638999999999999</v>
      </c>
      <c r="I224" s="136">
        <v>39904</v>
      </c>
      <c r="J224">
        <v>25.29</v>
      </c>
      <c r="K224">
        <v>25.29</v>
      </c>
      <c r="L224">
        <v>28.28</v>
      </c>
    </row>
    <row r="225" spans="1:12">
      <c r="A225" s="136">
        <v>39905</v>
      </c>
      <c r="B225">
        <v>1392</v>
      </c>
      <c r="C225">
        <v>1380</v>
      </c>
      <c r="D225">
        <v>1440</v>
      </c>
      <c r="E225" s="136">
        <v>39905</v>
      </c>
      <c r="F225">
        <v>24.856000000000002</v>
      </c>
      <c r="G225">
        <v>24.817</v>
      </c>
      <c r="H225">
        <v>27.913</v>
      </c>
      <c r="I225" s="136">
        <v>39905</v>
      </c>
      <c r="J225">
        <v>29.58</v>
      </c>
      <c r="K225">
        <v>27.41</v>
      </c>
      <c r="L225">
        <v>29.67</v>
      </c>
    </row>
    <row r="226" spans="1:12">
      <c r="A226" s="136">
        <v>39906</v>
      </c>
      <c r="B226">
        <v>1438</v>
      </c>
      <c r="C226">
        <v>1420</v>
      </c>
      <c r="D226">
        <v>1490</v>
      </c>
      <c r="E226" s="136">
        <v>39906</v>
      </c>
      <c r="F226">
        <v>27.263999999999999</v>
      </c>
      <c r="G226">
        <v>26.472000000000001</v>
      </c>
      <c r="H226">
        <v>27.66</v>
      </c>
      <c r="I226" s="136">
        <v>39906</v>
      </c>
      <c r="J226">
        <v>27.98</v>
      </c>
      <c r="K226">
        <v>27.5</v>
      </c>
      <c r="L226">
        <v>29.28</v>
      </c>
    </row>
    <row r="227" spans="1:12">
      <c r="A227" s="136">
        <v>39907</v>
      </c>
      <c r="B227">
        <v>1438</v>
      </c>
      <c r="C227">
        <v>1420</v>
      </c>
      <c r="D227">
        <v>1490</v>
      </c>
      <c r="E227" s="136">
        <v>39907</v>
      </c>
      <c r="F227">
        <v>27.263999999999999</v>
      </c>
      <c r="G227">
        <v>26.472000000000001</v>
      </c>
      <c r="H227">
        <v>27.66</v>
      </c>
      <c r="I227" s="136">
        <v>39907</v>
      </c>
      <c r="J227">
        <v>27.98</v>
      </c>
      <c r="K227">
        <v>27.5</v>
      </c>
      <c r="L227">
        <v>29.28</v>
      </c>
    </row>
    <row r="228" spans="1:12">
      <c r="A228" s="136">
        <v>39908</v>
      </c>
      <c r="B228">
        <v>1438</v>
      </c>
      <c r="C228">
        <v>1420</v>
      </c>
      <c r="D228">
        <v>1490</v>
      </c>
      <c r="E228" s="136">
        <v>39908</v>
      </c>
      <c r="F228">
        <v>27.263999999999999</v>
      </c>
      <c r="G228">
        <v>26.472000000000001</v>
      </c>
      <c r="H228">
        <v>27.66</v>
      </c>
      <c r="I228" s="136">
        <v>39908</v>
      </c>
      <c r="J228">
        <v>27.98</v>
      </c>
      <c r="K228">
        <v>27.5</v>
      </c>
      <c r="L228">
        <v>29.28</v>
      </c>
    </row>
    <row r="229" spans="1:12">
      <c r="A229" s="136">
        <v>39909</v>
      </c>
      <c r="B229">
        <v>1480.25</v>
      </c>
      <c r="C229">
        <v>1456</v>
      </c>
      <c r="D229">
        <v>1518.75</v>
      </c>
      <c r="E229" s="136">
        <v>39909</v>
      </c>
      <c r="F229">
        <v>27.963000000000001</v>
      </c>
      <c r="G229">
        <v>26.222999999999999</v>
      </c>
      <c r="H229">
        <v>28.352</v>
      </c>
      <c r="I229" s="136">
        <v>39909</v>
      </c>
      <c r="J229">
        <v>28.27</v>
      </c>
      <c r="K229">
        <v>27.68</v>
      </c>
      <c r="L229">
        <v>28.9</v>
      </c>
    </row>
    <row r="230" spans="1:12">
      <c r="A230" s="136">
        <v>39910</v>
      </c>
      <c r="B230">
        <v>1465</v>
      </c>
      <c r="C230">
        <v>1455</v>
      </c>
      <c r="D230">
        <v>1488</v>
      </c>
      <c r="E230" s="136">
        <v>39910</v>
      </c>
      <c r="F230">
        <v>27.116</v>
      </c>
      <c r="G230">
        <v>25.515999999999998</v>
      </c>
      <c r="H230">
        <v>27.263999999999999</v>
      </c>
      <c r="I230" s="136">
        <v>39910</v>
      </c>
      <c r="J230">
        <v>27.28</v>
      </c>
      <c r="K230">
        <v>27.01</v>
      </c>
      <c r="L230">
        <v>28.05</v>
      </c>
    </row>
    <row r="231" spans="1:12">
      <c r="A231" s="136">
        <v>39911</v>
      </c>
      <c r="B231">
        <v>1473</v>
      </c>
      <c r="C231">
        <v>1447.5</v>
      </c>
      <c r="D231">
        <v>1496</v>
      </c>
      <c r="E231" s="136">
        <v>39911</v>
      </c>
      <c r="F231">
        <v>25.206</v>
      </c>
      <c r="G231">
        <v>24.922000000000001</v>
      </c>
      <c r="H231">
        <v>26.576999999999998</v>
      </c>
      <c r="I231" s="136">
        <v>39911</v>
      </c>
      <c r="J231">
        <v>27.45</v>
      </c>
      <c r="K231">
        <v>26.51</v>
      </c>
      <c r="L231">
        <v>27.83</v>
      </c>
    </row>
    <row r="232" spans="1:12">
      <c r="A232" s="136">
        <v>39912</v>
      </c>
      <c r="B232">
        <v>1484</v>
      </c>
      <c r="C232">
        <v>1480.25</v>
      </c>
      <c r="D232">
        <v>1539</v>
      </c>
      <c r="E232" s="136">
        <v>39912</v>
      </c>
      <c r="F232">
        <v>26.766999999999999</v>
      </c>
      <c r="G232">
        <v>26.300999999999998</v>
      </c>
      <c r="H232">
        <v>28.972999999999999</v>
      </c>
      <c r="I232" s="136">
        <v>39912</v>
      </c>
      <c r="J232">
        <v>30.44</v>
      </c>
      <c r="K232">
        <v>30.2</v>
      </c>
      <c r="L232">
        <v>33.090000000000003</v>
      </c>
    </row>
    <row r="233" spans="1:12">
      <c r="A233" s="136">
        <v>39913</v>
      </c>
      <c r="B233">
        <v>1484</v>
      </c>
      <c r="C233">
        <v>1480.25</v>
      </c>
      <c r="D233">
        <v>1539</v>
      </c>
      <c r="E233" s="136">
        <v>39913</v>
      </c>
      <c r="F233">
        <v>26.766999999999999</v>
      </c>
      <c r="G233">
        <v>26.300999999999998</v>
      </c>
      <c r="H233">
        <v>28.972999999999999</v>
      </c>
      <c r="I233" s="136">
        <v>39913</v>
      </c>
      <c r="J233">
        <v>30.44</v>
      </c>
      <c r="K233">
        <v>30.2</v>
      </c>
      <c r="L233">
        <v>33.090000000000003</v>
      </c>
    </row>
    <row r="234" spans="1:12">
      <c r="A234" s="136">
        <v>39914</v>
      </c>
      <c r="B234">
        <v>1484</v>
      </c>
      <c r="C234">
        <v>1480.25</v>
      </c>
      <c r="D234">
        <v>1539</v>
      </c>
      <c r="E234" s="136">
        <v>39914</v>
      </c>
      <c r="F234">
        <v>26.766999999999999</v>
      </c>
      <c r="G234">
        <v>26.300999999999998</v>
      </c>
      <c r="H234">
        <v>28.972999999999999</v>
      </c>
      <c r="I234" s="136">
        <v>39914</v>
      </c>
      <c r="J234">
        <v>30.44</v>
      </c>
      <c r="K234">
        <v>30.2</v>
      </c>
      <c r="L234">
        <v>33.090000000000003</v>
      </c>
    </row>
    <row r="235" spans="1:12">
      <c r="A235" s="136">
        <v>39915</v>
      </c>
      <c r="B235">
        <v>1484</v>
      </c>
      <c r="C235">
        <v>1480.25</v>
      </c>
      <c r="D235">
        <v>1539</v>
      </c>
      <c r="E235" s="136">
        <v>39915</v>
      </c>
      <c r="F235">
        <v>26.766999999999999</v>
      </c>
      <c r="G235">
        <v>26.300999999999998</v>
      </c>
      <c r="H235">
        <v>28.972999999999999</v>
      </c>
      <c r="I235" s="136">
        <v>39915</v>
      </c>
      <c r="J235">
        <v>30.44</v>
      </c>
      <c r="K235">
        <v>30.2</v>
      </c>
      <c r="L235">
        <v>33.090000000000003</v>
      </c>
    </row>
    <row r="236" spans="1:12">
      <c r="A236" s="136">
        <v>39916</v>
      </c>
      <c r="B236">
        <v>1484</v>
      </c>
      <c r="C236">
        <v>1480.25</v>
      </c>
      <c r="D236">
        <v>1539</v>
      </c>
      <c r="E236" s="136">
        <v>39916</v>
      </c>
      <c r="F236">
        <v>26.766999999999999</v>
      </c>
      <c r="G236">
        <v>26.300999999999998</v>
      </c>
      <c r="H236">
        <v>28.972999999999999</v>
      </c>
      <c r="I236" s="136">
        <v>39916</v>
      </c>
      <c r="J236">
        <v>32.01</v>
      </c>
      <c r="K236">
        <v>31.81</v>
      </c>
      <c r="L236">
        <v>34.15</v>
      </c>
    </row>
    <row r="237" spans="1:12">
      <c r="A237" s="136">
        <v>39917</v>
      </c>
      <c r="B237">
        <v>1549</v>
      </c>
      <c r="C237">
        <v>1491</v>
      </c>
      <c r="D237">
        <v>1555</v>
      </c>
      <c r="E237" s="136">
        <v>39917</v>
      </c>
      <c r="F237">
        <v>29.206</v>
      </c>
      <c r="G237">
        <v>28.818000000000001</v>
      </c>
      <c r="H237">
        <v>30.849</v>
      </c>
      <c r="I237" s="136">
        <v>39917</v>
      </c>
      <c r="J237">
        <v>33.04</v>
      </c>
      <c r="K237">
        <v>30.65</v>
      </c>
      <c r="L237">
        <v>33.25</v>
      </c>
    </row>
    <row r="238" spans="1:12">
      <c r="A238" s="136">
        <v>39918</v>
      </c>
      <c r="B238">
        <v>1508</v>
      </c>
      <c r="C238">
        <v>1481</v>
      </c>
      <c r="D238">
        <v>1525</v>
      </c>
      <c r="E238" s="136">
        <v>39918</v>
      </c>
      <c r="F238">
        <v>29.120999999999999</v>
      </c>
      <c r="G238">
        <v>28.515000000000001</v>
      </c>
      <c r="H238">
        <v>29.754000000000001</v>
      </c>
      <c r="I238" s="136">
        <v>39918</v>
      </c>
      <c r="J238">
        <v>30.62</v>
      </c>
      <c r="K238">
        <v>30.27</v>
      </c>
      <c r="L238">
        <v>32.97</v>
      </c>
    </row>
    <row r="239" spans="1:12">
      <c r="A239" s="136">
        <v>39919</v>
      </c>
      <c r="B239">
        <v>1525</v>
      </c>
      <c r="C239">
        <v>1470</v>
      </c>
      <c r="D239">
        <v>1525.25</v>
      </c>
      <c r="E239" s="136">
        <v>39919</v>
      </c>
      <c r="F239">
        <v>29.555</v>
      </c>
      <c r="G239">
        <v>29.321999999999999</v>
      </c>
      <c r="H239">
        <v>30.721</v>
      </c>
      <c r="I239" s="136">
        <v>39919</v>
      </c>
      <c r="J239">
        <v>34.01</v>
      </c>
      <c r="K239">
        <v>32.36</v>
      </c>
      <c r="L239">
        <v>34.01</v>
      </c>
    </row>
    <row r="240" spans="1:12">
      <c r="A240" s="136">
        <v>39920</v>
      </c>
      <c r="B240">
        <v>1482</v>
      </c>
      <c r="C240">
        <v>1459</v>
      </c>
      <c r="D240">
        <v>1491</v>
      </c>
      <c r="E240" s="136">
        <v>39920</v>
      </c>
      <c r="F240">
        <v>30.914999999999999</v>
      </c>
      <c r="G240">
        <v>30.488</v>
      </c>
      <c r="H240">
        <v>33.323</v>
      </c>
      <c r="I240" s="136">
        <v>39920</v>
      </c>
      <c r="J240">
        <v>33.35</v>
      </c>
      <c r="K240">
        <v>32.53</v>
      </c>
      <c r="L240">
        <v>33.979999999999997</v>
      </c>
    </row>
    <row r="241" spans="1:12">
      <c r="A241" s="136">
        <v>39921</v>
      </c>
      <c r="B241">
        <v>1482</v>
      </c>
      <c r="C241">
        <v>1459</v>
      </c>
      <c r="D241">
        <v>1491</v>
      </c>
      <c r="E241" s="136">
        <v>39921</v>
      </c>
      <c r="F241">
        <v>30.914999999999999</v>
      </c>
      <c r="G241">
        <v>30.488</v>
      </c>
      <c r="H241">
        <v>33.323</v>
      </c>
      <c r="I241" s="136">
        <v>39921</v>
      </c>
      <c r="J241">
        <v>33.35</v>
      </c>
      <c r="K241">
        <v>32.53</v>
      </c>
      <c r="L241">
        <v>33.979999999999997</v>
      </c>
    </row>
    <row r="242" spans="1:12">
      <c r="A242" s="136">
        <v>39922</v>
      </c>
      <c r="B242">
        <v>1482</v>
      </c>
      <c r="C242">
        <v>1459</v>
      </c>
      <c r="D242">
        <v>1491</v>
      </c>
      <c r="E242" s="136">
        <v>39922</v>
      </c>
      <c r="F242">
        <v>30.914999999999999</v>
      </c>
      <c r="G242">
        <v>30.488</v>
      </c>
      <c r="H242">
        <v>33.323</v>
      </c>
      <c r="I242" s="136">
        <v>39922</v>
      </c>
      <c r="J242">
        <v>33.35</v>
      </c>
      <c r="K242">
        <v>32.53</v>
      </c>
      <c r="L242">
        <v>33.979999999999997</v>
      </c>
    </row>
    <row r="243" spans="1:12">
      <c r="A243" s="136">
        <v>39923</v>
      </c>
      <c r="B243">
        <v>1482</v>
      </c>
      <c r="C243">
        <v>1432</v>
      </c>
      <c r="D243">
        <v>1491</v>
      </c>
      <c r="E243" s="136">
        <v>39923</v>
      </c>
      <c r="F243">
        <v>32.429000000000002</v>
      </c>
      <c r="G243">
        <v>28.902999999999999</v>
      </c>
      <c r="H243">
        <v>32.863999999999997</v>
      </c>
      <c r="I243" s="136">
        <v>39923</v>
      </c>
      <c r="J243">
        <v>31.78</v>
      </c>
      <c r="K243">
        <v>29.64</v>
      </c>
      <c r="L243">
        <v>32.42</v>
      </c>
    </row>
    <row r="244" spans="1:12">
      <c r="A244" s="136">
        <v>39924</v>
      </c>
      <c r="B244">
        <v>1440</v>
      </c>
      <c r="C244">
        <v>1425</v>
      </c>
      <c r="D244">
        <v>1460</v>
      </c>
      <c r="E244" s="136">
        <v>39924</v>
      </c>
      <c r="F244">
        <v>29.128</v>
      </c>
      <c r="G244">
        <v>27.684000000000001</v>
      </c>
      <c r="H244">
        <v>30.091000000000001</v>
      </c>
      <c r="I244" s="136">
        <v>39924</v>
      </c>
      <c r="J244">
        <v>29.07</v>
      </c>
      <c r="K244">
        <v>28.87</v>
      </c>
      <c r="L244">
        <v>32.909999999999997</v>
      </c>
    </row>
    <row r="245" spans="1:12">
      <c r="A245" s="136">
        <v>39925</v>
      </c>
      <c r="B245">
        <v>1456</v>
      </c>
      <c r="C245">
        <v>1440</v>
      </c>
      <c r="D245">
        <v>1470.15</v>
      </c>
      <c r="E245" s="136">
        <v>39925</v>
      </c>
      <c r="F245">
        <v>30.526</v>
      </c>
      <c r="G245">
        <v>28.779</v>
      </c>
      <c r="H245">
        <v>31.777000000000001</v>
      </c>
      <c r="I245" s="136">
        <v>39925</v>
      </c>
      <c r="J245">
        <v>31.64</v>
      </c>
      <c r="K245">
        <v>31.32</v>
      </c>
      <c r="L245">
        <v>34.135599999999997</v>
      </c>
    </row>
    <row r="246" spans="1:12">
      <c r="A246" s="136">
        <v>39926</v>
      </c>
      <c r="B246">
        <v>1465</v>
      </c>
      <c r="C246">
        <v>1445</v>
      </c>
      <c r="D246">
        <v>1476</v>
      </c>
      <c r="E246" s="136">
        <v>39926</v>
      </c>
      <c r="F246">
        <v>30.526</v>
      </c>
      <c r="G246">
        <v>30.06</v>
      </c>
      <c r="H246">
        <v>32.006</v>
      </c>
      <c r="I246" s="136">
        <v>39926</v>
      </c>
      <c r="J246">
        <v>32.229999999999997</v>
      </c>
      <c r="K246">
        <v>31.66</v>
      </c>
      <c r="L246">
        <v>33.75</v>
      </c>
    </row>
    <row r="247" spans="1:12">
      <c r="A247" s="136">
        <v>39927</v>
      </c>
      <c r="B247">
        <v>1454</v>
      </c>
      <c r="C247">
        <v>1442</v>
      </c>
      <c r="D247">
        <v>1467.25</v>
      </c>
      <c r="E247" s="136">
        <v>39927</v>
      </c>
      <c r="F247">
        <v>31.07</v>
      </c>
      <c r="G247">
        <v>30.872</v>
      </c>
      <c r="H247">
        <v>32.429000000000002</v>
      </c>
      <c r="I247" s="136">
        <v>39927</v>
      </c>
      <c r="J247">
        <v>33.659999999999997</v>
      </c>
      <c r="K247">
        <v>32.25</v>
      </c>
      <c r="L247">
        <v>34.5</v>
      </c>
    </row>
    <row r="248" spans="1:12">
      <c r="A248" s="136">
        <v>39928</v>
      </c>
      <c r="B248">
        <v>1454</v>
      </c>
      <c r="C248">
        <v>1442</v>
      </c>
      <c r="D248">
        <v>1467.25</v>
      </c>
      <c r="E248" s="136">
        <v>39928</v>
      </c>
      <c r="F248">
        <v>31.07</v>
      </c>
      <c r="G248">
        <v>30.872</v>
      </c>
      <c r="H248">
        <v>32.429000000000002</v>
      </c>
      <c r="I248" s="136">
        <v>39928</v>
      </c>
      <c r="J248">
        <v>33.659999999999997</v>
      </c>
      <c r="K248">
        <v>32.25</v>
      </c>
      <c r="L248">
        <v>34.5</v>
      </c>
    </row>
    <row r="249" spans="1:12">
      <c r="A249" s="136">
        <v>39929</v>
      </c>
      <c r="B249">
        <v>1454</v>
      </c>
      <c r="C249">
        <v>1442</v>
      </c>
      <c r="D249">
        <v>1467.25</v>
      </c>
      <c r="E249" s="136">
        <v>39929</v>
      </c>
      <c r="F249">
        <v>31.07</v>
      </c>
      <c r="G249">
        <v>30.872</v>
      </c>
      <c r="H249">
        <v>32.429000000000002</v>
      </c>
      <c r="I249" s="136">
        <v>39929</v>
      </c>
      <c r="J249">
        <v>33.659999999999997</v>
      </c>
      <c r="K249">
        <v>32.25</v>
      </c>
      <c r="L249">
        <v>34.5</v>
      </c>
    </row>
    <row r="250" spans="1:12">
      <c r="A250" s="136">
        <v>39930</v>
      </c>
      <c r="B250">
        <v>1455</v>
      </c>
      <c r="C250">
        <v>1429</v>
      </c>
      <c r="D250">
        <v>1455</v>
      </c>
      <c r="E250" s="136">
        <v>39930</v>
      </c>
      <c r="F250">
        <v>32.545999999999999</v>
      </c>
      <c r="G250">
        <v>31.381</v>
      </c>
      <c r="H250">
        <v>33.866</v>
      </c>
      <c r="I250" s="136">
        <v>39930</v>
      </c>
      <c r="J250">
        <v>32.53</v>
      </c>
      <c r="K250">
        <v>32.4</v>
      </c>
      <c r="L250">
        <v>33.770000000000003</v>
      </c>
    </row>
    <row r="251" spans="1:12">
      <c r="A251" s="136">
        <v>39931</v>
      </c>
      <c r="B251">
        <v>1449</v>
      </c>
      <c r="C251">
        <v>1423</v>
      </c>
      <c r="D251">
        <v>1450</v>
      </c>
      <c r="E251" s="136">
        <v>39931</v>
      </c>
      <c r="F251">
        <v>33.633000000000003</v>
      </c>
      <c r="G251">
        <v>30.475999999999999</v>
      </c>
      <c r="H251">
        <v>33.633000000000003</v>
      </c>
      <c r="I251" s="136">
        <v>39931</v>
      </c>
      <c r="J251">
        <v>32.35</v>
      </c>
      <c r="K251">
        <v>32.28</v>
      </c>
      <c r="L251">
        <v>33.72</v>
      </c>
    </row>
    <row r="252" spans="1:12">
      <c r="A252" s="136">
        <v>39932</v>
      </c>
      <c r="B252">
        <v>1432</v>
      </c>
      <c r="C252">
        <v>1430</v>
      </c>
      <c r="D252">
        <v>1469.5</v>
      </c>
      <c r="E252" s="136">
        <v>39932</v>
      </c>
      <c r="F252">
        <v>31.459</v>
      </c>
      <c r="G252">
        <v>30.721</v>
      </c>
      <c r="H252">
        <v>32.270000000000003</v>
      </c>
      <c r="I252" s="136">
        <v>39932</v>
      </c>
      <c r="J252">
        <v>33.44</v>
      </c>
      <c r="K252">
        <v>33.25</v>
      </c>
      <c r="L252">
        <v>34.56</v>
      </c>
    </row>
    <row r="253" spans="1:12">
      <c r="A253" s="136">
        <v>39933</v>
      </c>
      <c r="B253">
        <v>1462</v>
      </c>
      <c r="C253">
        <v>1456</v>
      </c>
      <c r="D253">
        <v>1505</v>
      </c>
      <c r="E253" s="136">
        <v>39933</v>
      </c>
      <c r="F253">
        <v>32.164999999999999</v>
      </c>
      <c r="G253">
        <v>30.884</v>
      </c>
      <c r="H253">
        <v>32.701000000000001</v>
      </c>
      <c r="I253" s="136">
        <v>39933</v>
      </c>
      <c r="J253">
        <v>35.01</v>
      </c>
      <c r="K253">
        <v>32.75</v>
      </c>
      <c r="L253">
        <v>35.21</v>
      </c>
    </row>
    <row r="254" spans="1:12">
      <c r="A254" s="136">
        <v>39934</v>
      </c>
      <c r="B254">
        <v>1499</v>
      </c>
      <c r="C254">
        <v>1495</v>
      </c>
      <c r="D254">
        <v>1540</v>
      </c>
      <c r="E254" s="136">
        <v>39934</v>
      </c>
      <c r="F254">
        <v>32.164999999999999</v>
      </c>
      <c r="G254">
        <v>30.884</v>
      </c>
      <c r="H254">
        <v>32.701000000000001</v>
      </c>
      <c r="I254" s="136">
        <v>39934</v>
      </c>
      <c r="J254">
        <v>32.85</v>
      </c>
      <c r="K254">
        <v>32.06</v>
      </c>
      <c r="L254">
        <v>33.770000000000003</v>
      </c>
    </row>
    <row r="255" spans="1:12">
      <c r="A255" s="136">
        <v>39935</v>
      </c>
      <c r="B255">
        <v>1499</v>
      </c>
      <c r="C255">
        <v>1495</v>
      </c>
      <c r="D255">
        <v>1540</v>
      </c>
      <c r="E255" s="136">
        <v>39935</v>
      </c>
      <c r="F255">
        <v>32.164999999999999</v>
      </c>
      <c r="G255">
        <v>30.884</v>
      </c>
      <c r="H255">
        <v>32.701000000000001</v>
      </c>
      <c r="I255" s="136">
        <v>39935</v>
      </c>
      <c r="J255">
        <v>32.85</v>
      </c>
      <c r="K255">
        <v>32.06</v>
      </c>
      <c r="L255">
        <v>33.770000000000003</v>
      </c>
    </row>
    <row r="256" spans="1:12">
      <c r="A256" s="136">
        <v>39936</v>
      </c>
      <c r="B256">
        <v>1499</v>
      </c>
      <c r="C256">
        <v>1495</v>
      </c>
      <c r="D256">
        <v>1540</v>
      </c>
      <c r="E256" s="136">
        <v>39936</v>
      </c>
      <c r="F256">
        <v>32.164999999999999</v>
      </c>
      <c r="G256">
        <v>30.884</v>
      </c>
      <c r="H256">
        <v>32.701000000000001</v>
      </c>
      <c r="I256" s="136">
        <v>39936</v>
      </c>
      <c r="J256">
        <v>32.85</v>
      </c>
      <c r="K256">
        <v>32.06</v>
      </c>
      <c r="L256">
        <v>33.770000000000003</v>
      </c>
    </row>
    <row r="257" spans="1:12">
      <c r="A257" s="136">
        <v>39937</v>
      </c>
      <c r="B257">
        <v>1499</v>
      </c>
      <c r="C257">
        <v>1495</v>
      </c>
      <c r="D257">
        <v>1540</v>
      </c>
      <c r="E257" s="136">
        <v>39937</v>
      </c>
      <c r="F257">
        <v>32.040999999999997</v>
      </c>
      <c r="G257">
        <v>31.536000000000001</v>
      </c>
      <c r="H257">
        <v>32.390999999999998</v>
      </c>
      <c r="I257" s="136">
        <v>39937</v>
      </c>
      <c r="J257">
        <v>33.06</v>
      </c>
      <c r="K257">
        <v>32.9</v>
      </c>
      <c r="L257">
        <v>35.979999999999997</v>
      </c>
    </row>
    <row r="258" spans="1:12">
      <c r="A258" s="136">
        <v>39938</v>
      </c>
      <c r="B258">
        <v>1532</v>
      </c>
      <c r="C258">
        <v>1508</v>
      </c>
      <c r="D258">
        <v>1545</v>
      </c>
      <c r="E258" s="136">
        <v>39938</v>
      </c>
      <c r="F258">
        <v>32.491999999999997</v>
      </c>
      <c r="G258">
        <v>31.768999999999998</v>
      </c>
      <c r="H258">
        <v>32.603999999999999</v>
      </c>
      <c r="I258" s="136">
        <v>39938</v>
      </c>
      <c r="J258">
        <v>35.450000000000003</v>
      </c>
      <c r="K258">
        <v>34.46</v>
      </c>
      <c r="L258">
        <v>35.950000000000003</v>
      </c>
    </row>
    <row r="259" spans="1:12">
      <c r="A259" s="136">
        <v>39939</v>
      </c>
      <c r="B259">
        <v>1530</v>
      </c>
      <c r="C259">
        <v>1521</v>
      </c>
      <c r="D259">
        <v>1590</v>
      </c>
      <c r="E259" s="136">
        <v>39939</v>
      </c>
      <c r="F259">
        <v>31.536000000000001</v>
      </c>
      <c r="G259">
        <v>30.581</v>
      </c>
      <c r="H259">
        <v>32.74</v>
      </c>
      <c r="I259" s="136">
        <v>39939</v>
      </c>
      <c r="J259">
        <v>35.82</v>
      </c>
      <c r="K259">
        <v>35.56</v>
      </c>
      <c r="L259">
        <v>37.35</v>
      </c>
    </row>
    <row r="260" spans="1:12">
      <c r="A260" s="136">
        <v>39940</v>
      </c>
      <c r="B260">
        <v>1569</v>
      </c>
      <c r="C260">
        <v>1560</v>
      </c>
      <c r="D260">
        <v>1605</v>
      </c>
      <c r="E260" s="136">
        <v>39940</v>
      </c>
      <c r="F260">
        <v>32.545999999999999</v>
      </c>
      <c r="G260">
        <v>30.463999999999999</v>
      </c>
      <c r="H260">
        <v>33.082000000000001</v>
      </c>
      <c r="I260" s="136">
        <v>39940</v>
      </c>
      <c r="J260">
        <v>38.5</v>
      </c>
      <c r="K260">
        <v>34.729999999999997</v>
      </c>
      <c r="L260">
        <v>38.72</v>
      </c>
    </row>
    <row r="261" spans="1:12">
      <c r="A261" s="136">
        <v>39941</v>
      </c>
      <c r="B261">
        <v>1560</v>
      </c>
      <c r="C261">
        <v>1532</v>
      </c>
      <c r="D261">
        <v>1573</v>
      </c>
      <c r="E261" s="136">
        <v>39941</v>
      </c>
      <c r="F261">
        <v>31.574999999999999</v>
      </c>
      <c r="G261">
        <v>31.574999999999999</v>
      </c>
      <c r="H261">
        <v>33.051000000000002</v>
      </c>
      <c r="I261" s="136">
        <v>39941</v>
      </c>
      <c r="J261">
        <v>36.799999999999997</v>
      </c>
      <c r="K261">
        <v>36.200000000000003</v>
      </c>
      <c r="L261">
        <v>38.94</v>
      </c>
    </row>
    <row r="262" spans="1:12">
      <c r="A262" s="136">
        <v>39942</v>
      </c>
      <c r="B262">
        <v>1560</v>
      </c>
      <c r="C262">
        <v>1532</v>
      </c>
      <c r="D262">
        <v>1573</v>
      </c>
      <c r="E262" s="136">
        <v>39942</v>
      </c>
      <c r="F262">
        <v>31.574999999999999</v>
      </c>
      <c r="G262">
        <v>31.574999999999999</v>
      </c>
      <c r="H262">
        <v>33.051000000000002</v>
      </c>
      <c r="I262" s="136">
        <v>39942</v>
      </c>
      <c r="J262">
        <v>36.799999999999997</v>
      </c>
      <c r="K262">
        <v>36.200000000000003</v>
      </c>
      <c r="L262">
        <v>38.94</v>
      </c>
    </row>
    <row r="263" spans="1:12">
      <c r="A263" s="136">
        <v>39943</v>
      </c>
      <c r="B263">
        <v>1560</v>
      </c>
      <c r="C263">
        <v>1532</v>
      </c>
      <c r="D263">
        <v>1573</v>
      </c>
      <c r="E263" s="136">
        <v>39943</v>
      </c>
      <c r="F263">
        <v>31.574999999999999</v>
      </c>
      <c r="G263">
        <v>31.574999999999999</v>
      </c>
      <c r="H263">
        <v>33.051000000000002</v>
      </c>
      <c r="I263" s="136">
        <v>39943</v>
      </c>
      <c r="J263">
        <v>36.799999999999997</v>
      </c>
      <c r="K263">
        <v>36.200000000000003</v>
      </c>
      <c r="L263">
        <v>38.94</v>
      </c>
    </row>
    <row r="264" spans="1:12">
      <c r="A264" s="136">
        <v>39944</v>
      </c>
      <c r="B264">
        <v>1550</v>
      </c>
      <c r="C264">
        <v>1520</v>
      </c>
      <c r="D264">
        <v>1550</v>
      </c>
      <c r="E264" s="136">
        <v>39944</v>
      </c>
      <c r="F264">
        <v>32.779000000000003</v>
      </c>
      <c r="G264">
        <v>31.878</v>
      </c>
      <c r="H264">
        <v>32.911000000000001</v>
      </c>
      <c r="I264" s="136">
        <v>39944</v>
      </c>
      <c r="J264">
        <v>37.35</v>
      </c>
      <c r="K264">
        <v>35.83</v>
      </c>
      <c r="L264">
        <v>38.18</v>
      </c>
    </row>
    <row r="265" spans="1:12">
      <c r="A265" s="136">
        <v>39945</v>
      </c>
      <c r="B265">
        <v>1543.75</v>
      </c>
      <c r="C265">
        <v>1535</v>
      </c>
      <c r="D265">
        <v>1569.5</v>
      </c>
      <c r="E265" s="136">
        <v>39945</v>
      </c>
      <c r="F265">
        <v>32.08</v>
      </c>
      <c r="G265">
        <v>31.055</v>
      </c>
      <c r="H265">
        <v>32.817999999999998</v>
      </c>
      <c r="I265" s="136">
        <v>39945</v>
      </c>
      <c r="J265">
        <v>36.24</v>
      </c>
      <c r="K265">
        <v>34.06</v>
      </c>
      <c r="L265">
        <v>36.26</v>
      </c>
    </row>
    <row r="266" spans="1:12">
      <c r="A266" s="136">
        <v>39946</v>
      </c>
      <c r="B266">
        <v>1545</v>
      </c>
      <c r="C266">
        <v>1505</v>
      </c>
      <c r="D266">
        <v>1555</v>
      </c>
      <c r="E266" s="136">
        <v>39946</v>
      </c>
      <c r="F266">
        <v>31.925000000000001</v>
      </c>
      <c r="G266">
        <v>28.934000000000001</v>
      </c>
      <c r="H266">
        <v>32.119</v>
      </c>
      <c r="I266" s="136">
        <v>39946</v>
      </c>
      <c r="J266">
        <v>34.700000000000003</v>
      </c>
      <c r="K266">
        <v>33.68</v>
      </c>
      <c r="L266">
        <v>35.270000000000003</v>
      </c>
    </row>
    <row r="267" spans="1:12">
      <c r="A267" s="136">
        <v>39947</v>
      </c>
      <c r="B267">
        <v>1525</v>
      </c>
      <c r="C267">
        <v>1500</v>
      </c>
      <c r="D267">
        <v>1538</v>
      </c>
      <c r="E267" s="136">
        <v>39947</v>
      </c>
      <c r="F267">
        <v>29.710999999999999</v>
      </c>
      <c r="G267">
        <v>28.452999999999999</v>
      </c>
      <c r="H267">
        <v>30.603999999999999</v>
      </c>
      <c r="I267" s="136">
        <v>39947</v>
      </c>
      <c r="J267">
        <v>34.119999999999997</v>
      </c>
      <c r="K267">
        <v>33.82</v>
      </c>
      <c r="L267">
        <v>35.619999999999997</v>
      </c>
    </row>
    <row r="268" spans="1:12">
      <c r="A268" s="136">
        <v>39948</v>
      </c>
      <c r="B268">
        <v>1533</v>
      </c>
      <c r="C268">
        <v>1508</v>
      </c>
      <c r="D268">
        <v>1542</v>
      </c>
      <c r="E268" s="136">
        <v>39948</v>
      </c>
      <c r="F268">
        <v>30.41</v>
      </c>
      <c r="G268">
        <v>30.41</v>
      </c>
      <c r="H268">
        <v>31.917000000000002</v>
      </c>
      <c r="I268" s="136">
        <v>39948</v>
      </c>
      <c r="J268">
        <v>35.450000000000003</v>
      </c>
      <c r="K268">
        <v>34.4</v>
      </c>
      <c r="L268">
        <v>35.68</v>
      </c>
    </row>
    <row r="269" spans="1:12">
      <c r="A269" s="136">
        <v>39949</v>
      </c>
      <c r="B269">
        <v>1533</v>
      </c>
      <c r="C269">
        <v>1508</v>
      </c>
      <c r="D269">
        <v>1542</v>
      </c>
      <c r="E269" s="136">
        <v>39949</v>
      </c>
      <c r="F269">
        <v>30.41</v>
      </c>
      <c r="G269">
        <v>30.41</v>
      </c>
      <c r="H269">
        <v>31.917000000000002</v>
      </c>
      <c r="I269" s="136">
        <v>39949</v>
      </c>
      <c r="J269">
        <v>35.450000000000003</v>
      </c>
      <c r="K269">
        <v>34.4</v>
      </c>
      <c r="L269">
        <v>35.68</v>
      </c>
    </row>
    <row r="270" spans="1:12">
      <c r="A270" s="136">
        <v>39950</v>
      </c>
      <c r="B270">
        <v>1533</v>
      </c>
      <c r="C270">
        <v>1508</v>
      </c>
      <c r="D270">
        <v>1542</v>
      </c>
      <c r="E270" s="136">
        <v>39950</v>
      </c>
      <c r="F270">
        <v>30.41</v>
      </c>
      <c r="G270">
        <v>30.41</v>
      </c>
      <c r="H270">
        <v>31.917000000000002</v>
      </c>
      <c r="I270" s="136">
        <v>39950</v>
      </c>
      <c r="J270">
        <v>35.450000000000003</v>
      </c>
      <c r="K270">
        <v>34.4</v>
      </c>
      <c r="L270">
        <v>35.68</v>
      </c>
    </row>
    <row r="271" spans="1:12">
      <c r="A271" s="136">
        <v>39951</v>
      </c>
      <c r="B271">
        <v>1520</v>
      </c>
      <c r="C271">
        <v>1497</v>
      </c>
      <c r="D271">
        <v>1529</v>
      </c>
      <c r="E271" s="136">
        <v>39951</v>
      </c>
      <c r="F271">
        <v>30.946000000000002</v>
      </c>
      <c r="G271">
        <v>30.449000000000002</v>
      </c>
      <c r="H271">
        <v>33.555999999999997</v>
      </c>
      <c r="I271" s="136">
        <v>39951</v>
      </c>
      <c r="J271">
        <v>35.71</v>
      </c>
      <c r="K271">
        <v>35.200000000000003</v>
      </c>
      <c r="L271">
        <v>37.35</v>
      </c>
    </row>
    <row r="272" spans="1:12">
      <c r="A272" s="136">
        <v>39952</v>
      </c>
      <c r="B272">
        <v>1525</v>
      </c>
      <c r="C272">
        <v>1496</v>
      </c>
      <c r="D272">
        <v>1535</v>
      </c>
      <c r="E272" s="136">
        <v>39952</v>
      </c>
      <c r="F272">
        <v>33.944000000000003</v>
      </c>
      <c r="G272">
        <v>33.61</v>
      </c>
      <c r="H272">
        <v>36.189</v>
      </c>
      <c r="I272" s="136">
        <v>39952</v>
      </c>
      <c r="J272">
        <v>37.299999999999997</v>
      </c>
      <c r="K272">
        <v>35.770000000000003</v>
      </c>
      <c r="L272">
        <v>37.68</v>
      </c>
    </row>
    <row r="273" spans="1:12">
      <c r="A273" s="136">
        <v>39953</v>
      </c>
      <c r="B273">
        <v>1498</v>
      </c>
      <c r="C273">
        <v>1474</v>
      </c>
      <c r="D273">
        <v>1513</v>
      </c>
      <c r="E273" s="136">
        <v>39953</v>
      </c>
      <c r="F273">
        <v>35.186999999999998</v>
      </c>
      <c r="G273">
        <v>34.954000000000001</v>
      </c>
      <c r="H273">
        <v>36.962000000000003</v>
      </c>
      <c r="I273" s="136">
        <v>39953</v>
      </c>
      <c r="J273">
        <v>36.61</v>
      </c>
      <c r="K273">
        <v>34.26</v>
      </c>
      <c r="L273">
        <v>36.76</v>
      </c>
    </row>
    <row r="274" spans="1:12">
      <c r="A274" s="136">
        <v>39954</v>
      </c>
      <c r="B274">
        <v>1490</v>
      </c>
      <c r="C274">
        <v>1442</v>
      </c>
      <c r="D274">
        <v>1495</v>
      </c>
      <c r="E274" s="136">
        <v>39954</v>
      </c>
      <c r="F274">
        <v>35.271999999999998</v>
      </c>
      <c r="G274">
        <v>35.271999999999998</v>
      </c>
      <c r="H274">
        <v>36.896000000000001</v>
      </c>
      <c r="I274" s="136">
        <v>39954</v>
      </c>
      <c r="J274">
        <v>34.19</v>
      </c>
      <c r="K274">
        <v>33.67</v>
      </c>
      <c r="L274">
        <v>35.36</v>
      </c>
    </row>
    <row r="275" spans="1:12">
      <c r="A275" s="136">
        <v>39955</v>
      </c>
      <c r="B275">
        <v>1450</v>
      </c>
      <c r="C275">
        <v>1430</v>
      </c>
      <c r="D275">
        <v>1461</v>
      </c>
      <c r="E275" s="136">
        <v>39955</v>
      </c>
      <c r="F275">
        <v>36.235999999999997</v>
      </c>
      <c r="G275">
        <v>36.119</v>
      </c>
      <c r="H275">
        <v>37.109000000000002</v>
      </c>
      <c r="I275" s="136">
        <v>39955</v>
      </c>
      <c r="J275">
        <v>35.26</v>
      </c>
      <c r="K275">
        <v>34.409999999999997</v>
      </c>
      <c r="L275">
        <v>35.299999999999997</v>
      </c>
    </row>
    <row r="276" spans="1:12">
      <c r="A276" s="136">
        <v>39956</v>
      </c>
      <c r="B276">
        <v>1450</v>
      </c>
      <c r="C276">
        <v>1430</v>
      </c>
      <c r="D276">
        <v>1461</v>
      </c>
      <c r="E276" s="136">
        <v>39956</v>
      </c>
      <c r="F276">
        <v>36.235999999999997</v>
      </c>
      <c r="G276">
        <v>36.119</v>
      </c>
      <c r="H276">
        <v>37.109000000000002</v>
      </c>
      <c r="I276" s="136">
        <v>39956</v>
      </c>
      <c r="J276">
        <v>35.26</v>
      </c>
      <c r="K276">
        <v>34.409999999999997</v>
      </c>
      <c r="L276">
        <v>35.299999999999997</v>
      </c>
    </row>
    <row r="277" spans="1:12">
      <c r="A277" s="136">
        <v>39957</v>
      </c>
      <c r="B277">
        <v>1450</v>
      </c>
      <c r="C277">
        <v>1430</v>
      </c>
      <c r="D277">
        <v>1461</v>
      </c>
      <c r="E277" s="136">
        <v>39957</v>
      </c>
      <c r="F277">
        <v>36.235999999999997</v>
      </c>
      <c r="G277">
        <v>36.119</v>
      </c>
      <c r="H277">
        <v>37.109000000000002</v>
      </c>
      <c r="I277" s="136">
        <v>39957</v>
      </c>
      <c r="J277">
        <v>35.26</v>
      </c>
      <c r="K277">
        <v>34.409999999999997</v>
      </c>
      <c r="L277">
        <v>35.299999999999997</v>
      </c>
    </row>
    <row r="278" spans="1:12">
      <c r="A278" s="136">
        <v>39958</v>
      </c>
      <c r="B278">
        <v>1450</v>
      </c>
      <c r="C278">
        <v>1430</v>
      </c>
      <c r="D278">
        <v>1461</v>
      </c>
      <c r="E278" s="136">
        <v>39958</v>
      </c>
      <c r="F278">
        <v>36.817999999999998</v>
      </c>
      <c r="G278">
        <v>35.575000000000003</v>
      </c>
      <c r="H278">
        <v>36.856999999999999</v>
      </c>
      <c r="I278" s="136">
        <v>39958</v>
      </c>
      <c r="J278">
        <v>35.26</v>
      </c>
      <c r="K278">
        <v>34.409999999999997</v>
      </c>
      <c r="L278">
        <v>35.299999999999997</v>
      </c>
    </row>
    <row r="279" spans="1:12">
      <c r="A279" s="136">
        <v>39959</v>
      </c>
      <c r="B279">
        <v>1450</v>
      </c>
      <c r="C279">
        <v>1431</v>
      </c>
      <c r="D279">
        <v>1459</v>
      </c>
      <c r="E279" s="136">
        <v>39959</v>
      </c>
      <c r="F279">
        <v>35.963999999999999</v>
      </c>
      <c r="G279">
        <v>34.798999999999999</v>
      </c>
      <c r="H279">
        <v>37.664999999999999</v>
      </c>
      <c r="I279" s="136">
        <v>39959</v>
      </c>
      <c r="J279">
        <v>34.119999999999997</v>
      </c>
      <c r="K279">
        <v>34.119999999999997</v>
      </c>
      <c r="L279">
        <v>36.56</v>
      </c>
    </row>
    <row r="280" spans="1:12">
      <c r="A280" s="136">
        <v>39960</v>
      </c>
      <c r="B280">
        <v>1457</v>
      </c>
      <c r="C280">
        <v>1396.5</v>
      </c>
      <c r="D280">
        <v>1460</v>
      </c>
      <c r="E280" s="136">
        <v>39960</v>
      </c>
      <c r="F280">
        <v>37.167999999999999</v>
      </c>
      <c r="G280">
        <v>36.918999999999997</v>
      </c>
      <c r="H280">
        <v>38.177</v>
      </c>
      <c r="I280" s="136">
        <v>39960</v>
      </c>
      <c r="J280">
        <v>36.5</v>
      </c>
      <c r="K280">
        <v>34.659999999999997</v>
      </c>
      <c r="L280">
        <v>36.72</v>
      </c>
    </row>
    <row r="281" spans="1:12">
      <c r="A281" s="136">
        <v>39961</v>
      </c>
      <c r="B281">
        <v>1400</v>
      </c>
      <c r="C281">
        <v>1383</v>
      </c>
      <c r="D281">
        <v>1418</v>
      </c>
      <c r="E281" s="136">
        <v>39961</v>
      </c>
      <c r="F281">
        <v>36.57</v>
      </c>
      <c r="G281">
        <v>35.796999999999997</v>
      </c>
      <c r="H281">
        <v>37.207000000000001</v>
      </c>
      <c r="I281" s="136">
        <v>39961</v>
      </c>
      <c r="J281">
        <v>35.14</v>
      </c>
      <c r="K281">
        <v>34.6</v>
      </c>
      <c r="L281">
        <v>36.67</v>
      </c>
    </row>
    <row r="282" spans="1:12">
      <c r="A282" s="136">
        <v>39962</v>
      </c>
      <c r="B282">
        <v>1415</v>
      </c>
      <c r="C282">
        <v>1408</v>
      </c>
      <c r="D282">
        <v>1447</v>
      </c>
      <c r="E282" s="136">
        <v>39962</v>
      </c>
      <c r="F282">
        <v>36.624000000000002</v>
      </c>
      <c r="G282">
        <v>36.197000000000003</v>
      </c>
      <c r="H282">
        <v>36.896000000000001</v>
      </c>
      <c r="I282" s="136">
        <v>39962</v>
      </c>
      <c r="J282">
        <v>36.35</v>
      </c>
      <c r="K282">
        <v>35.68</v>
      </c>
      <c r="L282">
        <v>37.07</v>
      </c>
    </row>
    <row r="283" spans="1:12">
      <c r="A283" s="136">
        <v>39963</v>
      </c>
      <c r="B283">
        <v>1415</v>
      </c>
      <c r="C283">
        <v>1408</v>
      </c>
      <c r="D283">
        <v>1447</v>
      </c>
      <c r="E283" s="136">
        <v>39963</v>
      </c>
      <c r="F283">
        <v>36.624000000000002</v>
      </c>
      <c r="G283">
        <v>36.197000000000003</v>
      </c>
      <c r="H283">
        <v>36.896000000000001</v>
      </c>
      <c r="I283" s="136">
        <v>39963</v>
      </c>
      <c r="J283">
        <v>36.35</v>
      </c>
      <c r="K283">
        <v>35.68</v>
      </c>
      <c r="L283">
        <v>37.07</v>
      </c>
    </row>
    <row r="284" spans="1:12">
      <c r="A284" s="136">
        <v>39964</v>
      </c>
      <c r="B284">
        <v>1415</v>
      </c>
      <c r="C284">
        <v>1408</v>
      </c>
      <c r="D284">
        <v>1447</v>
      </c>
      <c r="E284" s="136">
        <v>39964</v>
      </c>
      <c r="F284">
        <v>36.624000000000002</v>
      </c>
      <c r="G284">
        <v>36.197000000000003</v>
      </c>
      <c r="H284">
        <v>36.896000000000001</v>
      </c>
      <c r="I284" s="136">
        <v>39964</v>
      </c>
      <c r="J284">
        <v>36.35</v>
      </c>
      <c r="K284">
        <v>35.68</v>
      </c>
      <c r="L284">
        <v>37.07</v>
      </c>
    </row>
    <row r="285" spans="1:12">
      <c r="A285" s="136">
        <v>39965</v>
      </c>
      <c r="B285">
        <v>1440</v>
      </c>
      <c r="C285">
        <v>1440</v>
      </c>
      <c r="D285">
        <v>1489</v>
      </c>
      <c r="E285" s="136">
        <v>39965</v>
      </c>
      <c r="F285">
        <v>37.128999999999998</v>
      </c>
      <c r="G285">
        <v>36.779000000000003</v>
      </c>
      <c r="H285">
        <v>38.448999999999998</v>
      </c>
      <c r="I285" s="136">
        <v>39965</v>
      </c>
      <c r="J285">
        <v>37.4</v>
      </c>
      <c r="K285">
        <v>35.770000000000003</v>
      </c>
      <c r="L285">
        <v>37.729999999999997</v>
      </c>
    </row>
    <row r="286" spans="1:12">
      <c r="A286" s="136">
        <v>39966</v>
      </c>
      <c r="B286">
        <v>1481</v>
      </c>
      <c r="C286">
        <v>1460</v>
      </c>
      <c r="D286">
        <v>1492</v>
      </c>
      <c r="E286" s="136">
        <v>39966</v>
      </c>
      <c r="F286">
        <v>37.789000000000001</v>
      </c>
      <c r="G286">
        <v>36.764000000000003</v>
      </c>
      <c r="H286">
        <v>37.789000000000001</v>
      </c>
      <c r="I286" s="136">
        <v>39966</v>
      </c>
      <c r="J286">
        <v>35.07</v>
      </c>
      <c r="K286">
        <v>34.450000000000003</v>
      </c>
      <c r="L286">
        <v>35.520000000000003</v>
      </c>
    </row>
    <row r="287" spans="1:12">
      <c r="A287" s="136">
        <v>39967</v>
      </c>
      <c r="B287">
        <v>1470</v>
      </c>
      <c r="C287">
        <v>1465</v>
      </c>
      <c r="D287">
        <v>1493.25</v>
      </c>
      <c r="E287" s="136">
        <v>39967</v>
      </c>
      <c r="F287">
        <v>37.362000000000002</v>
      </c>
      <c r="G287">
        <v>35.575000000000003</v>
      </c>
      <c r="H287">
        <v>37.866999999999997</v>
      </c>
      <c r="I287" s="136">
        <v>39967</v>
      </c>
      <c r="J287">
        <v>34.4</v>
      </c>
      <c r="K287">
        <v>33.65</v>
      </c>
      <c r="L287">
        <v>34.97</v>
      </c>
    </row>
    <row r="288" spans="1:12">
      <c r="A288" s="136">
        <v>39968</v>
      </c>
      <c r="B288">
        <v>1468</v>
      </c>
      <c r="C288">
        <v>1465.25</v>
      </c>
      <c r="D288">
        <v>1585</v>
      </c>
      <c r="E288" s="136">
        <v>39968</v>
      </c>
      <c r="F288">
        <v>35.933</v>
      </c>
      <c r="G288">
        <v>35.758000000000003</v>
      </c>
      <c r="H288">
        <v>37.167999999999999</v>
      </c>
      <c r="I288" s="136">
        <v>39968</v>
      </c>
      <c r="J288">
        <v>34.4</v>
      </c>
      <c r="K288">
        <v>34.229999999999997</v>
      </c>
      <c r="L288">
        <v>35.44</v>
      </c>
    </row>
    <row r="289" spans="1:12">
      <c r="A289" s="136">
        <v>39969</v>
      </c>
      <c r="B289">
        <v>1577</v>
      </c>
      <c r="C289">
        <v>1555</v>
      </c>
      <c r="D289">
        <v>1611</v>
      </c>
      <c r="E289" s="136">
        <v>39969</v>
      </c>
      <c r="F289">
        <v>37.283999999999999</v>
      </c>
      <c r="G289">
        <v>37.063000000000002</v>
      </c>
      <c r="H289">
        <v>38.542999999999999</v>
      </c>
      <c r="I289" s="136">
        <v>39969</v>
      </c>
      <c r="J289">
        <v>35.72</v>
      </c>
      <c r="K289">
        <v>34.5</v>
      </c>
      <c r="L289">
        <v>35.76</v>
      </c>
    </row>
    <row r="290" spans="1:12">
      <c r="A290" s="136">
        <v>39970</v>
      </c>
      <c r="B290">
        <v>1577</v>
      </c>
      <c r="C290">
        <v>1555</v>
      </c>
      <c r="D290">
        <v>1611</v>
      </c>
      <c r="E290" s="136">
        <v>39970</v>
      </c>
      <c r="F290">
        <v>37.283999999999999</v>
      </c>
      <c r="G290">
        <v>37.063000000000002</v>
      </c>
      <c r="H290">
        <v>38.542999999999999</v>
      </c>
      <c r="I290" s="136">
        <v>39970</v>
      </c>
      <c r="J290">
        <v>35.72</v>
      </c>
      <c r="K290">
        <v>34.5</v>
      </c>
      <c r="L290">
        <v>35.76</v>
      </c>
    </row>
    <row r="291" spans="1:12">
      <c r="A291" s="136">
        <v>39971</v>
      </c>
      <c r="B291">
        <v>1577</v>
      </c>
      <c r="C291">
        <v>1555</v>
      </c>
      <c r="D291">
        <v>1611</v>
      </c>
      <c r="E291" s="136">
        <v>39971</v>
      </c>
      <c r="F291">
        <v>37.283999999999999</v>
      </c>
      <c r="G291">
        <v>37.063000000000002</v>
      </c>
      <c r="H291">
        <v>38.542999999999999</v>
      </c>
      <c r="I291" s="136">
        <v>39971</v>
      </c>
      <c r="J291">
        <v>35.72</v>
      </c>
      <c r="K291">
        <v>34.5</v>
      </c>
      <c r="L291">
        <v>35.76</v>
      </c>
    </row>
    <row r="292" spans="1:12">
      <c r="A292" s="136">
        <v>39972</v>
      </c>
      <c r="B292">
        <v>1564</v>
      </c>
      <c r="C292">
        <v>1561.75</v>
      </c>
      <c r="D292">
        <v>1645</v>
      </c>
      <c r="E292" s="136">
        <v>39972</v>
      </c>
      <c r="F292">
        <v>37.494</v>
      </c>
      <c r="G292">
        <v>36.142000000000003</v>
      </c>
      <c r="H292">
        <v>37.494</v>
      </c>
      <c r="I292" s="136">
        <v>39972</v>
      </c>
      <c r="J292">
        <v>34.549999999999997</v>
      </c>
      <c r="K292">
        <v>34.549999999999997</v>
      </c>
      <c r="L292">
        <v>35.729999999999997</v>
      </c>
    </row>
    <row r="293" spans="1:12">
      <c r="A293" s="136">
        <v>39973</v>
      </c>
      <c r="B293">
        <v>1615</v>
      </c>
      <c r="C293">
        <v>1595.75</v>
      </c>
      <c r="D293">
        <v>1675.75</v>
      </c>
      <c r="E293" s="136">
        <v>39973</v>
      </c>
      <c r="F293">
        <v>36.927</v>
      </c>
      <c r="G293">
        <v>35.823999999999998</v>
      </c>
      <c r="H293">
        <v>37.067</v>
      </c>
      <c r="I293" s="136">
        <v>39973</v>
      </c>
      <c r="J293">
        <v>35.72</v>
      </c>
      <c r="K293">
        <v>35.090000000000003</v>
      </c>
      <c r="L293">
        <v>35.78</v>
      </c>
    </row>
    <row r="294" spans="1:12">
      <c r="A294" s="136">
        <v>39974</v>
      </c>
      <c r="B294">
        <v>1660</v>
      </c>
      <c r="C294">
        <v>1633</v>
      </c>
      <c r="D294">
        <v>1701</v>
      </c>
      <c r="E294" s="136">
        <v>39974</v>
      </c>
      <c r="F294">
        <v>36.786999999999999</v>
      </c>
      <c r="G294">
        <v>36.08</v>
      </c>
      <c r="H294">
        <v>37.44</v>
      </c>
      <c r="I294" s="136">
        <v>39974</v>
      </c>
      <c r="J294">
        <v>35.57</v>
      </c>
      <c r="K294">
        <v>34.369999999999997</v>
      </c>
      <c r="L294">
        <v>35.67</v>
      </c>
    </row>
    <row r="295" spans="1:12">
      <c r="A295" s="136">
        <v>39975</v>
      </c>
      <c r="B295">
        <v>1650</v>
      </c>
      <c r="C295">
        <v>1633</v>
      </c>
      <c r="D295">
        <v>1697.5</v>
      </c>
      <c r="E295" s="136">
        <v>39975</v>
      </c>
      <c r="F295">
        <v>36.351999999999997</v>
      </c>
      <c r="G295">
        <v>36.243000000000002</v>
      </c>
      <c r="H295">
        <v>37.401000000000003</v>
      </c>
      <c r="I295" s="136">
        <v>39975</v>
      </c>
      <c r="J295">
        <v>35.07</v>
      </c>
      <c r="K295">
        <v>34.54</v>
      </c>
      <c r="L295">
        <v>35.869999999999997</v>
      </c>
    </row>
    <row r="296" spans="1:12">
      <c r="A296" s="136">
        <v>39976</v>
      </c>
      <c r="B296">
        <v>1692</v>
      </c>
      <c r="C296">
        <v>1636</v>
      </c>
      <c r="D296">
        <v>1692</v>
      </c>
      <c r="E296" s="136">
        <v>39976</v>
      </c>
      <c r="F296">
        <v>36.973999999999997</v>
      </c>
      <c r="G296">
        <v>36.390999999999998</v>
      </c>
      <c r="H296">
        <v>37.159999999999997</v>
      </c>
      <c r="I296" s="136">
        <v>39976</v>
      </c>
      <c r="J296">
        <v>34.86</v>
      </c>
      <c r="K296">
        <v>34.799999999999997</v>
      </c>
      <c r="L296">
        <v>35.44</v>
      </c>
    </row>
    <row r="297" spans="1:12">
      <c r="A297" s="136">
        <v>39977</v>
      </c>
      <c r="B297">
        <v>1692</v>
      </c>
      <c r="C297">
        <v>1636</v>
      </c>
      <c r="D297">
        <v>1692</v>
      </c>
      <c r="E297" s="136">
        <v>39977</v>
      </c>
      <c r="F297">
        <v>36.973999999999997</v>
      </c>
      <c r="G297">
        <v>36.390999999999998</v>
      </c>
      <c r="H297">
        <v>37.159999999999997</v>
      </c>
      <c r="I297" s="136">
        <v>39977</v>
      </c>
      <c r="J297">
        <v>34.86</v>
      </c>
      <c r="K297">
        <v>34.799999999999997</v>
      </c>
      <c r="L297">
        <v>35.44</v>
      </c>
    </row>
    <row r="298" spans="1:12">
      <c r="A298" s="136">
        <v>39978</v>
      </c>
      <c r="B298">
        <v>1692</v>
      </c>
      <c r="C298">
        <v>1636</v>
      </c>
      <c r="D298">
        <v>1692</v>
      </c>
      <c r="E298" s="136">
        <v>39978</v>
      </c>
      <c r="F298">
        <v>36.973999999999997</v>
      </c>
      <c r="G298">
        <v>36.390999999999998</v>
      </c>
      <c r="H298">
        <v>37.159999999999997</v>
      </c>
      <c r="I298" s="136">
        <v>39978</v>
      </c>
      <c r="J298">
        <v>34.86</v>
      </c>
      <c r="K298">
        <v>34.799999999999997</v>
      </c>
      <c r="L298">
        <v>35.44</v>
      </c>
    </row>
    <row r="299" spans="1:12">
      <c r="A299" s="136">
        <v>39979</v>
      </c>
      <c r="B299">
        <v>1646</v>
      </c>
      <c r="C299">
        <v>1592</v>
      </c>
      <c r="D299">
        <v>1646</v>
      </c>
      <c r="E299" s="136">
        <v>39979</v>
      </c>
      <c r="F299">
        <v>36.43</v>
      </c>
      <c r="G299">
        <v>34.488</v>
      </c>
      <c r="H299">
        <v>37.159999999999997</v>
      </c>
      <c r="I299" s="136">
        <v>39979</v>
      </c>
      <c r="J299">
        <v>34.880000000000003</v>
      </c>
      <c r="K299">
        <v>33.93</v>
      </c>
      <c r="L299">
        <v>35.04</v>
      </c>
    </row>
    <row r="300" spans="1:12">
      <c r="A300" s="136">
        <v>39980</v>
      </c>
      <c r="B300">
        <v>1606</v>
      </c>
      <c r="C300">
        <v>1592</v>
      </c>
      <c r="D300">
        <v>1638</v>
      </c>
      <c r="E300" s="136">
        <v>39980</v>
      </c>
      <c r="F300">
        <v>34.643000000000001</v>
      </c>
      <c r="G300">
        <v>33.991</v>
      </c>
      <c r="H300">
        <v>35.265000000000001</v>
      </c>
      <c r="I300" s="136">
        <v>39980</v>
      </c>
      <c r="J300">
        <v>34.270000000000003</v>
      </c>
      <c r="K300">
        <v>33.380000000000003</v>
      </c>
      <c r="L300">
        <v>34.39</v>
      </c>
    </row>
    <row r="301" spans="1:12">
      <c r="A301" s="136">
        <v>39981</v>
      </c>
      <c r="B301">
        <v>1595</v>
      </c>
      <c r="C301">
        <v>1584</v>
      </c>
      <c r="D301">
        <v>1636.75</v>
      </c>
      <c r="E301" s="136">
        <v>39981</v>
      </c>
      <c r="F301">
        <v>34.643000000000001</v>
      </c>
      <c r="G301">
        <v>32.756</v>
      </c>
      <c r="H301">
        <v>35.055</v>
      </c>
      <c r="I301" s="136">
        <v>39981</v>
      </c>
      <c r="J301">
        <v>33.43</v>
      </c>
      <c r="K301">
        <v>32.18</v>
      </c>
      <c r="L301">
        <v>33.520000000000003</v>
      </c>
    </row>
    <row r="302" spans="1:12">
      <c r="A302" s="136">
        <v>39982</v>
      </c>
      <c r="B302">
        <v>1634</v>
      </c>
      <c r="C302">
        <v>1620.25</v>
      </c>
      <c r="D302">
        <v>1647</v>
      </c>
      <c r="E302" s="136">
        <v>39982</v>
      </c>
      <c r="F302">
        <v>33.463000000000001</v>
      </c>
      <c r="G302">
        <v>32.880000000000003</v>
      </c>
      <c r="H302">
        <v>34.930999999999997</v>
      </c>
      <c r="I302" s="136">
        <v>39982</v>
      </c>
      <c r="J302">
        <v>32.85</v>
      </c>
      <c r="K302">
        <v>32.840000000000003</v>
      </c>
      <c r="L302">
        <v>34.31</v>
      </c>
    </row>
    <row r="303" spans="1:12">
      <c r="A303" s="136">
        <v>39983</v>
      </c>
      <c r="B303">
        <v>1644.5</v>
      </c>
      <c r="C303">
        <v>1633</v>
      </c>
      <c r="D303">
        <v>1680.25</v>
      </c>
      <c r="E303" s="136">
        <v>39983</v>
      </c>
      <c r="F303">
        <v>34.371000000000002</v>
      </c>
      <c r="G303">
        <v>33.796999999999997</v>
      </c>
      <c r="H303">
        <v>35.024000000000001</v>
      </c>
      <c r="I303" s="136">
        <v>39983</v>
      </c>
      <c r="J303">
        <v>34.65</v>
      </c>
      <c r="K303">
        <v>33.79</v>
      </c>
      <c r="L303">
        <v>35.119999999999997</v>
      </c>
    </row>
    <row r="304" spans="1:12">
      <c r="A304" s="136">
        <v>39984</v>
      </c>
      <c r="B304">
        <v>1644.5</v>
      </c>
      <c r="C304">
        <v>1633</v>
      </c>
      <c r="D304">
        <v>1680.25</v>
      </c>
      <c r="E304" s="136">
        <v>39984</v>
      </c>
      <c r="F304">
        <v>34.371000000000002</v>
      </c>
      <c r="G304">
        <v>33.796999999999997</v>
      </c>
      <c r="H304">
        <v>35.024000000000001</v>
      </c>
      <c r="I304" s="136">
        <v>39984</v>
      </c>
      <c r="J304">
        <v>34.65</v>
      </c>
      <c r="K304">
        <v>33.79</v>
      </c>
      <c r="L304">
        <v>35.119999999999997</v>
      </c>
    </row>
    <row r="305" spans="1:12">
      <c r="A305" s="136">
        <v>39985</v>
      </c>
      <c r="B305">
        <v>1644.5</v>
      </c>
      <c r="C305">
        <v>1633</v>
      </c>
      <c r="D305">
        <v>1680.25</v>
      </c>
      <c r="E305" s="136">
        <v>39985</v>
      </c>
      <c r="F305">
        <v>34.371000000000002</v>
      </c>
      <c r="G305">
        <v>33.796999999999997</v>
      </c>
      <c r="H305">
        <v>35.024000000000001</v>
      </c>
      <c r="I305" s="136">
        <v>39985</v>
      </c>
      <c r="J305">
        <v>34.65</v>
      </c>
      <c r="K305">
        <v>33.79</v>
      </c>
      <c r="L305">
        <v>35.119999999999997</v>
      </c>
    </row>
    <row r="306" spans="1:12">
      <c r="A306" s="136">
        <v>39986</v>
      </c>
      <c r="B306">
        <v>1668</v>
      </c>
      <c r="C306">
        <v>1572</v>
      </c>
      <c r="D306">
        <v>1668</v>
      </c>
      <c r="E306" s="136">
        <v>39986</v>
      </c>
      <c r="F306">
        <v>34.119</v>
      </c>
      <c r="G306">
        <v>31.202000000000002</v>
      </c>
      <c r="H306">
        <v>34.119</v>
      </c>
      <c r="I306" s="136">
        <v>39986</v>
      </c>
      <c r="J306">
        <v>34.69</v>
      </c>
      <c r="K306">
        <v>32.86</v>
      </c>
      <c r="L306">
        <v>35</v>
      </c>
    </row>
    <row r="307" spans="1:12">
      <c r="A307" s="136">
        <v>39987</v>
      </c>
      <c r="B307">
        <v>1580</v>
      </c>
      <c r="C307">
        <v>1575</v>
      </c>
      <c r="D307">
        <v>1613</v>
      </c>
      <c r="E307" s="136">
        <v>39987</v>
      </c>
      <c r="F307">
        <v>31.109000000000002</v>
      </c>
      <c r="G307">
        <v>30.379000000000001</v>
      </c>
      <c r="H307">
        <v>32.234999999999999</v>
      </c>
      <c r="I307" s="136">
        <v>39987</v>
      </c>
      <c r="J307">
        <v>33.11</v>
      </c>
      <c r="K307">
        <v>32.924999999999997</v>
      </c>
      <c r="L307">
        <v>34.090000000000003</v>
      </c>
    </row>
    <row r="308" spans="1:12">
      <c r="A308" s="136">
        <v>39988</v>
      </c>
      <c r="B308">
        <v>1608</v>
      </c>
      <c r="C308">
        <v>1604</v>
      </c>
      <c r="D308">
        <v>1668</v>
      </c>
      <c r="E308" s="136">
        <v>39988</v>
      </c>
      <c r="F308">
        <v>31.574999999999999</v>
      </c>
      <c r="G308">
        <v>31.459</v>
      </c>
      <c r="H308">
        <v>33.789000000000001</v>
      </c>
      <c r="I308" s="136">
        <v>39988</v>
      </c>
      <c r="J308">
        <v>33.78</v>
      </c>
      <c r="K308">
        <v>33.07</v>
      </c>
      <c r="L308">
        <v>33.93</v>
      </c>
    </row>
    <row r="309" spans="1:12">
      <c r="A309" s="136">
        <v>39989</v>
      </c>
      <c r="B309">
        <v>1650</v>
      </c>
      <c r="C309">
        <v>1637</v>
      </c>
      <c r="D309">
        <v>1685.2</v>
      </c>
      <c r="E309" s="136">
        <v>39989</v>
      </c>
      <c r="F309">
        <v>33.362000000000002</v>
      </c>
      <c r="G309">
        <v>32.872</v>
      </c>
      <c r="H309">
        <v>34.639000000000003</v>
      </c>
      <c r="I309" s="136">
        <v>39989</v>
      </c>
      <c r="J309">
        <v>33.479999999999997</v>
      </c>
      <c r="K309">
        <v>32.81</v>
      </c>
      <c r="L309">
        <v>34.18</v>
      </c>
    </row>
    <row r="310" spans="1:12">
      <c r="A310" s="136">
        <v>39990</v>
      </c>
      <c r="B310">
        <v>1677</v>
      </c>
      <c r="C310">
        <v>1641.5</v>
      </c>
      <c r="D310">
        <v>1692</v>
      </c>
      <c r="E310" s="136">
        <v>39990</v>
      </c>
      <c r="F310">
        <v>33.828000000000003</v>
      </c>
      <c r="G310">
        <v>33.695999999999998</v>
      </c>
      <c r="H310">
        <v>35.241</v>
      </c>
      <c r="I310" s="136">
        <v>39990</v>
      </c>
      <c r="J310">
        <v>33.880000000000003</v>
      </c>
      <c r="K310">
        <v>33.479999999999997</v>
      </c>
      <c r="L310">
        <v>34.74</v>
      </c>
    </row>
    <row r="311" spans="1:12">
      <c r="A311" s="136">
        <v>39991</v>
      </c>
      <c r="B311">
        <v>1677</v>
      </c>
      <c r="C311">
        <v>1641.5</v>
      </c>
      <c r="D311">
        <v>1692</v>
      </c>
      <c r="E311" s="136">
        <v>39991</v>
      </c>
      <c r="F311">
        <v>33.828000000000003</v>
      </c>
      <c r="G311">
        <v>33.695999999999998</v>
      </c>
      <c r="H311">
        <v>35.241</v>
      </c>
      <c r="I311" s="136">
        <v>39991</v>
      </c>
      <c r="J311">
        <v>33.880000000000003</v>
      </c>
      <c r="K311">
        <v>33.479999999999997</v>
      </c>
      <c r="L311">
        <v>34.74</v>
      </c>
    </row>
    <row r="312" spans="1:12">
      <c r="A312" s="136">
        <v>39992</v>
      </c>
      <c r="B312">
        <v>1677</v>
      </c>
      <c r="C312">
        <v>1641.5</v>
      </c>
      <c r="D312">
        <v>1692</v>
      </c>
      <c r="E312" s="136">
        <v>39992</v>
      </c>
      <c r="F312">
        <v>33.828000000000003</v>
      </c>
      <c r="G312">
        <v>33.695999999999998</v>
      </c>
      <c r="H312">
        <v>35.241</v>
      </c>
      <c r="I312" s="136">
        <v>39992</v>
      </c>
      <c r="J312">
        <v>33.880000000000003</v>
      </c>
      <c r="K312">
        <v>33.479999999999997</v>
      </c>
      <c r="L312">
        <v>34.74</v>
      </c>
    </row>
    <row r="313" spans="1:12">
      <c r="A313" s="136">
        <v>39993</v>
      </c>
      <c r="B313">
        <v>1649.5</v>
      </c>
      <c r="C313">
        <v>1632.5</v>
      </c>
      <c r="D313">
        <v>1662.5</v>
      </c>
      <c r="E313" s="136">
        <v>39993</v>
      </c>
      <c r="F313">
        <v>33.625999999999998</v>
      </c>
      <c r="G313">
        <v>33.268000000000001</v>
      </c>
      <c r="H313">
        <v>34.756</v>
      </c>
      <c r="I313" s="136">
        <v>39993</v>
      </c>
      <c r="J313">
        <v>34.549999999999997</v>
      </c>
      <c r="K313">
        <v>34.04</v>
      </c>
      <c r="L313">
        <v>34.700000000000003</v>
      </c>
    </row>
    <row r="314" spans="1:12">
      <c r="A314" s="136">
        <v>39994</v>
      </c>
      <c r="B314">
        <v>1641</v>
      </c>
      <c r="C314">
        <v>1594</v>
      </c>
      <c r="D314">
        <v>1658.75</v>
      </c>
      <c r="E314" s="136">
        <v>39994</v>
      </c>
      <c r="F314">
        <v>34.566000000000003</v>
      </c>
      <c r="G314">
        <v>33.439</v>
      </c>
      <c r="H314">
        <v>35.031999999999996</v>
      </c>
      <c r="I314" s="136">
        <v>39994</v>
      </c>
      <c r="J314">
        <v>34.6</v>
      </c>
      <c r="K314">
        <v>33.869999999999997</v>
      </c>
      <c r="L314">
        <v>34.79</v>
      </c>
    </row>
    <row r="315" spans="1:12">
      <c r="A315" s="136">
        <v>39995</v>
      </c>
      <c r="B315">
        <v>1630</v>
      </c>
      <c r="C315">
        <v>1625</v>
      </c>
      <c r="D315">
        <v>1681</v>
      </c>
      <c r="E315" s="136">
        <v>39995</v>
      </c>
      <c r="F315">
        <v>33.439</v>
      </c>
      <c r="G315">
        <v>33.268000000000001</v>
      </c>
      <c r="H315">
        <v>34.247</v>
      </c>
      <c r="I315" s="136">
        <v>39995</v>
      </c>
      <c r="J315">
        <v>34.270000000000003</v>
      </c>
      <c r="K315">
        <v>33.65</v>
      </c>
      <c r="L315">
        <v>34.57</v>
      </c>
    </row>
    <row r="316" spans="1:12">
      <c r="A316" s="136">
        <v>39996</v>
      </c>
      <c r="B316">
        <v>1668</v>
      </c>
      <c r="C316">
        <v>1617</v>
      </c>
      <c r="D316">
        <v>1668</v>
      </c>
      <c r="E316" s="136">
        <v>39996</v>
      </c>
      <c r="F316">
        <v>33.128999999999998</v>
      </c>
      <c r="G316">
        <v>32.453000000000003</v>
      </c>
      <c r="H316">
        <v>33.94</v>
      </c>
      <c r="I316" s="136">
        <v>39996</v>
      </c>
      <c r="J316">
        <v>33.36</v>
      </c>
      <c r="K316">
        <v>32.270000000000003</v>
      </c>
      <c r="L316">
        <v>33.770000000000003</v>
      </c>
    </row>
    <row r="317" spans="1:12">
      <c r="A317" s="136">
        <v>39997</v>
      </c>
      <c r="B317">
        <v>1637</v>
      </c>
      <c r="C317">
        <v>1598</v>
      </c>
      <c r="D317">
        <v>1648</v>
      </c>
      <c r="E317" s="136">
        <v>39997</v>
      </c>
      <c r="F317">
        <v>32.624000000000002</v>
      </c>
      <c r="G317">
        <v>32.554000000000002</v>
      </c>
      <c r="H317">
        <v>33.323</v>
      </c>
      <c r="I317" s="136">
        <v>39997</v>
      </c>
      <c r="J317">
        <v>33.36</v>
      </c>
      <c r="K317">
        <v>32.270000000000003</v>
      </c>
      <c r="L317">
        <v>33.770000000000003</v>
      </c>
    </row>
    <row r="318" spans="1:12">
      <c r="A318" s="136">
        <v>39998</v>
      </c>
      <c r="B318">
        <v>1637</v>
      </c>
      <c r="C318">
        <v>1598</v>
      </c>
      <c r="D318">
        <v>1648</v>
      </c>
      <c r="E318" s="136">
        <v>39998</v>
      </c>
      <c r="F318">
        <v>32.624000000000002</v>
      </c>
      <c r="G318">
        <v>32.554000000000002</v>
      </c>
      <c r="H318">
        <v>33.323</v>
      </c>
      <c r="I318" s="136">
        <v>39998</v>
      </c>
      <c r="J318">
        <v>33.36</v>
      </c>
      <c r="K318">
        <v>32.270000000000003</v>
      </c>
      <c r="L318">
        <v>33.770000000000003</v>
      </c>
    </row>
    <row r="319" spans="1:12">
      <c r="A319" s="136">
        <v>39999</v>
      </c>
      <c r="B319">
        <v>1637</v>
      </c>
      <c r="C319">
        <v>1598</v>
      </c>
      <c r="D319">
        <v>1648</v>
      </c>
      <c r="E319" s="136">
        <v>39999</v>
      </c>
      <c r="F319">
        <v>32.624000000000002</v>
      </c>
      <c r="G319">
        <v>32.554000000000002</v>
      </c>
      <c r="H319">
        <v>33.323</v>
      </c>
      <c r="I319" s="136">
        <v>39999</v>
      </c>
      <c r="J319">
        <v>33.36</v>
      </c>
      <c r="K319">
        <v>32.270000000000003</v>
      </c>
      <c r="L319">
        <v>33.770000000000003</v>
      </c>
    </row>
    <row r="320" spans="1:12">
      <c r="A320" s="136">
        <v>40000</v>
      </c>
      <c r="B320">
        <v>1600</v>
      </c>
      <c r="C320">
        <v>1581.5</v>
      </c>
      <c r="D320">
        <v>1627.5</v>
      </c>
      <c r="E320" s="136">
        <v>40000</v>
      </c>
      <c r="F320">
        <v>32.545999999999999</v>
      </c>
      <c r="G320">
        <v>31.878</v>
      </c>
      <c r="H320">
        <v>32.779000000000003</v>
      </c>
      <c r="I320" s="136">
        <v>40000</v>
      </c>
      <c r="J320">
        <v>32.03</v>
      </c>
      <c r="K320">
        <v>31.59</v>
      </c>
      <c r="L320">
        <v>32.6</v>
      </c>
    </row>
    <row r="321" spans="1:12">
      <c r="A321" s="136">
        <v>40001</v>
      </c>
      <c r="B321">
        <v>1622</v>
      </c>
      <c r="C321">
        <v>1605</v>
      </c>
      <c r="D321">
        <v>1648</v>
      </c>
      <c r="E321" s="136">
        <v>40001</v>
      </c>
      <c r="F321">
        <v>32.429000000000002</v>
      </c>
      <c r="G321">
        <v>32.173000000000002</v>
      </c>
      <c r="H321">
        <v>33.575000000000003</v>
      </c>
      <c r="I321" s="136">
        <v>40001</v>
      </c>
      <c r="J321">
        <v>32.630000000000003</v>
      </c>
      <c r="K321">
        <v>32.130000000000003</v>
      </c>
      <c r="L321">
        <v>33.4</v>
      </c>
    </row>
    <row r="322" spans="1:12">
      <c r="A322" s="136">
        <v>40002</v>
      </c>
      <c r="B322">
        <v>1611</v>
      </c>
      <c r="C322">
        <v>1545</v>
      </c>
      <c r="D322">
        <v>1619</v>
      </c>
      <c r="E322" s="136">
        <v>40002</v>
      </c>
      <c r="F322">
        <v>32.313000000000002</v>
      </c>
      <c r="G322">
        <v>31.925000000000001</v>
      </c>
      <c r="H322">
        <v>33.152000000000001</v>
      </c>
      <c r="I322" s="136">
        <v>40002</v>
      </c>
      <c r="J322">
        <v>32.93</v>
      </c>
      <c r="K322">
        <v>31.79</v>
      </c>
      <c r="L322">
        <v>33.49</v>
      </c>
    </row>
    <row r="323" spans="1:12">
      <c r="A323" s="136">
        <v>40003</v>
      </c>
      <c r="B323">
        <v>1560</v>
      </c>
      <c r="C323">
        <v>1549.25</v>
      </c>
      <c r="D323">
        <v>1596</v>
      </c>
      <c r="E323" s="136">
        <v>40003</v>
      </c>
      <c r="F323">
        <v>32.896000000000001</v>
      </c>
      <c r="G323">
        <v>32.856999999999999</v>
      </c>
      <c r="H323">
        <v>34.325000000000003</v>
      </c>
      <c r="I323" s="136">
        <v>40003</v>
      </c>
      <c r="J323">
        <v>32.89</v>
      </c>
      <c r="K323">
        <v>32.869999999999997</v>
      </c>
      <c r="L323">
        <v>33.75</v>
      </c>
    </row>
    <row r="324" spans="1:12">
      <c r="A324" s="136">
        <v>40004</v>
      </c>
      <c r="B324">
        <v>1582</v>
      </c>
      <c r="C324">
        <v>1558</v>
      </c>
      <c r="D324">
        <v>1593</v>
      </c>
      <c r="E324" s="136">
        <v>40004</v>
      </c>
      <c r="F324">
        <v>33.746000000000002</v>
      </c>
      <c r="G324">
        <v>33.555999999999997</v>
      </c>
      <c r="H324">
        <v>34.720999999999997</v>
      </c>
      <c r="I324" s="136">
        <v>40004</v>
      </c>
      <c r="J324">
        <v>33.31</v>
      </c>
      <c r="K324">
        <v>32.21</v>
      </c>
      <c r="L324">
        <v>33.67</v>
      </c>
    </row>
    <row r="325" spans="1:12">
      <c r="A325" s="136">
        <v>40005</v>
      </c>
      <c r="B325">
        <v>1582</v>
      </c>
      <c r="C325">
        <v>1558</v>
      </c>
      <c r="D325">
        <v>1593</v>
      </c>
      <c r="E325" s="136">
        <v>40005</v>
      </c>
      <c r="F325">
        <v>33.746000000000002</v>
      </c>
      <c r="G325">
        <v>33.555999999999997</v>
      </c>
      <c r="H325">
        <v>34.720999999999997</v>
      </c>
      <c r="I325" s="136">
        <v>40005</v>
      </c>
      <c r="J325">
        <v>33.31</v>
      </c>
      <c r="K325">
        <v>32.21</v>
      </c>
      <c r="L325">
        <v>33.67</v>
      </c>
    </row>
    <row r="326" spans="1:12">
      <c r="A326" s="136">
        <v>40006</v>
      </c>
      <c r="B326">
        <v>1582</v>
      </c>
      <c r="C326">
        <v>1558</v>
      </c>
      <c r="D326">
        <v>1593</v>
      </c>
      <c r="E326" s="136">
        <v>40006</v>
      </c>
      <c r="F326">
        <v>33.746000000000002</v>
      </c>
      <c r="G326">
        <v>33.555999999999997</v>
      </c>
      <c r="H326">
        <v>34.720999999999997</v>
      </c>
      <c r="I326" s="136">
        <v>40006</v>
      </c>
      <c r="J326">
        <v>33.31</v>
      </c>
      <c r="K326">
        <v>32.21</v>
      </c>
      <c r="L326">
        <v>33.67</v>
      </c>
    </row>
    <row r="327" spans="1:12">
      <c r="A327" s="136">
        <v>40007</v>
      </c>
      <c r="B327">
        <v>1583</v>
      </c>
      <c r="C327">
        <v>1557</v>
      </c>
      <c r="D327">
        <v>1583</v>
      </c>
      <c r="E327" s="136">
        <v>40007</v>
      </c>
      <c r="F327">
        <v>33.47</v>
      </c>
      <c r="G327">
        <v>33.47</v>
      </c>
      <c r="H327">
        <v>35.606000000000002</v>
      </c>
      <c r="I327" s="136">
        <v>40007</v>
      </c>
      <c r="J327">
        <v>32.869999999999997</v>
      </c>
      <c r="K327">
        <v>32.43</v>
      </c>
      <c r="L327">
        <v>34.71</v>
      </c>
    </row>
    <row r="328" spans="1:12">
      <c r="A328" s="136">
        <v>40008</v>
      </c>
      <c r="B328">
        <v>1564</v>
      </c>
      <c r="C328">
        <v>1564</v>
      </c>
      <c r="D328">
        <v>1608</v>
      </c>
      <c r="E328" s="136">
        <v>40008</v>
      </c>
      <c r="F328">
        <v>36.026000000000003</v>
      </c>
      <c r="G328">
        <v>35.622</v>
      </c>
      <c r="H328">
        <v>37.241</v>
      </c>
      <c r="I328" s="136">
        <v>40008</v>
      </c>
      <c r="J328">
        <v>34.53</v>
      </c>
      <c r="K328">
        <v>34.06</v>
      </c>
      <c r="L328">
        <v>35.090000000000003</v>
      </c>
    </row>
    <row r="329" spans="1:12">
      <c r="A329" s="136">
        <v>40009</v>
      </c>
      <c r="B329">
        <v>1600</v>
      </c>
      <c r="C329">
        <v>1600</v>
      </c>
      <c r="D329">
        <v>1665</v>
      </c>
      <c r="E329" s="136">
        <v>40009</v>
      </c>
      <c r="F329">
        <v>36.655000000000001</v>
      </c>
      <c r="G329">
        <v>36.29</v>
      </c>
      <c r="H329">
        <v>37.673000000000002</v>
      </c>
      <c r="I329" s="136">
        <v>40009</v>
      </c>
      <c r="J329">
        <v>35.11</v>
      </c>
      <c r="K329">
        <v>35.01</v>
      </c>
      <c r="L329">
        <v>36.765000000000001</v>
      </c>
    </row>
    <row r="330" spans="1:12">
      <c r="A330" s="136">
        <v>40010</v>
      </c>
      <c r="B330">
        <v>1650</v>
      </c>
      <c r="C330">
        <v>1642</v>
      </c>
      <c r="D330">
        <v>1698</v>
      </c>
      <c r="E330" s="136">
        <v>40010</v>
      </c>
      <c r="F330">
        <v>37.75</v>
      </c>
      <c r="G330">
        <v>36.701999999999998</v>
      </c>
      <c r="H330">
        <v>37.89</v>
      </c>
      <c r="I330" s="136">
        <v>40010</v>
      </c>
      <c r="J330">
        <v>35.5</v>
      </c>
      <c r="K330">
        <v>35.22</v>
      </c>
      <c r="L330">
        <v>36.409999999999997</v>
      </c>
    </row>
    <row r="331" spans="1:12">
      <c r="A331" s="136">
        <v>40011</v>
      </c>
      <c r="B331">
        <v>1689</v>
      </c>
      <c r="C331">
        <v>1679</v>
      </c>
      <c r="D331">
        <v>1735</v>
      </c>
      <c r="E331" s="136">
        <v>40011</v>
      </c>
      <c r="F331">
        <v>37.828000000000003</v>
      </c>
      <c r="G331">
        <v>36.844999999999999</v>
      </c>
      <c r="H331">
        <v>38.03</v>
      </c>
      <c r="I331" s="136">
        <v>40011</v>
      </c>
      <c r="J331">
        <v>36.42</v>
      </c>
      <c r="K331">
        <v>36.18</v>
      </c>
      <c r="L331">
        <v>37.200000000000003</v>
      </c>
    </row>
    <row r="332" spans="1:12">
      <c r="A332" s="136">
        <v>40012</v>
      </c>
      <c r="B332">
        <v>1689</v>
      </c>
      <c r="C332">
        <v>1679</v>
      </c>
      <c r="D332">
        <v>1735</v>
      </c>
      <c r="E332" s="136">
        <v>40012</v>
      </c>
      <c r="F332">
        <v>37.828000000000003</v>
      </c>
      <c r="G332">
        <v>36.844999999999999</v>
      </c>
      <c r="H332">
        <v>38.03</v>
      </c>
      <c r="I332" s="136">
        <v>40012</v>
      </c>
      <c r="J332">
        <v>36.42</v>
      </c>
      <c r="K332">
        <v>36.18</v>
      </c>
      <c r="L332">
        <v>37.200000000000003</v>
      </c>
    </row>
    <row r="333" spans="1:12">
      <c r="A333" s="136">
        <v>40013</v>
      </c>
      <c r="B333">
        <v>1689</v>
      </c>
      <c r="C333">
        <v>1679</v>
      </c>
      <c r="D333">
        <v>1735</v>
      </c>
      <c r="E333" s="136">
        <v>40013</v>
      </c>
      <c r="F333">
        <v>37.828000000000003</v>
      </c>
      <c r="G333">
        <v>36.844999999999999</v>
      </c>
      <c r="H333">
        <v>38.03</v>
      </c>
      <c r="I333" s="136">
        <v>40013</v>
      </c>
      <c r="J333">
        <v>36.42</v>
      </c>
      <c r="K333">
        <v>36.18</v>
      </c>
      <c r="L333">
        <v>37.200000000000003</v>
      </c>
    </row>
    <row r="334" spans="1:12">
      <c r="A334" s="136">
        <v>40014</v>
      </c>
      <c r="B334">
        <v>1707</v>
      </c>
      <c r="C334">
        <v>1697.5</v>
      </c>
      <c r="D334">
        <v>1747</v>
      </c>
      <c r="E334" s="136">
        <v>40014</v>
      </c>
      <c r="F334">
        <v>37.982999999999997</v>
      </c>
      <c r="G334">
        <v>37.564</v>
      </c>
      <c r="H334">
        <v>38.600999999999999</v>
      </c>
      <c r="I334" s="136">
        <v>40014</v>
      </c>
      <c r="J334">
        <v>37.020000000000003</v>
      </c>
      <c r="K334">
        <v>36.590000000000003</v>
      </c>
      <c r="L334">
        <v>37.44</v>
      </c>
    </row>
    <row r="335" spans="1:12">
      <c r="A335" s="136">
        <v>40015</v>
      </c>
      <c r="B335">
        <v>1720</v>
      </c>
      <c r="C335">
        <v>1703.75</v>
      </c>
      <c r="D335">
        <v>1754</v>
      </c>
      <c r="E335" s="136">
        <v>40015</v>
      </c>
      <c r="F335">
        <v>38.216000000000001</v>
      </c>
      <c r="G335">
        <v>37.555999999999997</v>
      </c>
      <c r="H335">
        <v>38.908000000000001</v>
      </c>
      <c r="I335" s="136">
        <v>40015</v>
      </c>
      <c r="J335">
        <v>37.200000000000003</v>
      </c>
      <c r="K335">
        <v>36.6</v>
      </c>
      <c r="L335">
        <v>37.31</v>
      </c>
    </row>
    <row r="336" spans="1:12">
      <c r="A336" s="136">
        <v>40016</v>
      </c>
      <c r="B336">
        <v>1709</v>
      </c>
      <c r="C336">
        <v>1705</v>
      </c>
      <c r="D336">
        <v>1755</v>
      </c>
      <c r="E336" s="136">
        <v>40016</v>
      </c>
      <c r="F336">
        <v>37.982999999999997</v>
      </c>
      <c r="G336">
        <v>37.529000000000003</v>
      </c>
      <c r="H336">
        <v>38.363999999999997</v>
      </c>
      <c r="I336" s="136">
        <v>40016</v>
      </c>
      <c r="J336">
        <v>36.4</v>
      </c>
      <c r="K336">
        <v>36.21</v>
      </c>
      <c r="L336">
        <v>37.33</v>
      </c>
    </row>
    <row r="337" spans="1:12">
      <c r="A337" s="136">
        <v>40017</v>
      </c>
      <c r="B337">
        <v>1745</v>
      </c>
      <c r="C337">
        <v>1723</v>
      </c>
      <c r="D337">
        <v>1788</v>
      </c>
      <c r="E337" s="136">
        <v>40017</v>
      </c>
      <c r="F337">
        <v>38.1</v>
      </c>
      <c r="G337">
        <v>37.765999999999998</v>
      </c>
      <c r="H337">
        <v>39.603000000000002</v>
      </c>
      <c r="I337" s="136">
        <v>40017</v>
      </c>
      <c r="J337">
        <v>36.950000000000003</v>
      </c>
      <c r="K337">
        <v>36.57</v>
      </c>
      <c r="L337">
        <v>38.47</v>
      </c>
    </row>
    <row r="338" spans="1:12">
      <c r="A338" s="136">
        <v>40018</v>
      </c>
      <c r="B338">
        <v>1778</v>
      </c>
      <c r="C338">
        <v>1770</v>
      </c>
      <c r="D338">
        <v>1816</v>
      </c>
      <c r="E338" s="136">
        <v>40018</v>
      </c>
      <c r="F338">
        <v>38.993000000000002</v>
      </c>
      <c r="G338">
        <v>38.604999999999997</v>
      </c>
      <c r="H338">
        <v>40.43</v>
      </c>
      <c r="I338" s="136">
        <v>40018</v>
      </c>
      <c r="J338">
        <v>38.049999999999997</v>
      </c>
      <c r="K338">
        <v>37.4</v>
      </c>
      <c r="L338">
        <v>38.25</v>
      </c>
    </row>
    <row r="339" spans="1:12">
      <c r="A339" s="136">
        <v>40019</v>
      </c>
      <c r="B339">
        <v>1778</v>
      </c>
      <c r="C339">
        <v>1770</v>
      </c>
      <c r="D339">
        <v>1816</v>
      </c>
      <c r="E339" s="136">
        <v>40019</v>
      </c>
      <c r="F339">
        <v>38.993000000000002</v>
      </c>
      <c r="G339">
        <v>38.604999999999997</v>
      </c>
      <c r="H339">
        <v>40.43</v>
      </c>
      <c r="I339" s="136">
        <v>40019</v>
      </c>
      <c r="J339">
        <v>38.049999999999997</v>
      </c>
      <c r="K339">
        <v>37.4</v>
      </c>
      <c r="L339">
        <v>38.25</v>
      </c>
    </row>
    <row r="340" spans="1:12">
      <c r="A340" s="136">
        <v>40020</v>
      </c>
      <c r="B340">
        <v>1778</v>
      </c>
      <c r="C340">
        <v>1770</v>
      </c>
      <c r="D340">
        <v>1816</v>
      </c>
      <c r="E340" s="136">
        <v>40020</v>
      </c>
      <c r="F340">
        <v>38.993000000000002</v>
      </c>
      <c r="G340">
        <v>38.604999999999997</v>
      </c>
      <c r="H340">
        <v>40.43</v>
      </c>
      <c r="I340" s="136">
        <v>40020</v>
      </c>
      <c r="J340">
        <v>38.049999999999997</v>
      </c>
      <c r="K340">
        <v>37.4</v>
      </c>
      <c r="L340">
        <v>38.25</v>
      </c>
    </row>
    <row r="341" spans="1:12">
      <c r="A341" s="136">
        <v>40021</v>
      </c>
      <c r="B341">
        <v>1811</v>
      </c>
      <c r="C341">
        <v>1810</v>
      </c>
      <c r="D341">
        <v>1874.5</v>
      </c>
      <c r="E341" s="136">
        <v>40021</v>
      </c>
      <c r="F341">
        <v>40.298000000000002</v>
      </c>
      <c r="G341">
        <v>39.649000000000001</v>
      </c>
      <c r="H341">
        <v>40.856999999999999</v>
      </c>
      <c r="I341" s="136">
        <v>40021</v>
      </c>
      <c r="J341">
        <v>37.97</v>
      </c>
      <c r="K341">
        <v>37.57</v>
      </c>
      <c r="L341">
        <v>39.47</v>
      </c>
    </row>
    <row r="342" spans="1:12">
      <c r="A342" s="136">
        <v>40022</v>
      </c>
      <c r="B342">
        <v>1822</v>
      </c>
      <c r="C342">
        <v>1800</v>
      </c>
      <c r="D342">
        <v>1865</v>
      </c>
      <c r="E342" s="136">
        <v>40022</v>
      </c>
      <c r="F342">
        <v>39.652999999999999</v>
      </c>
      <c r="G342">
        <v>35.652999999999999</v>
      </c>
      <c r="H342">
        <v>39.770000000000003</v>
      </c>
      <c r="I342" s="136">
        <v>40022</v>
      </c>
      <c r="J342">
        <v>37.74</v>
      </c>
      <c r="K342">
        <v>37.65</v>
      </c>
      <c r="L342">
        <v>38.200000000000003</v>
      </c>
    </row>
    <row r="343" spans="1:12">
      <c r="A343" s="136">
        <v>40023</v>
      </c>
      <c r="B343">
        <v>1834</v>
      </c>
      <c r="C343">
        <v>1787</v>
      </c>
      <c r="D343">
        <v>1834</v>
      </c>
      <c r="E343" s="136">
        <v>40023</v>
      </c>
      <c r="F343">
        <v>36.235999999999997</v>
      </c>
      <c r="G343">
        <v>36.003</v>
      </c>
      <c r="H343">
        <v>37.44</v>
      </c>
      <c r="I343" s="136">
        <v>40023</v>
      </c>
      <c r="J343">
        <v>37.79</v>
      </c>
      <c r="K343">
        <v>37.44</v>
      </c>
      <c r="L343">
        <v>38.24</v>
      </c>
    </row>
    <row r="344" spans="1:12">
      <c r="A344" s="136">
        <v>40024</v>
      </c>
      <c r="B344">
        <v>1796</v>
      </c>
      <c r="C344">
        <v>1794</v>
      </c>
      <c r="D344">
        <v>1890</v>
      </c>
      <c r="E344" s="136">
        <v>40024</v>
      </c>
      <c r="F344">
        <v>37.106000000000002</v>
      </c>
      <c r="G344">
        <v>35.302999999999997</v>
      </c>
      <c r="H344">
        <v>37.283999999999999</v>
      </c>
      <c r="I344" s="136">
        <v>40024</v>
      </c>
      <c r="J344">
        <v>38.130000000000003</v>
      </c>
      <c r="K344">
        <v>37.9</v>
      </c>
      <c r="L344">
        <v>39.28</v>
      </c>
    </row>
    <row r="345" spans="1:12">
      <c r="A345" s="136">
        <v>40025</v>
      </c>
      <c r="B345">
        <v>1875</v>
      </c>
      <c r="C345">
        <v>1850</v>
      </c>
      <c r="D345">
        <v>1914.75</v>
      </c>
      <c r="E345" s="136">
        <v>40025</v>
      </c>
      <c r="F345">
        <v>36.158000000000001</v>
      </c>
      <c r="G345">
        <v>34.805999999999997</v>
      </c>
      <c r="H345">
        <v>36.841000000000001</v>
      </c>
      <c r="I345" s="136">
        <v>40025</v>
      </c>
      <c r="J345">
        <v>38.380000000000003</v>
      </c>
      <c r="K345">
        <v>37.93</v>
      </c>
      <c r="L345">
        <v>38.65</v>
      </c>
    </row>
    <row r="346" spans="1:12">
      <c r="A346" s="136">
        <v>40026</v>
      </c>
      <c r="B346">
        <v>1875</v>
      </c>
      <c r="C346">
        <v>1850</v>
      </c>
      <c r="D346">
        <v>1914.75</v>
      </c>
      <c r="E346" s="136">
        <v>40026</v>
      </c>
      <c r="F346">
        <v>36.158000000000001</v>
      </c>
      <c r="G346">
        <v>34.805999999999997</v>
      </c>
      <c r="H346">
        <v>36.841000000000001</v>
      </c>
      <c r="I346" s="136">
        <v>40026</v>
      </c>
      <c r="J346">
        <v>38.380000000000003</v>
      </c>
      <c r="K346">
        <v>37.93</v>
      </c>
      <c r="L346">
        <v>38.65</v>
      </c>
    </row>
    <row r="347" spans="1:12">
      <c r="A347" s="136">
        <v>40027</v>
      </c>
      <c r="B347">
        <v>1875</v>
      </c>
      <c r="C347">
        <v>1850</v>
      </c>
      <c r="D347">
        <v>1914.75</v>
      </c>
      <c r="E347" s="136">
        <v>40027</v>
      </c>
      <c r="F347">
        <v>36.158000000000001</v>
      </c>
      <c r="G347">
        <v>34.805999999999997</v>
      </c>
      <c r="H347">
        <v>36.841000000000001</v>
      </c>
      <c r="I347" s="136">
        <v>40027</v>
      </c>
      <c r="J347">
        <v>38.380000000000003</v>
      </c>
      <c r="K347">
        <v>37.93</v>
      </c>
      <c r="L347">
        <v>38.65</v>
      </c>
    </row>
    <row r="348" spans="1:12">
      <c r="A348" s="136">
        <v>40028</v>
      </c>
      <c r="B348">
        <v>1889</v>
      </c>
      <c r="C348">
        <v>1885</v>
      </c>
      <c r="D348">
        <v>1981</v>
      </c>
      <c r="E348" s="136">
        <v>40028</v>
      </c>
      <c r="F348">
        <v>35.459000000000003</v>
      </c>
      <c r="G348">
        <v>35.186999999999998</v>
      </c>
      <c r="H348">
        <v>36.817999999999998</v>
      </c>
      <c r="I348" s="136">
        <v>40028</v>
      </c>
      <c r="J348">
        <v>39.119999999999997</v>
      </c>
      <c r="K348">
        <v>38.988</v>
      </c>
      <c r="L348">
        <v>39.75</v>
      </c>
    </row>
    <row r="349" spans="1:12">
      <c r="A349" s="136">
        <v>40029</v>
      </c>
      <c r="B349">
        <v>1960</v>
      </c>
      <c r="C349">
        <v>1922</v>
      </c>
      <c r="D349">
        <v>2019</v>
      </c>
      <c r="E349" s="136">
        <v>40029</v>
      </c>
      <c r="F349">
        <v>36.344000000000001</v>
      </c>
      <c r="G349">
        <v>35.652999999999999</v>
      </c>
      <c r="H349">
        <v>36.795000000000002</v>
      </c>
      <c r="I349" s="136">
        <v>40029</v>
      </c>
      <c r="J349">
        <v>39.270000000000003</v>
      </c>
      <c r="K349">
        <v>39.17</v>
      </c>
      <c r="L349">
        <v>40.5</v>
      </c>
    </row>
    <row r="350" spans="1:12">
      <c r="A350" s="136">
        <v>40030</v>
      </c>
      <c r="B350">
        <v>1996</v>
      </c>
      <c r="C350">
        <v>1980</v>
      </c>
      <c r="D350">
        <v>2115</v>
      </c>
      <c r="E350" s="136">
        <v>40030</v>
      </c>
      <c r="F350">
        <v>36.204999999999998</v>
      </c>
      <c r="G350">
        <v>35.186999999999998</v>
      </c>
      <c r="H350">
        <v>36.421999999999997</v>
      </c>
      <c r="I350" s="136">
        <v>40030</v>
      </c>
      <c r="J350">
        <v>40.340000000000003</v>
      </c>
      <c r="K350">
        <v>40.26</v>
      </c>
      <c r="L350">
        <v>42.2</v>
      </c>
    </row>
    <row r="351" spans="1:12">
      <c r="A351" s="136">
        <v>40031</v>
      </c>
      <c r="B351">
        <v>2050</v>
      </c>
      <c r="C351">
        <v>1951.25</v>
      </c>
      <c r="D351">
        <v>2050</v>
      </c>
      <c r="E351" s="136">
        <v>40031</v>
      </c>
      <c r="F351">
        <v>36.01</v>
      </c>
      <c r="G351">
        <v>35.218000000000004</v>
      </c>
      <c r="H351">
        <v>36.313000000000002</v>
      </c>
      <c r="I351" s="136">
        <v>40031</v>
      </c>
      <c r="J351">
        <v>42.28</v>
      </c>
      <c r="K351">
        <v>40.22</v>
      </c>
      <c r="L351">
        <v>42.46</v>
      </c>
    </row>
    <row r="352" spans="1:12">
      <c r="A352" s="136">
        <v>40032</v>
      </c>
      <c r="B352">
        <v>1975</v>
      </c>
      <c r="C352">
        <v>1950</v>
      </c>
      <c r="D352">
        <v>2050</v>
      </c>
      <c r="E352" s="136">
        <v>40032</v>
      </c>
      <c r="F352">
        <v>35.28</v>
      </c>
      <c r="G352">
        <v>35.07</v>
      </c>
      <c r="H352">
        <v>36.896000000000001</v>
      </c>
      <c r="I352" s="136">
        <v>40032</v>
      </c>
      <c r="J352">
        <v>41.28</v>
      </c>
      <c r="K352">
        <v>41.18</v>
      </c>
      <c r="L352">
        <v>43.13</v>
      </c>
    </row>
    <row r="353" spans="1:12">
      <c r="A353" s="136">
        <v>40033</v>
      </c>
      <c r="B353">
        <v>1975</v>
      </c>
      <c r="C353">
        <v>1950</v>
      </c>
      <c r="D353">
        <v>2050</v>
      </c>
      <c r="E353" s="136">
        <v>40033</v>
      </c>
      <c r="F353">
        <v>35.28</v>
      </c>
      <c r="G353">
        <v>35.07</v>
      </c>
      <c r="H353">
        <v>36.896000000000001</v>
      </c>
      <c r="I353" s="136">
        <v>40033</v>
      </c>
      <c r="J353">
        <v>41.28</v>
      </c>
      <c r="K353">
        <v>41.18</v>
      </c>
      <c r="L353">
        <v>43.13</v>
      </c>
    </row>
    <row r="354" spans="1:12">
      <c r="A354" s="136">
        <v>40034</v>
      </c>
      <c r="B354">
        <v>1975</v>
      </c>
      <c r="C354">
        <v>1950</v>
      </c>
      <c r="D354">
        <v>2050</v>
      </c>
      <c r="E354" s="136">
        <v>40034</v>
      </c>
      <c r="F354">
        <v>35.28</v>
      </c>
      <c r="G354">
        <v>35.07</v>
      </c>
      <c r="H354">
        <v>36.896000000000001</v>
      </c>
      <c r="I354" s="136">
        <v>40034</v>
      </c>
      <c r="J354">
        <v>41.28</v>
      </c>
      <c r="K354">
        <v>41.18</v>
      </c>
      <c r="L354">
        <v>43.13</v>
      </c>
    </row>
    <row r="355" spans="1:12">
      <c r="A355" s="136">
        <v>40035</v>
      </c>
      <c r="B355">
        <v>1995</v>
      </c>
      <c r="C355">
        <v>1955</v>
      </c>
      <c r="D355">
        <v>2040</v>
      </c>
      <c r="E355" s="136">
        <v>40035</v>
      </c>
      <c r="F355">
        <v>36.383000000000003</v>
      </c>
      <c r="G355">
        <v>36.173000000000002</v>
      </c>
      <c r="H355">
        <v>37.524999999999999</v>
      </c>
      <c r="I355" s="136">
        <v>40035</v>
      </c>
      <c r="J355">
        <v>42.03</v>
      </c>
      <c r="K355">
        <v>42.01</v>
      </c>
      <c r="L355">
        <v>43.22</v>
      </c>
    </row>
    <row r="356" spans="1:12">
      <c r="A356" s="136">
        <v>40036</v>
      </c>
      <c r="B356">
        <v>1970</v>
      </c>
      <c r="C356">
        <v>1922</v>
      </c>
      <c r="D356">
        <v>1999</v>
      </c>
      <c r="E356" s="136">
        <v>40036</v>
      </c>
      <c r="F356">
        <v>36.74</v>
      </c>
      <c r="G356">
        <v>35.186999999999998</v>
      </c>
      <c r="H356">
        <v>37.268999999999998</v>
      </c>
      <c r="I356" s="136">
        <v>40036</v>
      </c>
      <c r="J356">
        <v>42.28</v>
      </c>
      <c r="K356">
        <v>40.94</v>
      </c>
      <c r="L356">
        <v>42.51</v>
      </c>
    </row>
    <row r="357" spans="1:12">
      <c r="A357" s="136">
        <v>40037</v>
      </c>
      <c r="B357">
        <v>1940</v>
      </c>
      <c r="C357">
        <v>1891</v>
      </c>
      <c r="D357">
        <v>1987</v>
      </c>
      <c r="E357" s="136">
        <v>40037</v>
      </c>
      <c r="F357">
        <v>35.366</v>
      </c>
      <c r="G357">
        <v>34.122999999999998</v>
      </c>
      <c r="H357">
        <v>35.808</v>
      </c>
      <c r="I357" s="136">
        <v>40037</v>
      </c>
      <c r="J357">
        <v>41.19</v>
      </c>
      <c r="K357">
        <v>41.03</v>
      </c>
      <c r="L357">
        <v>42.45</v>
      </c>
    </row>
    <row r="358" spans="1:12">
      <c r="A358" s="136">
        <v>40038</v>
      </c>
      <c r="B358">
        <v>1979</v>
      </c>
      <c r="C358">
        <v>1978</v>
      </c>
      <c r="D358">
        <v>2092</v>
      </c>
      <c r="E358" s="136">
        <v>40038</v>
      </c>
      <c r="F358">
        <v>35.661000000000001</v>
      </c>
      <c r="G358">
        <v>35.591000000000001</v>
      </c>
      <c r="H358">
        <v>37.459000000000003</v>
      </c>
      <c r="I358" s="136">
        <v>40038</v>
      </c>
      <c r="J358">
        <v>42.73</v>
      </c>
      <c r="K358">
        <v>41.81</v>
      </c>
      <c r="L358">
        <v>43</v>
      </c>
    </row>
    <row r="359" spans="1:12">
      <c r="A359" s="136">
        <v>40039</v>
      </c>
      <c r="B359">
        <v>2060</v>
      </c>
      <c r="C359">
        <v>1969</v>
      </c>
      <c r="D359">
        <v>2085</v>
      </c>
      <c r="E359" s="136">
        <v>40039</v>
      </c>
      <c r="F359">
        <v>36.539000000000001</v>
      </c>
      <c r="G359">
        <v>35.625999999999998</v>
      </c>
      <c r="H359">
        <v>36.914999999999999</v>
      </c>
      <c r="I359" s="136">
        <v>40039</v>
      </c>
      <c r="J359">
        <v>42.63</v>
      </c>
      <c r="K359">
        <v>41.8</v>
      </c>
      <c r="L359">
        <v>42.85</v>
      </c>
    </row>
    <row r="360" spans="1:12">
      <c r="A360" s="136">
        <v>40040</v>
      </c>
      <c r="B360">
        <v>2060</v>
      </c>
      <c r="C360">
        <v>1969</v>
      </c>
      <c r="D360">
        <v>2085</v>
      </c>
      <c r="E360" s="136">
        <v>40040</v>
      </c>
      <c r="F360">
        <v>36.539000000000001</v>
      </c>
      <c r="G360">
        <v>35.625999999999998</v>
      </c>
      <c r="H360">
        <v>36.914999999999999</v>
      </c>
      <c r="I360" s="136">
        <v>40040</v>
      </c>
      <c r="J360">
        <v>42.63</v>
      </c>
      <c r="K360">
        <v>41.8</v>
      </c>
      <c r="L360">
        <v>42.85</v>
      </c>
    </row>
    <row r="361" spans="1:12">
      <c r="A361" s="136">
        <v>40041</v>
      </c>
      <c r="B361">
        <v>2060</v>
      </c>
      <c r="C361">
        <v>1969</v>
      </c>
      <c r="D361">
        <v>2085</v>
      </c>
      <c r="E361" s="136">
        <v>40041</v>
      </c>
      <c r="F361">
        <v>36.539000000000001</v>
      </c>
      <c r="G361">
        <v>35.625999999999998</v>
      </c>
      <c r="H361">
        <v>36.914999999999999</v>
      </c>
      <c r="I361" s="136">
        <v>40041</v>
      </c>
      <c r="J361">
        <v>42.63</v>
      </c>
      <c r="K361">
        <v>41.8</v>
      </c>
      <c r="L361">
        <v>42.85</v>
      </c>
    </row>
    <row r="362" spans="1:12">
      <c r="A362" s="136">
        <v>40042</v>
      </c>
      <c r="B362">
        <v>1982</v>
      </c>
      <c r="C362">
        <v>1924</v>
      </c>
      <c r="D362">
        <v>1982</v>
      </c>
      <c r="E362" s="136">
        <v>40042</v>
      </c>
      <c r="F362">
        <v>34.914999999999999</v>
      </c>
      <c r="G362">
        <v>34.826000000000001</v>
      </c>
      <c r="H362">
        <v>35.924999999999997</v>
      </c>
      <c r="I362" s="136">
        <v>40042</v>
      </c>
      <c r="J362">
        <v>41.21</v>
      </c>
      <c r="K362">
        <v>40.71</v>
      </c>
      <c r="L362">
        <v>41.58</v>
      </c>
    </row>
    <row r="363" spans="1:12">
      <c r="A363" s="136">
        <v>40043</v>
      </c>
      <c r="B363">
        <v>1975</v>
      </c>
      <c r="C363">
        <v>1975</v>
      </c>
      <c r="D363">
        <v>2048</v>
      </c>
      <c r="E363" s="136">
        <v>40043</v>
      </c>
      <c r="F363">
        <v>35.341999999999999</v>
      </c>
      <c r="G363">
        <v>35.256999999999998</v>
      </c>
      <c r="H363">
        <v>36.115000000000002</v>
      </c>
      <c r="I363" s="136">
        <v>40043</v>
      </c>
      <c r="J363">
        <v>41.1</v>
      </c>
      <c r="K363">
        <v>41.06</v>
      </c>
      <c r="L363">
        <v>41.88</v>
      </c>
    </row>
    <row r="364" spans="1:12">
      <c r="A364" s="136">
        <v>40044</v>
      </c>
      <c r="B364">
        <v>2000</v>
      </c>
      <c r="C364">
        <v>1881</v>
      </c>
      <c r="D364">
        <v>2015</v>
      </c>
      <c r="E364" s="136">
        <v>40044</v>
      </c>
      <c r="F364">
        <v>35.847000000000001</v>
      </c>
      <c r="G364">
        <v>34.814</v>
      </c>
      <c r="H364">
        <v>36.08</v>
      </c>
      <c r="I364" s="136">
        <v>40044</v>
      </c>
      <c r="J364">
        <v>41.15</v>
      </c>
      <c r="K364">
        <v>41</v>
      </c>
      <c r="L364">
        <v>41.9</v>
      </c>
    </row>
    <row r="365" spans="1:12">
      <c r="A365" s="136">
        <v>40045</v>
      </c>
      <c r="B365">
        <v>1953</v>
      </c>
      <c r="C365">
        <v>1887.5</v>
      </c>
      <c r="D365">
        <v>1985</v>
      </c>
      <c r="E365" s="136">
        <v>40045</v>
      </c>
      <c r="F365">
        <v>35.963999999999999</v>
      </c>
      <c r="G365">
        <v>35.731000000000002</v>
      </c>
      <c r="H365">
        <v>36.453000000000003</v>
      </c>
      <c r="I365" s="136">
        <v>40045</v>
      </c>
      <c r="J365">
        <v>41.53</v>
      </c>
      <c r="K365">
        <v>41.48</v>
      </c>
      <c r="L365">
        <v>42.63</v>
      </c>
    </row>
    <row r="366" spans="1:12">
      <c r="A366" s="136">
        <v>40046</v>
      </c>
      <c r="B366">
        <v>1913</v>
      </c>
      <c r="C366">
        <v>1872</v>
      </c>
      <c r="D366">
        <v>1958</v>
      </c>
      <c r="E366" s="136">
        <v>40046</v>
      </c>
      <c r="F366">
        <v>35.963999999999999</v>
      </c>
      <c r="G366">
        <v>35.770000000000003</v>
      </c>
      <c r="H366">
        <v>37.470999999999997</v>
      </c>
      <c r="I366" s="136">
        <v>40046</v>
      </c>
      <c r="J366">
        <v>42.86</v>
      </c>
      <c r="K366">
        <v>42.53</v>
      </c>
      <c r="L366">
        <v>43.81</v>
      </c>
    </row>
    <row r="367" spans="1:12">
      <c r="A367" s="136">
        <v>40047</v>
      </c>
      <c r="B367">
        <v>1913</v>
      </c>
      <c r="C367">
        <v>1872</v>
      </c>
      <c r="D367">
        <v>1958</v>
      </c>
      <c r="E367" s="136">
        <v>40047</v>
      </c>
      <c r="F367">
        <v>35.963999999999999</v>
      </c>
      <c r="G367">
        <v>35.770000000000003</v>
      </c>
      <c r="H367">
        <v>37.470999999999997</v>
      </c>
      <c r="I367" s="136">
        <v>40047</v>
      </c>
      <c r="J367">
        <v>42.86</v>
      </c>
      <c r="K367">
        <v>42.53</v>
      </c>
      <c r="L367">
        <v>43.81</v>
      </c>
    </row>
    <row r="368" spans="1:12">
      <c r="A368" s="136">
        <v>40048</v>
      </c>
      <c r="B368">
        <v>1913</v>
      </c>
      <c r="C368">
        <v>1872</v>
      </c>
      <c r="D368">
        <v>1958</v>
      </c>
      <c r="E368" s="136">
        <v>40048</v>
      </c>
      <c r="F368">
        <v>35.963999999999999</v>
      </c>
      <c r="G368">
        <v>35.770000000000003</v>
      </c>
      <c r="H368">
        <v>37.470999999999997</v>
      </c>
      <c r="I368" s="136">
        <v>40048</v>
      </c>
      <c r="J368">
        <v>42.86</v>
      </c>
      <c r="K368">
        <v>42.53</v>
      </c>
      <c r="L368">
        <v>43.81</v>
      </c>
    </row>
    <row r="369" spans="1:12">
      <c r="A369" s="136">
        <v>40049</v>
      </c>
      <c r="B369">
        <v>1940</v>
      </c>
      <c r="C369">
        <v>1890</v>
      </c>
      <c r="D369">
        <v>1965</v>
      </c>
      <c r="E369" s="136">
        <v>40049</v>
      </c>
      <c r="F369">
        <v>37.905999999999999</v>
      </c>
      <c r="G369">
        <v>37.502000000000002</v>
      </c>
      <c r="H369">
        <v>38.619999999999997</v>
      </c>
      <c r="I369" s="136">
        <v>40049</v>
      </c>
      <c r="J369">
        <v>43.86</v>
      </c>
      <c r="K369">
        <v>42.95</v>
      </c>
      <c r="L369">
        <v>44.24</v>
      </c>
    </row>
    <row r="370" spans="1:12">
      <c r="A370" s="136">
        <v>40050</v>
      </c>
      <c r="B370">
        <v>1915</v>
      </c>
      <c r="C370">
        <v>1886</v>
      </c>
      <c r="D370">
        <v>1929</v>
      </c>
      <c r="E370" s="136">
        <v>40050</v>
      </c>
      <c r="F370">
        <v>37.968000000000004</v>
      </c>
      <c r="G370">
        <v>37.442999999999998</v>
      </c>
      <c r="H370">
        <v>38.372</v>
      </c>
      <c r="I370" s="136">
        <v>40050</v>
      </c>
      <c r="J370">
        <v>43.39</v>
      </c>
      <c r="K370">
        <v>43.3</v>
      </c>
      <c r="L370">
        <v>44.14</v>
      </c>
    </row>
    <row r="371" spans="1:12">
      <c r="A371" s="136">
        <v>40051</v>
      </c>
      <c r="B371">
        <v>1895</v>
      </c>
      <c r="C371">
        <v>1854</v>
      </c>
      <c r="D371">
        <v>1933</v>
      </c>
      <c r="E371" s="136">
        <v>40051</v>
      </c>
      <c r="F371">
        <v>38.115000000000002</v>
      </c>
      <c r="G371">
        <v>37.594999999999999</v>
      </c>
      <c r="H371">
        <v>38.747999999999998</v>
      </c>
      <c r="I371" s="136">
        <v>40051</v>
      </c>
      <c r="J371">
        <v>43.39</v>
      </c>
      <c r="K371">
        <v>42.92</v>
      </c>
      <c r="L371">
        <v>43.78</v>
      </c>
    </row>
    <row r="372" spans="1:12">
      <c r="A372" s="136">
        <v>40052</v>
      </c>
      <c r="B372">
        <v>1868</v>
      </c>
      <c r="C372">
        <v>1840</v>
      </c>
      <c r="D372">
        <v>1890</v>
      </c>
      <c r="E372" s="136">
        <v>40052</v>
      </c>
      <c r="F372">
        <v>37.673000000000002</v>
      </c>
      <c r="G372">
        <v>36.597000000000001</v>
      </c>
      <c r="H372">
        <v>38.158000000000001</v>
      </c>
      <c r="I372" s="136">
        <v>40052</v>
      </c>
      <c r="J372">
        <v>43.05</v>
      </c>
      <c r="K372">
        <v>42.54</v>
      </c>
      <c r="L372">
        <v>43.63</v>
      </c>
    </row>
    <row r="373" spans="1:12">
      <c r="A373" s="136">
        <v>40053</v>
      </c>
      <c r="B373">
        <v>1901</v>
      </c>
      <c r="C373">
        <v>1883.25</v>
      </c>
      <c r="D373">
        <v>1927.5</v>
      </c>
      <c r="E373" s="136">
        <v>40053</v>
      </c>
      <c r="F373">
        <v>37.673000000000002</v>
      </c>
      <c r="G373">
        <v>37.207000000000001</v>
      </c>
      <c r="H373">
        <v>38.1</v>
      </c>
      <c r="I373" s="136">
        <v>40053</v>
      </c>
      <c r="J373">
        <v>43.81</v>
      </c>
      <c r="K373">
        <v>42.51</v>
      </c>
      <c r="L373">
        <v>43.86</v>
      </c>
    </row>
    <row r="374" spans="1:12">
      <c r="A374" s="136">
        <v>40054</v>
      </c>
      <c r="B374">
        <v>1901</v>
      </c>
      <c r="C374">
        <v>1883.25</v>
      </c>
      <c r="D374">
        <v>1927.5</v>
      </c>
      <c r="E374" s="136">
        <v>40054</v>
      </c>
      <c r="F374">
        <v>37.673000000000002</v>
      </c>
      <c r="G374">
        <v>37.207000000000001</v>
      </c>
      <c r="H374">
        <v>38.1</v>
      </c>
      <c r="I374" s="136">
        <v>40054</v>
      </c>
      <c r="J374">
        <v>43.81</v>
      </c>
      <c r="K374">
        <v>42.51</v>
      </c>
      <c r="L374">
        <v>43.86</v>
      </c>
    </row>
    <row r="375" spans="1:12">
      <c r="A375" s="136">
        <v>40055</v>
      </c>
      <c r="B375">
        <v>1901</v>
      </c>
      <c r="C375">
        <v>1883.25</v>
      </c>
      <c r="D375">
        <v>1927.5</v>
      </c>
      <c r="E375" s="136">
        <v>40055</v>
      </c>
      <c r="F375">
        <v>37.673000000000002</v>
      </c>
      <c r="G375">
        <v>37.207000000000001</v>
      </c>
      <c r="H375">
        <v>38.1</v>
      </c>
      <c r="I375" s="136">
        <v>40055</v>
      </c>
      <c r="J375">
        <v>43.81</v>
      </c>
      <c r="K375">
        <v>42.51</v>
      </c>
      <c r="L375">
        <v>43.86</v>
      </c>
    </row>
    <row r="376" spans="1:12">
      <c r="A376" s="136">
        <v>40056</v>
      </c>
      <c r="B376">
        <v>1901</v>
      </c>
      <c r="C376">
        <v>1883.25</v>
      </c>
      <c r="D376">
        <v>1927.5</v>
      </c>
      <c r="E376" s="136">
        <v>40056</v>
      </c>
      <c r="F376">
        <v>37.401000000000003</v>
      </c>
      <c r="G376">
        <v>36.274000000000001</v>
      </c>
      <c r="H376">
        <v>37.411999999999999</v>
      </c>
      <c r="I376" s="136">
        <v>40056</v>
      </c>
      <c r="J376">
        <v>42.44</v>
      </c>
      <c r="K376">
        <v>42.06</v>
      </c>
      <c r="L376">
        <v>43.6</v>
      </c>
    </row>
    <row r="377" spans="1:12">
      <c r="A377" s="136">
        <v>40057</v>
      </c>
      <c r="B377">
        <v>1878</v>
      </c>
      <c r="C377">
        <v>1842</v>
      </c>
      <c r="D377">
        <v>1893.25</v>
      </c>
      <c r="E377" s="136">
        <v>40057</v>
      </c>
      <c r="F377">
        <v>36.973999999999997</v>
      </c>
      <c r="G377">
        <v>35.186999999999998</v>
      </c>
      <c r="H377">
        <v>37.008000000000003</v>
      </c>
      <c r="I377" s="136">
        <v>40057</v>
      </c>
      <c r="J377">
        <v>43.08</v>
      </c>
      <c r="K377">
        <v>41.56</v>
      </c>
      <c r="L377">
        <v>43.82</v>
      </c>
    </row>
    <row r="378" spans="1:12">
      <c r="A378" s="136">
        <v>40058</v>
      </c>
      <c r="B378">
        <v>1848</v>
      </c>
      <c r="C378">
        <v>1821</v>
      </c>
      <c r="D378">
        <v>1866</v>
      </c>
      <c r="E378" s="136">
        <v>40058</v>
      </c>
      <c r="F378">
        <v>35.459000000000003</v>
      </c>
      <c r="G378">
        <v>35.125</v>
      </c>
      <c r="H378">
        <v>36.643000000000001</v>
      </c>
      <c r="I378" s="136">
        <v>40058</v>
      </c>
      <c r="J378">
        <v>41.51</v>
      </c>
      <c r="K378">
        <v>40.75</v>
      </c>
      <c r="L378">
        <v>42.11</v>
      </c>
    </row>
    <row r="379" spans="1:12">
      <c r="A379" s="136">
        <v>40059</v>
      </c>
      <c r="B379">
        <v>1855</v>
      </c>
      <c r="C379">
        <v>1828</v>
      </c>
      <c r="D379">
        <v>1872</v>
      </c>
      <c r="E379" s="136">
        <v>40059</v>
      </c>
      <c r="F379">
        <v>35.505000000000003</v>
      </c>
      <c r="G379">
        <v>35.505000000000003</v>
      </c>
      <c r="H379">
        <v>37.155999999999999</v>
      </c>
      <c r="I379" s="136">
        <v>40059</v>
      </c>
      <c r="J379">
        <v>41.23</v>
      </c>
      <c r="K379">
        <v>41.11</v>
      </c>
      <c r="L379">
        <v>42.25</v>
      </c>
    </row>
    <row r="380" spans="1:12">
      <c r="A380" s="136">
        <v>40060</v>
      </c>
      <c r="B380">
        <v>1865</v>
      </c>
      <c r="C380">
        <v>1835</v>
      </c>
      <c r="D380">
        <v>1878.75</v>
      </c>
      <c r="E380" s="136">
        <v>40060</v>
      </c>
      <c r="F380">
        <v>36.585000000000001</v>
      </c>
      <c r="G380">
        <v>36.506999999999998</v>
      </c>
      <c r="H380">
        <v>37.866999999999997</v>
      </c>
      <c r="I380" s="136">
        <v>40060</v>
      </c>
      <c r="J380">
        <v>42.33</v>
      </c>
      <c r="K380">
        <v>41.79</v>
      </c>
      <c r="L380">
        <v>42.49</v>
      </c>
    </row>
    <row r="381" spans="1:12">
      <c r="A381" s="136">
        <v>40061</v>
      </c>
      <c r="B381">
        <v>1865</v>
      </c>
      <c r="C381">
        <v>1835</v>
      </c>
      <c r="D381">
        <v>1878.75</v>
      </c>
      <c r="E381" s="136">
        <v>40061</v>
      </c>
      <c r="F381">
        <v>36.585000000000001</v>
      </c>
      <c r="G381">
        <v>36.506999999999998</v>
      </c>
      <c r="H381">
        <v>37.866999999999997</v>
      </c>
      <c r="I381" s="136">
        <v>40061</v>
      </c>
      <c r="J381">
        <v>42.33</v>
      </c>
      <c r="K381">
        <v>41.79</v>
      </c>
      <c r="L381">
        <v>42.49</v>
      </c>
    </row>
    <row r="382" spans="1:12">
      <c r="A382" s="136">
        <v>40062</v>
      </c>
      <c r="B382">
        <v>1865</v>
      </c>
      <c r="C382">
        <v>1835</v>
      </c>
      <c r="D382">
        <v>1878.75</v>
      </c>
      <c r="E382" s="136">
        <v>40062</v>
      </c>
      <c r="F382">
        <v>36.585000000000001</v>
      </c>
      <c r="G382">
        <v>36.506999999999998</v>
      </c>
      <c r="H382">
        <v>37.866999999999997</v>
      </c>
      <c r="I382" s="136">
        <v>40062</v>
      </c>
      <c r="J382">
        <v>42.33</v>
      </c>
      <c r="K382">
        <v>41.79</v>
      </c>
      <c r="L382">
        <v>42.49</v>
      </c>
    </row>
    <row r="383" spans="1:12">
      <c r="A383" s="136">
        <v>40063</v>
      </c>
      <c r="B383">
        <v>1851</v>
      </c>
      <c r="C383">
        <v>1841</v>
      </c>
      <c r="D383">
        <v>1870</v>
      </c>
      <c r="E383" s="136">
        <v>40063</v>
      </c>
      <c r="F383">
        <v>37.710999999999999</v>
      </c>
      <c r="G383">
        <v>37.634</v>
      </c>
      <c r="H383">
        <v>38.061</v>
      </c>
      <c r="I383" s="136">
        <v>40063</v>
      </c>
      <c r="J383">
        <v>42.33</v>
      </c>
      <c r="K383">
        <v>41.79</v>
      </c>
      <c r="L383">
        <v>42.49</v>
      </c>
    </row>
    <row r="384" spans="1:12">
      <c r="A384" s="136">
        <v>40064</v>
      </c>
      <c r="B384">
        <v>1870</v>
      </c>
      <c r="C384">
        <v>1855</v>
      </c>
      <c r="D384">
        <v>1935</v>
      </c>
      <c r="E384" s="136">
        <v>40064</v>
      </c>
      <c r="F384">
        <v>37.828000000000003</v>
      </c>
      <c r="G384">
        <v>37.268999999999998</v>
      </c>
      <c r="H384">
        <v>38.131</v>
      </c>
      <c r="I384" s="136">
        <v>40064</v>
      </c>
      <c r="J384">
        <v>42.79</v>
      </c>
      <c r="K384">
        <v>41.85</v>
      </c>
      <c r="L384">
        <v>43.04</v>
      </c>
    </row>
    <row r="385" spans="1:12">
      <c r="A385" s="136">
        <v>40065</v>
      </c>
      <c r="B385">
        <v>1895</v>
      </c>
      <c r="C385">
        <v>1873.25</v>
      </c>
      <c r="D385">
        <v>1915</v>
      </c>
      <c r="E385" s="136">
        <v>40065</v>
      </c>
      <c r="F385">
        <v>37.148000000000003</v>
      </c>
      <c r="G385">
        <v>37.148000000000003</v>
      </c>
      <c r="H385">
        <v>38.209000000000003</v>
      </c>
      <c r="I385" s="136">
        <v>40065</v>
      </c>
      <c r="J385">
        <v>42.6</v>
      </c>
      <c r="K385">
        <v>42.39</v>
      </c>
      <c r="L385">
        <v>43.07</v>
      </c>
    </row>
    <row r="386" spans="1:12">
      <c r="A386" s="136">
        <v>40066</v>
      </c>
      <c r="B386">
        <v>1888</v>
      </c>
      <c r="C386">
        <v>1836</v>
      </c>
      <c r="D386">
        <v>1906</v>
      </c>
      <c r="E386" s="136">
        <v>40066</v>
      </c>
      <c r="F386">
        <v>38.216000000000001</v>
      </c>
      <c r="G386">
        <v>38.1</v>
      </c>
      <c r="H386">
        <v>39.106000000000002</v>
      </c>
      <c r="I386" s="136">
        <v>40066</v>
      </c>
      <c r="J386">
        <v>42.73</v>
      </c>
      <c r="K386">
        <v>42.2</v>
      </c>
      <c r="L386">
        <v>43.15</v>
      </c>
    </row>
    <row r="387" spans="1:12">
      <c r="A387" s="136">
        <v>40067</v>
      </c>
      <c r="B387">
        <v>1860</v>
      </c>
      <c r="C387">
        <v>1841</v>
      </c>
      <c r="D387">
        <v>1875.5</v>
      </c>
      <c r="E387" s="136">
        <v>40067</v>
      </c>
      <c r="F387">
        <v>38.954000000000001</v>
      </c>
      <c r="G387">
        <v>38.395000000000003</v>
      </c>
      <c r="H387">
        <v>39.063000000000002</v>
      </c>
      <c r="I387" s="136">
        <v>40067</v>
      </c>
      <c r="J387">
        <v>43.13</v>
      </c>
      <c r="K387">
        <v>42.48</v>
      </c>
      <c r="L387">
        <v>43.39</v>
      </c>
    </row>
    <row r="388" spans="1:12">
      <c r="A388" s="136">
        <v>40068</v>
      </c>
      <c r="B388">
        <v>1860</v>
      </c>
      <c r="C388">
        <v>1841</v>
      </c>
      <c r="D388">
        <v>1875.5</v>
      </c>
      <c r="E388" s="136">
        <v>40068</v>
      </c>
      <c r="F388">
        <v>38.954000000000001</v>
      </c>
      <c r="G388">
        <v>38.395000000000003</v>
      </c>
      <c r="H388">
        <v>39.063000000000002</v>
      </c>
      <c r="I388" s="136">
        <v>40068</v>
      </c>
      <c r="J388">
        <v>43.13</v>
      </c>
      <c r="K388">
        <v>42.48</v>
      </c>
      <c r="L388">
        <v>43.39</v>
      </c>
    </row>
    <row r="389" spans="1:12">
      <c r="A389" s="136">
        <v>40069</v>
      </c>
      <c r="B389">
        <v>1860</v>
      </c>
      <c r="C389">
        <v>1841</v>
      </c>
      <c r="D389">
        <v>1875.5</v>
      </c>
      <c r="E389" s="136">
        <v>40069</v>
      </c>
      <c r="F389">
        <v>38.954000000000001</v>
      </c>
      <c r="G389">
        <v>38.395000000000003</v>
      </c>
      <c r="H389">
        <v>39.063000000000002</v>
      </c>
      <c r="I389" s="136">
        <v>40069</v>
      </c>
      <c r="J389">
        <v>43.13</v>
      </c>
      <c r="K389">
        <v>42.48</v>
      </c>
      <c r="L389">
        <v>43.39</v>
      </c>
    </row>
    <row r="390" spans="1:12">
      <c r="A390" s="136">
        <v>40070</v>
      </c>
      <c r="B390">
        <v>1842</v>
      </c>
      <c r="C390">
        <v>1801.85</v>
      </c>
      <c r="D390">
        <v>1845</v>
      </c>
      <c r="E390" s="136">
        <v>40070</v>
      </c>
      <c r="F390">
        <v>37.905999999999999</v>
      </c>
      <c r="G390">
        <v>37.478000000000002</v>
      </c>
      <c r="H390">
        <v>38.347999999999999</v>
      </c>
      <c r="I390" s="136">
        <v>40070</v>
      </c>
      <c r="J390">
        <v>42.08</v>
      </c>
      <c r="K390">
        <v>42.01</v>
      </c>
      <c r="L390">
        <v>43.85</v>
      </c>
    </row>
    <row r="391" spans="1:12">
      <c r="A391" s="136">
        <v>40071</v>
      </c>
      <c r="B391">
        <v>1838</v>
      </c>
      <c r="C391">
        <v>1830</v>
      </c>
      <c r="D391">
        <v>1869</v>
      </c>
      <c r="E391" s="136">
        <v>40071</v>
      </c>
      <c r="F391">
        <v>38.271000000000001</v>
      </c>
      <c r="G391">
        <v>38.255000000000003</v>
      </c>
      <c r="H391">
        <v>38.914999999999999</v>
      </c>
      <c r="I391" s="136">
        <v>40071</v>
      </c>
      <c r="J391">
        <v>43.61</v>
      </c>
      <c r="K391">
        <v>42.55</v>
      </c>
      <c r="L391">
        <v>44.195</v>
      </c>
    </row>
    <row r="392" spans="1:12">
      <c r="A392" s="136">
        <v>40072</v>
      </c>
      <c r="B392">
        <v>1865</v>
      </c>
      <c r="C392">
        <v>1860.25</v>
      </c>
      <c r="D392">
        <v>1942.75</v>
      </c>
      <c r="E392" s="136">
        <v>40072</v>
      </c>
      <c r="F392">
        <v>38.720999999999997</v>
      </c>
      <c r="G392">
        <v>38.604999999999997</v>
      </c>
      <c r="H392">
        <v>40.314</v>
      </c>
      <c r="I392" s="136">
        <v>40072</v>
      </c>
      <c r="J392">
        <v>43.35</v>
      </c>
      <c r="K392">
        <v>43.21</v>
      </c>
      <c r="L392">
        <v>44.68</v>
      </c>
    </row>
    <row r="393" spans="1:12">
      <c r="A393" s="136">
        <v>40073</v>
      </c>
      <c r="B393">
        <v>1932</v>
      </c>
      <c r="C393">
        <v>1929.75</v>
      </c>
      <c r="D393">
        <v>1978</v>
      </c>
      <c r="E393" s="136">
        <v>40073</v>
      </c>
      <c r="F393">
        <v>40.298000000000002</v>
      </c>
      <c r="G393">
        <v>40.197000000000003</v>
      </c>
      <c r="H393">
        <v>41.726999999999997</v>
      </c>
      <c r="I393" s="136">
        <v>40073</v>
      </c>
      <c r="J393">
        <v>44.29</v>
      </c>
      <c r="K393">
        <v>44.2</v>
      </c>
      <c r="L393">
        <v>45.11</v>
      </c>
    </row>
    <row r="394" spans="1:12">
      <c r="A394" s="136">
        <v>40074</v>
      </c>
      <c r="B394">
        <v>1955</v>
      </c>
      <c r="C394">
        <v>1906</v>
      </c>
      <c r="D394">
        <v>1965</v>
      </c>
      <c r="E394" s="136">
        <v>40074</v>
      </c>
      <c r="F394">
        <v>40.856999999999999</v>
      </c>
      <c r="G394">
        <v>40.235999999999997</v>
      </c>
      <c r="H394">
        <v>41.283999999999999</v>
      </c>
      <c r="I394" s="136">
        <v>40074</v>
      </c>
      <c r="J394">
        <v>45.24</v>
      </c>
      <c r="K394">
        <v>44.7</v>
      </c>
      <c r="L394">
        <v>45.34</v>
      </c>
    </row>
    <row r="395" spans="1:12">
      <c r="A395" s="136">
        <v>40075</v>
      </c>
      <c r="B395">
        <v>1955</v>
      </c>
      <c r="C395">
        <v>1906</v>
      </c>
      <c r="D395">
        <v>1965</v>
      </c>
      <c r="E395" s="136">
        <v>40075</v>
      </c>
      <c r="F395">
        <v>40.856999999999999</v>
      </c>
      <c r="G395">
        <v>40.235999999999997</v>
      </c>
      <c r="H395">
        <v>41.283999999999999</v>
      </c>
      <c r="I395" s="136">
        <v>40075</v>
      </c>
      <c r="J395">
        <v>45.24</v>
      </c>
      <c r="K395">
        <v>44.7</v>
      </c>
      <c r="L395">
        <v>45.34</v>
      </c>
    </row>
    <row r="396" spans="1:12">
      <c r="A396" s="136">
        <v>40076</v>
      </c>
      <c r="B396">
        <v>1955</v>
      </c>
      <c r="C396">
        <v>1906</v>
      </c>
      <c r="D396">
        <v>1965</v>
      </c>
      <c r="E396" s="136">
        <v>40076</v>
      </c>
      <c r="F396">
        <v>40.856999999999999</v>
      </c>
      <c r="G396">
        <v>40.235999999999997</v>
      </c>
      <c r="H396">
        <v>41.283999999999999</v>
      </c>
      <c r="I396" s="136">
        <v>40076</v>
      </c>
      <c r="J396">
        <v>45.24</v>
      </c>
      <c r="K396">
        <v>44.7</v>
      </c>
      <c r="L396">
        <v>45.34</v>
      </c>
    </row>
    <row r="397" spans="1:12">
      <c r="A397" s="136">
        <v>40077</v>
      </c>
      <c r="B397">
        <v>1915</v>
      </c>
      <c r="C397">
        <v>1860</v>
      </c>
      <c r="D397">
        <v>1925</v>
      </c>
      <c r="E397" s="136">
        <v>40077</v>
      </c>
      <c r="F397">
        <v>40.235999999999997</v>
      </c>
      <c r="G397">
        <v>39.548000000000002</v>
      </c>
      <c r="H397">
        <v>40.546999999999997</v>
      </c>
      <c r="I397" s="136">
        <v>40077</v>
      </c>
      <c r="J397">
        <v>44.54</v>
      </c>
      <c r="K397">
        <v>44.22</v>
      </c>
      <c r="L397">
        <v>44.8</v>
      </c>
    </row>
    <row r="398" spans="1:12">
      <c r="A398" s="136">
        <v>40078</v>
      </c>
      <c r="B398">
        <v>1880</v>
      </c>
      <c r="C398">
        <v>1870.25</v>
      </c>
      <c r="D398">
        <v>1913</v>
      </c>
      <c r="E398" s="136">
        <v>40078</v>
      </c>
      <c r="F398">
        <v>40.003</v>
      </c>
      <c r="G398">
        <v>39.994999999999997</v>
      </c>
      <c r="H398">
        <v>40.71</v>
      </c>
      <c r="I398" s="136">
        <v>40078</v>
      </c>
      <c r="J398">
        <v>44.81</v>
      </c>
      <c r="K398">
        <v>44.48</v>
      </c>
      <c r="L398">
        <v>46.49</v>
      </c>
    </row>
    <row r="399" spans="1:12">
      <c r="A399" s="136">
        <v>40079</v>
      </c>
      <c r="B399">
        <v>1900</v>
      </c>
      <c r="C399">
        <v>1864</v>
      </c>
      <c r="D399">
        <v>1905</v>
      </c>
      <c r="E399" s="136">
        <v>40079</v>
      </c>
      <c r="F399">
        <v>40.57</v>
      </c>
      <c r="G399">
        <v>40.530999999999999</v>
      </c>
      <c r="H399">
        <v>41.774000000000001</v>
      </c>
      <c r="I399" s="136">
        <v>40079</v>
      </c>
      <c r="J399">
        <v>46.4</v>
      </c>
      <c r="K399">
        <v>44.98</v>
      </c>
      <c r="L399">
        <v>46.5</v>
      </c>
    </row>
    <row r="400" spans="1:12">
      <c r="A400" s="136">
        <v>40080</v>
      </c>
      <c r="B400">
        <v>1867</v>
      </c>
      <c r="C400">
        <v>1825</v>
      </c>
      <c r="D400">
        <v>1877</v>
      </c>
      <c r="E400" s="136">
        <v>40080</v>
      </c>
      <c r="F400">
        <v>41.051000000000002</v>
      </c>
      <c r="G400">
        <v>39.715000000000003</v>
      </c>
      <c r="H400">
        <v>41.668999999999997</v>
      </c>
      <c r="I400" s="136">
        <v>40080</v>
      </c>
      <c r="J400">
        <v>45.21</v>
      </c>
      <c r="K400">
        <v>44.26</v>
      </c>
      <c r="L400">
        <v>45.8</v>
      </c>
    </row>
    <row r="401" spans="1:12">
      <c r="A401" s="136">
        <v>40081</v>
      </c>
      <c r="B401">
        <v>1832</v>
      </c>
      <c r="C401">
        <v>1802</v>
      </c>
      <c r="D401">
        <v>1842</v>
      </c>
      <c r="E401" s="136">
        <v>40081</v>
      </c>
      <c r="F401">
        <v>39.770000000000003</v>
      </c>
      <c r="G401">
        <v>39.070999999999998</v>
      </c>
      <c r="H401">
        <v>40.314</v>
      </c>
      <c r="I401" s="136">
        <v>40081</v>
      </c>
      <c r="J401">
        <v>44.15</v>
      </c>
      <c r="K401">
        <v>43.34</v>
      </c>
      <c r="L401">
        <v>44.28</v>
      </c>
    </row>
    <row r="402" spans="1:12">
      <c r="A402" s="136">
        <v>40082</v>
      </c>
      <c r="B402">
        <v>1832</v>
      </c>
      <c r="C402">
        <v>1802</v>
      </c>
      <c r="D402">
        <v>1842</v>
      </c>
      <c r="E402" s="136">
        <v>40082</v>
      </c>
      <c r="F402">
        <v>39.770000000000003</v>
      </c>
      <c r="G402">
        <v>39.070999999999998</v>
      </c>
      <c r="H402">
        <v>40.314</v>
      </c>
      <c r="I402" s="136">
        <v>40082</v>
      </c>
      <c r="J402">
        <v>44.15</v>
      </c>
      <c r="K402">
        <v>43.34</v>
      </c>
      <c r="L402">
        <v>44.28</v>
      </c>
    </row>
    <row r="403" spans="1:12">
      <c r="A403" s="136">
        <v>40083</v>
      </c>
      <c r="B403">
        <v>1832</v>
      </c>
      <c r="C403">
        <v>1802</v>
      </c>
      <c r="D403">
        <v>1842</v>
      </c>
      <c r="E403" s="136">
        <v>40083</v>
      </c>
      <c r="F403">
        <v>39.770000000000003</v>
      </c>
      <c r="G403">
        <v>39.070999999999998</v>
      </c>
      <c r="H403">
        <v>40.314</v>
      </c>
      <c r="I403" s="136">
        <v>40083</v>
      </c>
      <c r="J403">
        <v>44.15</v>
      </c>
      <c r="K403">
        <v>43.34</v>
      </c>
      <c r="L403">
        <v>44.28</v>
      </c>
    </row>
    <row r="404" spans="1:12">
      <c r="A404" s="136">
        <v>40084</v>
      </c>
      <c r="B404">
        <v>1825</v>
      </c>
      <c r="C404">
        <v>1778</v>
      </c>
      <c r="D404">
        <v>1835</v>
      </c>
      <c r="E404" s="136">
        <v>40084</v>
      </c>
      <c r="F404">
        <v>41.246000000000002</v>
      </c>
      <c r="G404">
        <v>39.362000000000002</v>
      </c>
      <c r="H404">
        <v>41.331000000000003</v>
      </c>
      <c r="I404" s="136">
        <v>40084</v>
      </c>
      <c r="J404">
        <v>43.97</v>
      </c>
      <c r="K404">
        <v>43.69</v>
      </c>
      <c r="L404">
        <v>44.83</v>
      </c>
    </row>
    <row r="405" spans="1:12">
      <c r="A405" s="136">
        <v>40085</v>
      </c>
      <c r="B405">
        <v>1830</v>
      </c>
      <c r="C405">
        <v>1804</v>
      </c>
      <c r="D405">
        <v>1859</v>
      </c>
      <c r="E405" s="136">
        <v>40085</v>
      </c>
      <c r="F405">
        <v>41.183999999999997</v>
      </c>
      <c r="G405">
        <v>40.795000000000002</v>
      </c>
      <c r="H405">
        <v>41.898000000000003</v>
      </c>
      <c r="I405" s="136">
        <v>40085</v>
      </c>
      <c r="J405">
        <v>44.89</v>
      </c>
      <c r="K405">
        <v>44.43</v>
      </c>
      <c r="L405">
        <v>45.2</v>
      </c>
    </row>
    <row r="406" spans="1:12">
      <c r="A406" s="136">
        <v>40086</v>
      </c>
      <c r="B406">
        <v>1853</v>
      </c>
      <c r="C406">
        <v>1852</v>
      </c>
      <c r="D406">
        <v>1898.5</v>
      </c>
      <c r="E406" s="136">
        <v>40086</v>
      </c>
      <c r="F406">
        <v>41.680999999999997</v>
      </c>
      <c r="G406">
        <v>39.96</v>
      </c>
      <c r="H406">
        <v>41.898000000000003</v>
      </c>
      <c r="I406" s="136">
        <v>40086</v>
      </c>
      <c r="J406">
        <v>44.8</v>
      </c>
      <c r="K406">
        <v>43.43</v>
      </c>
      <c r="L406">
        <v>44.89</v>
      </c>
    </row>
    <row r="407" spans="1:12">
      <c r="A407" s="136">
        <v>40087</v>
      </c>
      <c r="B407">
        <v>1885</v>
      </c>
      <c r="C407">
        <v>1857</v>
      </c>
      <c r="D407">
        <v>1910</v>
      </c>
      <c r="E407" s="136">
        <v>40087</v>
      </c>
      <c r="F407">
        <v>41.207000000000001</v>
      </c>
      <c r="G407">
        <v>39.304000000000002</v>
      </c>
      <c r="H407">
        <v>41.719000000000001</v>
      </c>
      <c r="I407" s="136">
        <v>40087</v>
      </c>
      <c r="J407">
        <v>43.4</v>
      </c>
      <c r="K407">
        <v>41.36</v>
      </c>
      <c r="L407">
        <v>43.56</v>
      </c>
    </row>
    <row r="408" spans="1:12">
      <c r="A408" s="136">
        <v>40088</v>
      </c>
      <c r="B408">
        <v>1857</v>
      </c>
      <c r="C408">
        <v>1802</v>
      </c>
      <c r="D408">
        <v>1857</v>
      </c>
      <c r="E408" s="136">
        <v>40088</v>
      </c>
      <c r="F408">
        <v>38.838000000000001</v>
      </c>
      <c r="G408">
        <v>37.796999999999997</v>
      </c>
      <c r="H408">
        <v>39.128999999999998</v>
      </c>
      <c r="I408" s="136">
        <v>40088</v>
      </c>
      <c r="J408">
        <v>40.82</v>
      </c>
      <c r="K408">
        <v>40.53</v>
      </c>
      <c r="L408">
        <v>42.4</v>
      </c>
    </row>
    <row r="409" spans="1:12">
      <c r="A409" s="136">
        <v>40089</v>
      </c>
      <c r="B409">
        <v>1857</v>
      </c>
      <c r="C409">
        <v>1802</v>
      </c>
      <c r="D409">
        <v>1857</v>
      </c>
      <c r="E409" s="136">
        <v>40089</v>
      </c>
      <c r="F409">
        <v>38.838000000000001</v>
      </c>
      <c r="G409">
        <v>37.796999999999997</v>
      </c>
      <c r="H409">
        <v>39.128999999999998</v>
      </c>
      <c r="I409" s="136">
        <v>40089</v>
      </c>
      <c r="J409">
        <v>40.82</v>
      </c>
      <c r="K409">
        <v>40.53</v>
      </c>
      <c r="L409">
        <v>42.4</v>
      </c>
    </row>
    <row r="410" spans="1:12">
      <c r="A410" s="136">
        <v>40090</v>
      </c>
      <c r="B410">
        <v>1857</v>
      </c>
      <c r="C410">
        <v>1802</v>
      </c>
      <c r="D410">
        <v>1857</v>
      </c>
      <c r="E410" s="136">
        <v>40090</v>
      </c>
      <c r="F410">
        <v>38.838000000000001</v>
      </c>
      <c r="G410">
        <v>37.796999999999997</v>
      </c>
      <c r="H410">
        <v>39.128999999999998</v>
      </c>
      <c r="I410" s="136">
        <v>40090</v>
      </c>
      <c r="J410">
        <v>40.82</v>
      </c>
      <c r="K410">
        <v>40.53</v>
      </c>
      <c r="L410">
        <v>42.4</v>
      </c>
    </row>
    <row r="411" spans="1:12">
      <c r="A411" s="136">
        <v>40091</v>
      </c>
      <c r="B411">
        <v>1810</v>
      </c>
      <c r="C411">
        <v>1776</v>
      </c>
      <c r="D411">
        <v>1820.5</v>
      </c>
      <c r="E411" s="136">
        <v>40091</v>
      </c>
      <c r="F411">
        <v>39.11</v>
      </c>
      <c r="G411">
        <v>38.448999999999998</v>
      </c>
      <c r="H411">
        <v>39.502000000000002</v>
      </c>
      <c r="I411" s="136">
        <v>40091</v>
      </c>
      <c r="J411">
        <v>42.48</v>
      </c>
      <c r="K411">
        <v>42.35</v>
      </c>
      <c r="L411">
        <v>43.93</v>
      </c>
    </row>
    <row r="412" spans="1:12">
      <c r="A412" s="136">
        <v>40092</v>
      </c>
      <c r="B412">
        <v>1810</v>
      </c>
      <c r="C412">
        <v>1808</v>
      </c>
      <c r="D412">
        <v>1845</v>
      </c>
      <c r="E412" s="136">
        <v>40092</v>
      </c>
      <c r="F412">
        <v>39.765999999999998</v>
      </c>
      <c r="G412">
        <v>39.613999999999997</v>
      </c>
      <c r="H412">
        <v>41.051000000000002</v>
      </c>
      <c r="I412" s="136">
        <v>40092</v>
      </c>
      <c r="J412">
        <v>44.36</v>
      </c>
      <c r="K412">
        <v>44.07</v>
      </c>
      <c r="L412">
        <v>45</v>
      </c>
    </row>
    <row r="413" spans="1:12">
      <c r="A413" s="136">
        <v>40093</v>
      </c>
      <c r="B413">
        <v>1815</v>
      </c>
      <c r="C413">
        <v>1813</v>
      </c>
      <c r="D413">
        <v>1871.5</v>
      </c>
      <c r="E413" s="136">
        <v>40093</v>
      </c>
      <c r="F413">
        <v>40.856999999999999</v>
      </c>
      <c r="G413">
        <v>40.320999999999998</v>
      </c>
      <c r="H413">
        <v>41.287999999999997</v>
      </c>
      <c r="I413" s="136">
        <v>40093</v>
      </c>
      <c r="J413">
        <v>44.6</v>
      </c>
      <c r="K413">
        <v>44.46</v>
      </c>
      <c r="L413">
        <v>45.82</v>
      </c>
    </row>
    <row r="414" spans="1:12">
      <c r="A414" s="136">
        <v>40094</v>
      </c>
      <c r="B414">
        <v>1848</v>
      </c>
      <c r="C414">
        <v>1845</v>
      </c>
      <c r="D414">
        <v>1925</v>
      </c>
      <c r="E414" s="136">
        <v>40094</v>
      </c>
      <c r="F414">
        <v>41.470999999999997</v>
      </c>
      <c r="G414">
        <v>40.942999999999998</v>
      </c>
      <c r="H414">
        <v>41.695999999999998</v>
      </c>
      <c r="I414" s="136">
        <v>40094</v>
      </c>
      <c r="J414">
        <v>46.04</v>
      </c>
      <c r="K414">
        <v>45.05</v>
      </c>
      <c r="L414">
        <v>46.44</v>
      </c>
    </row>
    <row r="415" spans="1:12">
      <c r="A415" s="136">
        <v>40095</v>
      </c>
      <c r="B415">
        <v>1915</v>
      </c>
      <c r="C415">
        <v>1884</v>
      </c>
      <c r="D415">
        <v>1917.75</v>
      </c>
      <c r="E415" s="136">
        <v>40095</v>
      </c>
      <c r="F415">
        <v>41.323</v>
      </c>
      <c r="G415">
        <v>41.167999999999999</v>
      </c>
      <c r="H415">
        <v>41.823999999999998</v>
      </c>
      <c r="I415" s="136">
        <v>40095</v>
      </c>
      <c r="J415">
        <v>45.46</v>
      </c>
      <c r="K415">
        <v>45.08</v>
      </c>
      <c r="L415">
        <v>45.94</v>
      </c>
    </row>
    <row r="416" spans="1:12">
      <c r="A416" s="136">
        <v>40096</v>
      </c>
      <c r="B416">
        <v>1915</v>
      </c>
      <c r="C416">
        <v>1884</v>
      </c>
      <c r="D416">
        <v>1917.75</v>
      </c>
      <c r="E416" s="136">
        <v>40096</v>
      </c>
      <c r="F416">
        <v>41.323</v>
      </c>
      <c r="G416">
        <v>41.167999999999999</v>
      </c>
      <c r="H416">
        <v>41.823999999999998</v>
      </c>
      <c r="I416" s="136">
        <v>40096</v>
      </c>
      <c r="J416">
        <v>45.46</v>
      </c>
      <c r="K416">
        <v>45.08</v>
      </c>
      <c r="L416">
        <v>45.94</v>
      </c>
    </row>
    <row r="417" spans="1:12">
      <c r="A417" s="136">
        <v>40097</v>
      </c>
      <c r="B417">
        <v>1915</v>
      </c>
      <c r="C417">
        <v>1884</v>
      </c>
      <c r="D417">
        <v>1917.75</v>
      </c>
      <c r="E417" s="136">
        <v>40097</v>
      </c>
      <c r="F417">
        <v>41.323</v>
      </c>
      <c r="G417">
        <v>41.167999999999999</v>
      </c>
      <c r="H417">
        <v>41.823999999999998</v>
      </c>
      <c r="I417" s="136">
        <v>40097</v>
      </c>
      <c r="J417">
        <v>45.46</v>
      </c>
      <c r="K417">
        <v>45.08</v>
      </c>
      <c r="L417">
        <v>45.94</v>
      </c>
    </row>
    <row r="418" spans="1:12">
      <c r="A418" s="136">
        <v>40098</v>
      </c>
      <c r="B418">
        <v>1895</v>
      </c>
      <c r="C418">
        <v>1893</v>
      </c>
      <c r="D418">
        <v>1958</v>
      </c>
      <c r="E418" s="136">
        <v>40098</v>
      </c>
      <c r="F418">
        <v>41.945</v>
      </c>
      <c r="G418">
        <v>41.536999999999999</v>
      </c>
      <c r="H418">
        <v>42.542999999999999</v>
      </c>
      <c r="I418" s="136">
        <v>40098</v>
      </c>
      <c r="J418">
        <v>46.37</v>
      </c>
      <c r="K418">
        <v>45.35</v>
      </c>
      <c r="L418">
        <v>46.42</v>
      </c>
    </row>
    <row r="419" spans="1:12">
      <c r="A419" s="136">
        <v>40099</v>
      </c>
      <c r="B419">
        <v>1937</v>
      </c>
      <c r="C419">
        <v>1865</v>
      </c>
      <c r="D419">
        <v>1964.5</v>
      </c>
      <c r="E419" s="136">
        <v>40099</v>
      </c>
      <c r="F419">
        <v>41.945</v>
      </c>
      <c r="G419">
        <v>41.548999999999999</v>
      </c>
      <c r="H419">
        <v>42.286000000000001</v>
      </c>
      <c r="I419" s="136">
        <v>40099</v>
      </c>
      <c r="J419">
        <v>45.65</v>
      </c>
      <c r="K419">
        <v>44.53</v>
      </c>
      <c r="L419">
        <v>46.03</v>
      </c>
    </row>
    <row r="420" spans="1:12">
      <c r="A420" s="136">
        <v>40100</v>
      </c>
      <c r="B420">
        <v>1910</v>
      </c>
      <c r="C420">
        <v>1885</v>
      </c>
      <c r="D420">
        <v>1935.5</v>
      </c>
      <c r="E420" s="136">
        <v>40100</v>
      </c>
      <c r="F420">
        <v>42.332999999999998</v>
      </c>
      <c r="G420">
        <v>42.189</v>
      </c>
      <c r="H420">
        <v>43.677</v>
      </c>
      <c r="I420" s="136">
        <v>40100</v>
      </c>
      <c r="J420">
        <v>47.19</v>
      </c>
      <c r="K420">
        <v>46.63</v>
      </c>
      <c r="L420">
        <v>47.47</v>
      </c>
    </row>
    <row r="421" spans="1:12">
      <c r="A421" s="136">
        <v>40101</v>
      </c>
      <c r="B421">
        <v>1918</v>
      </c>
      <c r="C421">
        <v>1869.5</v>
      </c>
      <c r="D421">
        <v>1925</v>
      </c>
      <c r="E421" s="136">
        <v>40101</v>
      </c>
      <c r="F421">
        <v>43.654000000000003</v>
      </c>
      <c r="G421">
        <v>42.877000000000002</v>
      </c>
      <c r="H421">
        <v>45.277000000000001</v>
      </c>
      <c r="I421" s="136">
        <v>40101</v>
      </c>
      <c r="J421">
        <v>46.36</v>
      </c>
      <c r="K421">
        <v>46.36</v>
      </c>
      <c r="L421">
        <v>47.32</v>
      </c>
    </row>
    <row r="422" spans="1:12">
      <c r="A422" s="136">
        <v>40102</v>
      </c>
      <c r="B422">
        <v>1920</v>
      </c>
      <c r="C422">
        <v>1889.75</v>
      </c>
      <c r="D422">
        <v>1925.75</v>
      </c>
      <c r="E422" s="136">
        <v>40102</v>
      </c>
      <c r="F422">
        <v>44.274999999999999</v>
      </c>
      <c r="G422">
        <v>42.286000000000001</v>
      </c>
      <c r="H422">
        <v>44.43</v>
      </c>
      <c r="I422" s="136">
        <v>40102</v>
      </c>
      <c r="J422">
        <v>46.7</v>
      </c>
      <c r="K422">
        <v>46</v>
      </c>
      <c r="L422">
        <v>46.88</v>
      </c>
    </row>
    <row r="423" spans="1:12">
      <c r="A423" s="136">
        <v>40103</v>
      </c>
      <c r="B423">
        <v>1920</v>
      </c>
      <c r="C423">
        <v>1889.75</v>
      </c>
      <c r="D423">
        <v>1925.75</v>
      </c>
      <c r="E423" s="136">
        <v>40103</v>
      </c>
      <c r="F423">
        <v>44.274999999999999</v>
      </c>
      <c r="G423">
        <v>42.286000000000001</v>
      </c>
      <c r="H423">
        <v>44.43</v>
      </c>
      <c r="I423" s="136">
        <v>40103</v>
      </c>
      <c r="J423">
        <v>46.7</v>
      </c>
      <c r="K423">
        <v>46</v>
      </c>
      <c r="L423">
        <v>46.88</v>
      </c>
    </row>
    <row r="424" spans="1:12">
      <c r="A424" s="136">
        <v>40104</v>
      </c>
      <c r="B424">
        <v>1920</v>
      </c>
      <c r="C424">
        <v>1889.75</v>
      </c>
      <c r="D424">
        <v>1925.75</v>
      </c>
      <c r="E424" s="136">
        <v>40104</v>
      </c>
      <c r="F424">
        <v>44.274999999999999</v>
      </c>
      <c r="G424">
        <v>42.286000000000001</v>
      </c>
      <c r="H424">
        <v>44.43</v>
      </c>
      <c r="I424" s="136">
        <v>40104</v>
      </c>
      <c r="J424">
        <v>46.7</v>
      </c>
      <c r="K424">
        <v>46</v>
      </c>
      <c r="L424">
        <v>46.88</v>
      </c>
    </row>
    <row r="425" spans="1:12">
      <c r="A425" s="136">
        <v>40105</v>
      </c>
      <c r="B425">
        <v>1899</v>
      </c>
      <c r="C425">
        <v>1895</v>
      </c>
      <c r="D425">
        <v>1962</v>
      </c>
      <c r="E425" s="136">
        <v>40105</v>
      </c>
      <c r="F425">
        <v>42.798999999999999</v>
      </c>
      <c r="G425">
        <v>42.69</v>
      </c>
      <c r="H425">
        <v>43.924999999999997</v>
      </c>
      <c r="I425" s="136">
        <v>40105</v>
      </c>
      <c r="J425">
        <v>46.42</v>
      </c>
      <c r="K425">
        <v>45.45</v>
      </c>
      <c r="L425">
        <v>46.43</v>
      </c>
    </row>
    <row r="426" spans="1:12">
      <c r="A426" s="136">
        <v>40106</v>
      </c>
      <c r="B426">
        <v>1956</v>
      </c>
      <c r="C426">
        <v>1907</v>
      </c>
      <c r="D426">
        <v>1970</v>
      </c>
      <c r="E426" s="136">
        <v>40106</v>
      </c>
      <c r="F426">
        <v>43.808999999999997</v>
      </c>
      <c r="G426">
        <v>42.643999999999998</v>
      </c>
      <c r="H426">
        <v>43.808999999999997</v>
      </c>
      <c r="I426" s="136">
        <v>40106</v>
      </c>
      <c r="J426">
        <v>45.81</v>
      </c>
      <c r="K426">
        <v>45.77</v>
      </c>
      <c r="L426">
        <v>46.59</v>
      </c>
    </row>
    <row r="427" spans="1:12">
      <c r="A427" s="136">
        <v>40107</v>
      </c>
      <c r="B427">
        <v>1918</v>
      </c>
      <c r="C427">
        <v>1897</v>
      </c>
      <c r="D427">
        <v>1982</v>
      </c>
      <c r="E427" s="136">
        <v>40107</v>
      </c>
      <c r="F427">
        <v>42.838000000000001</v>
      </c>
      <c r="G427">
        <v>40.826000000000001</v>
      </c>
      <c r="H427">
        <v>43.598999999999997</v>
      </c>
      <c r="I427" s="136">
        <v>40107</v>
      </c>
      <c r="J427">
        <v>46.02</v>
      </c>
      <c r="K427">
        <v>44.65</v>
      </c>
      <c r="L427">
        <v>46.42</v>
      </c>
    </row>
    <row r="428" spans="1:12">
      <c r="A428" s="136">
        <v>40108</v>
      </c>
      <c r="B428">
        <v>1966</v>
      </c>
      <c r="C428">
        <v>1954.25</v>
      </c>
      <c r="D428">
        <v>1999.75</v>
      </c>
      <c r="E428" s="136">
        <v>40108</v>
      </c>
      <c r="F428">
        <v>41.323</v>
      </c>
      <c r="G428">
        <v>40.515999999999998</v>
      </c>
      <c r="H428">
        <v>41.401000000000003</v>
      </c>
      <c r="I428" s="136">
        <v>40108</v>
      </c>
      <c r="J428">
        <v>44.92</v>
      </c>
      <c r="K428">
        <v>44.83</v>
      </c>
      <c r="L428">
        <v>45.87</v>
      </c>
    </row>
    <row r="429" spans="1:12">
      <c r="A429" s="136">
        <v>40109</v>
      </c>
      <c r="B429">
        <v>1965</v>
      </c>
      <c r="C429">
        <v>1956</v>
      </c>
      <c r="D429">
        <v>2000</v>
      </c>
      <c r="E429" s="136">
        <v>40109</v>
      </c>
      <c r="F429">
        <v>41.905999999999999</v>
      </c>
      <c r="G429">
        <v>40.896000000000001</v>
      </c>
      <c r="H429">
        <v>42.021999999999998</v>
      </c>
      <c r="I429" s="136">
        <v>40109</v>
      </c>
      <c r="J429">
        <v>45.7</v>
      </c>
      <c r="K429">
        <v>44.96</v>
      </c>
      <c r="L429">
        <v>46.195</v>
      </c>
    </row>
    <row r="430" spans="1:12">
      <c r="A430" s="136">
        <v>40110</v>
      </c>
      <c r="B430">
        <v>1965</v>
      </c>
      <c r="C430">
        <v>1956</v>
      </c>
      <c r="D430">
        <v>2000</v>
      </c>
      <c r="E430" s="136">
        <v>40110</v>
      </c>
      <c r="F430">
        <v>41.905999999999999</v>
      </c>
      <c r="G430">
        <v>40.896000000000001</v>
      </c>
      <c r="H430">
        <v>42.021999999999998</v>
      </c>
      <c r="I430" s="136">
        <v>40110</v>
      </c>
      <c r="J430">
        <v>45.7</v>
      </c>
      <c r="K430">
        <v>44.96</v>
      </c>
      <c r="L430">
        <v>46.195</v>
      </c>
    </row>
    <row r="431" spans="1:12">
      <c r="A431" s="136">
        <v>40111</v>
      </c>
      <c r="B431">
        <v>1965</v>
      </c>
      <c r="C431">
        <v>1956</v>
      </c>
      <c r="D431">
        <v>2000</v>
      </c>
      <c r="E431" s="136">
        <v>40111</v>
      </c>
      <c r="F431">
        <v>41.905999999999999</v>
      </c>
      <c r="G431">
        <v>40.896000000000001</v>
      </c>
      <c r="H431">
        <v>42.021999999999998</v>
      </c>
      <c r="I431" s="136">
        <v>40111</v>
      </c>
      <c r="J431">
        <v>45.7</v>
      </c>
      <c r="K431">
        <v>44.96</v>
      </c>
      <c r="L431">
        <v>46.195</v>
      </c>
    </row>
    <row r="432" spans="1:12">
      <c r="A432" s="136">
        <v>40112</v>
      </c>
      <c r="B432">
        <v>1972.5</v>
      </c>
      <c r="C432">
        <v>1970</v>
      </c>
      <c r="D432">
        <v>2028</v>
      </c>
      <c r="E432" s="136">
        <v>40112</v>
      </c>
      <c r="F432">
        <v>41.012999999999998</v>
      </c>
      <c r="G432">
        <v>38.896000000000001</v>
      </c>
      <c r="H432">
        <v>41.673000000000002</v>
      </c>
      <c r="I432" s="136">
        <v>40112</v>
      </c>
      <c r="J432">
        <v>45.12</v>
      </c>
      <c r="K432">
        <v>43.55</v>
      </c>
      <c r="L432">
        <v>45.21</v>
      </c>
    </row>
    <row r="433" spans="1:12">
      <c r="A433" s="136">
        <v>40113</v>
      </c>
      <c r="B433">
        <v>1985</v>
      </c>
      <c r="C433">
        <v>1974</v>
      </c>
      <c r="D433">
        <v>2030</v>
      </c>
      <c r="E433" s="136">
        <v>40113</v>
      </c>
      <c r="F433">
        <v>39.381</v>
      </c>
      <c r="G433">
        <v>38.329000000000001</v>
      </c>
      <c r="H433">
        <v>39.963999999999999</v>
      </c>
      <c r="I433" s="136">
        <v>40113</v>
      </c>
      <c r="J433">
        <v>43.99</v>
      </c>
      <c r="K433">
        <v>43.67</v>
      </c>
      <c r="L433">
        <v>44.66</v>
      </c>
    </row>
    <row r="434" spans="1:12">
      <c r="A434" s="136">
        <v>40114</v>
      </c>
      <c r="B434">
        <v>1986</v>
      </c>
      <c r="C434">
        <v>1907</v>
      </c>
      <c r="D434">
        <v>2004</v>
      </c>
      <c r="E434" s="136">
        <v>40114</v>
      </c>
      <c r="F434">
        <v>39.225999999999999</v>
      </c>
      <c r="G434">
        <v>37.719000000000001</v>
      </c>
      <c r="H434">
        <v>39.427999999999997</v>
      </c>
      <c r="I434" s="136">
        <v>40114</v>
      </c>
      <c r="J434">
        <v>43.73</v>
      </c>
      <c r="K434">
        <v>42.5</v>
      </c>
      <c r="L434">
        <v>43.81</v>
      </c>
    </row>
    <row r="435" spans="1:12">
      <c r="A435" s="136">
        <v>40115</v>
      </c>
      <c r="B435">
        <v>1920</v>
      </c>
      <c r="C435">
        <v>1900</v>
      </c>
      <c r="D435">
        <v>1957.5</v>
      </c>
      <c r="E435" s="136">
        <v>40115</v>
      </c>
      <c r="F435">
        <v>37.384999999999998</v>
      </c>
      <c r="G435">
        <v>35.715000000000003</v>
      </c>
      <c r="H435">
        <v>40.78</v>
      </c>
      <c r="I435" s="136">
        <v>40115</v>
      </c>
      <c r="J435">
        <v>43.22</v>
      </c>
      <c r="K435">
        <v>42.76</v>
      </c>
      <c r="L435">
        <v>44.4</v>
      </c>
    </row>
    <row r="436" spans="1:12">
      <c r="A436" s="136">
        <v>40116</v>
      </c>
      <c r="B436">
        <v>1952</v>
      </c>
      <c r="C436">
        <v>1903</v>
      </c>
      <c r="D436">
        <v>1962</v>
      </c>
      <c r="E436" s="136">
        <v>40116</v>
      </c>
      <c r="F436">
        <v>40.235999999999997</v>
      </c>
      <c r="G436">
        <v>37.866999999999997</v>
      </c>
      <c r="H436">
        <v>40.530999999999999</v>
      </c>
      <c r="I436" s="136">
        <v>40116</v>
      </c>
      <c r="J436">
        <v>43.95</v>
      </c>
      <c r="K436">
        <v>41.73</v>
      </c>
      <c r="L436">
        <v>43.97</v>
      </c>
    </row>
    <row r="437" spans="1:12">
      <c r="A437" s="136">
        <v>40117</v>
      </c>
      <c r="B437">
        <v>1952</v>
      </c>
      <c r="C437">
        <v>1903</v>
      </c>
      <c r="D437">
        <v>1962</v>
      </c>
      <c r="E437" s="136">
        <v>40117</v>
      </c>
      <c r="F437">
        <v>40.235999999999997</v>
      </c>
      <c r="G437">
        <v>37.866999999999997</v>
      </c>
      <c r="H437">
        <v>40.530999999999999</v>
      </c>
      <c r="I437" s="136">
        <v>40117</v>
      </c>
      <c r="J437">
        <v>43.95</v>
      </c>
      <c r="K437">
        <v>41.73</v>
      </c>
      <c r="L437">
        <v>43.97</v>
      </c>
    </row>
    <row r="438" spans="1:12">
      <c r="A438" s="136">
        <v>40118</v>
      </c>
      <c r="B438">
        <v>1952</v>
      </c>
      <c r="C438">
        <v>1903</v>
      </c>
      <c r="D438">
        <v>1962</v>
      </c>
      <c r="E438" s="136">
        <v>40118</v>
      </c>
      <c r="F438">
        <v>40.235999999999997</v>
      </c>
      <c r="G438">
        <v>37.866999999999997</v>
      </c>
      <c r="H438">
        <v>40.530999999999999</v>
      </c>
      <c r="I438" s="136">
        <v>40118</v>
      </c>
      <c r="J438">
        <v>43.95</v>
      </c>
      <c r="K438">
        <v>41.73</v>
      </c>
      <c r="L438">
        <v>43.97</v>
      </c>
    </row>
    <row r="439" spans="1:12">
      <c r="A439" s="136">
        <v>40119</v>
      </c>
      <c r="B439">
        <v>1908</v>
      </c>
      <c r="C439">
        <v>1885.5</v>
      </c>
      <c r="D439">
        <v>1929</v>
      </c>
      <c r="E439" s="136">
        <v>40119</v>
      </c>
      <c r="F439">
        <v>38.448999999999998</v>
      </c>
      <c r="G439">
        <v>37.517000000000003</v>
      </c>
      <c r="H439">
        <v>38.83</v>
      </c>
      <c r="I439" s="136">
        <v>40119</v>
      </c>
      <c r="J439">
        <v>42.18</v>
      </c>
      <c r="K439">
        <v>41.52</v>
      </c>
      <c r="L439">
        <v>42.85</v>
      </c>
    </row>
    <row r="440" spans="1:12">
      <c r="A440" s="136">
        <v>40120</v>
      </c>
      <c r="B440">
        <v>1918</v>
      </c>
      <c r="C440">
        <v>1882</v>
      </c>
      <c r="D440">
        <v>1926</v>
      </c>
      <c r="E440" s="136">
        <v>40120</v>
      </c>
      <c r="F440">
        <v>38.255000000000003</v>
      </c>
      <c r="G440">
        <v>36.351999999999997</v>
      </c>
      <c r="H440">
        <v>38.255000000000003</v>
      </c>
      <c r="I440" s="136">
        <v>40120</v>
      </c>
      <c r="J440">
        <v>42.09</v>
      </c>
      <c r="K440">
        <v>41.98</v>
      </c>
      <c r="L440">
        <v>42.96</v>
      </c>
    </row>
    <row r="441" spans="1:12">
      <c r="A441" s="136">
        <v>40121</v>
      </c>
      <c r="B441">
        <v>1920</v>
      </c>
      <c r="C441">
        <v>1914</v>
      </c>
      <c r="D441">
        <v>1938</v>
      </c>
      <c r="E441" s="136">
        <v>40121</v>
      </c>
      <c r="F441">
        <v>37.478000000000002</v>
      </c>
      <c r="G441">
        <v>37.283999999999999</v>
      </c>
      <c r="H441">
        <v>38.014000000000003</v>
      </c>
      <c r="I441" s="136">
        <v>40121</v>
      </c>
      <c r="J441">
        <v>43.21</v>
      </c>
      <c r="K441">
        <v>42.12</v>
      </c>
      <c r="L441">
        <v>43.69</v>
      </c>
    </row>
    <row r="442" spans="1:12">
      <c r="A442" s="136">
        <v>40122</v>
      </c>
      <c r="B442">
        <v>1919</v>
      </c>
      <c r="C442">
        <v>1907</v>
      </c>
      <c r="D442">
        <v>1940</v>
      </c>
      <c r="E442" s="136">
        <v>40122</v>
      </c>
      <c r="F442">
        <v>37.051000000000002</v>
      </c>
      <c r="G442">
        <v>36.549999999999997</v>
      </c>
      <c r="H442">
        <v>37.762</v>
      </c>
      <c r="I442" s="136">
        <v>40122</v>
      </c>
      <c r="J442">
        <v>42.6</v>
      </c>
      <c r="K442">
        <v>42.4</v>
      </c>
      <c r="L442">
        <v>43.93</v>
      </c>
    </row>
    <row r="443" spans="1:12">
      <c r="A443" s="136">
        <v>40123</v>
      </c>
      <c r="B443">
        <v>1933</v>
      </c>
      <c r="C443">
        <v>1890</v>
      </c>
      <c r="D443">
        <v>1940</v>
      </c>
      <c r="E443" s="136">
        <v>40123</v>
      </c>
      <c r="F443">
        <v>37.75</v>
      </c>
      <c r="G443">
        <v>36.805999999999997</v>
      </c>
      <c r="H443">
        <v>38.293999999999997</v>
      </c>
      <c r="I443" s="136">
        <v>40123</v>
      </c>
      <c r="J443">
        <v>43.14</v>
      </c>
      <c r="K443">
        <v>42.91</v>
      </c>
      <c r="L443">
        <v>43.69</v>
      </c>
    </row>
    <row r="444" spans="1:12">
      <c r="A444" s="136">
        <v>40124</v>
      </c>
      <c r="B444">
        <v>1933</v>
      </c>
      <c r="C444">
        <v>1890</v>
      </c>
      <c r="D444">
        <v>1940</v>
      </c>
      <c r="E444" s="136">
        <v>40124</v>
      </c>
      <c r="F444">
        <v>37.75</v>
      </c>
      <c r="G444">
        <v>36.805999999999997</v>
      </c>
      <c r="H444">
        <v>38.293999999999997</v>
      </c>
      <c r="I444" s="136">
        <v>40124</v>
      </c>
      <c r="J444">
        <v>43.14</v>
      </c>
      <c r="K444">
        <v>42.91</v>
      </c>
      <c r="L444">
        <v>43.69</v>
      </c>
    </row>
    <row r="445" spans="1:12">
      <c r="A445" s="136">
        <v>40125</v>
      </c>
      <c r="B445">
        <v>1933</v>
      </c>
      <c r="C445">
        <v>1890</v>
      </c>
      <c r="D445">
        <v>1940</v>
      </c>
      <c r="E445" s="136">
        <v>40125</v>
      </c>
      <c r="F445">
        <v>37.75</v>
      </c>
      <c r="G445">
        <v>36.805999999999997</v>
      </c>
      <c r="H445">
        <v>38.293999999999997</v>
      </c>
      <c r="I445" s="136">
        <v>40125</v>
      </c>
      <c r="J445">
        <v>43.14</v>
      </c>
      <c r="K445">
        <v>42.91</v>
      </c>
      <c r="L445">
        <v>43.69</v>
      </c>
    </row>
    <row r="446" spans="1:12">
      <c r="A446" s="136">
        <v>40126</v>
      </c>
      <c r="B446">
        <v>1925</v>
      </c>
      <c r="C446">
        <v>1921.25</v>
      </c>
      <c r="D446">
        <v>1952.15</v>
      </c>
      <c r="E446" s="136">
        <v>40126</v>
      </c>
      <c r="F446">
        <v>37.828000000000003</v>
      </c>
      <c r="G446">
        <v>37.828000000000003</v>
      </c>
      <c r="H446">
        <v>38.838000000000001</v>
      </c>
      <c r="I446" s="136">
        <v>40126</v>
      </c>
      <c r="J446">
        <v>43.93</v>
      </c>
      <c r="K446">
        <v>43.3</v>
      </c>
      <c r="L446">
        <v>44.39</v>
      </c>
    </row>
    <row r="447" spans="1:12">
      <c r="A447" s="136">
        <v>40127</v>
      </c>
      <c r="B447">
        <v>1952</v>
      </c>
      <c r="C447">
        <v>1934</v>
      </c>
      <c r="D447">
        <v>1971.25</v>
      </c>
      <c r="E447" s="136">
        <v>40127</v>
      </c>
      <c r="F447">
        <v>38.838000000000001</v>
      </c>
      <c r="G447">
        <v>38.496000000000002</v>
      </c>
      <c r="H447">
        <v>39.225999999999999</v>
      </c>
      <c r="I447" s="136">
        <v>40127</v>
      </c>
      <c r="J447">
        <v>44.14</v>
      </c>
      <c r="K447">
        <v>43.55</v>
      </c>
      <c r="L447">
        <v>44.32</v>
      </c>
    </row>
    <row r="448" spans="1:12">
      <c r="A448" s="136">
        <v>40128</v>
      </c>
      <c r="B448">
        <v>1956</v>
      </c>
      <c r="C448">
        <v>1951.75</v>
      </c>
      <c r="D448">
        <v>1985</v>
      </c>
      <c r="E448" s="136">
        <v>40128</v>
      </c>
      <c r="F448">
        <v>38.993000000000002</v>
      </c>
      <c r="G448">
        <v>38.978000000000002</v>
      </c>
      <c r="H448">
        <v>39.613999999999997</v>
      </c>
      <c r="I448" s="136">
        <v>40128</v>
      </c>
      <c r="J448">
        <v>44.34</v>
      </c>
      <c r="K448">
        <v>43.78</v>
      </c>
      <c r="L448">
        <v>44.99</v>
      </c>
    </row>
    <row r="449" spans="1:12">
      <c r="A449" s="136">
        <v>40129</v>
      </c>
      <c r="B449">
        <v>1969</v>
      </c>
      <c r="C449">
        <v>1938</v>
      </c>
      <c r="D449">
        <v>1980</v>
      </c>
      <c r="E449" s="136">
        <v>40129</v>
      </c>
      <c r="F449">
        <v>39.295999999999999</v>
      </c>
      <c r="G449">
        <v>38.957999999999998</v>
      </c>
      <c r="H449">
        <v>39.613999999999997</v>
      </c>
      <c r="I449" s="136">
        <v>40129</v>
      </c>
      <c r="J449">
        <v>44.08</v>
      </c>
      <c r="K449">
        <v>43</v>
      </c>
      <c r="L449">
        <v>44.65</v>
      </c>
    </row>
    <row r="450" spans="1:12">
      <c r="A450" s="136">
        <v>40130</v>
      </c>
      <c r="B450">
        <v>1951</v>
      </c>
      <c r="C450">
        <v>1924</v>
      </c>
      <c r="D450">
        <v>1958</v>
      </c>
      <c r="E450" s="136">
        <v>40130</v>
      </c>
      <c r="F450">
        <v>38.83</v>
      </c>
      <c r="G450">
        <v>38.573999999999998</v>
      </c>
      <c r="H450">
        <v>39.378</v>
      </c>
      <c r="I450" s="136">
        <v>40130</v>
      </c>
      <c r="J450">
        <v>43.16</v>
      </c>
      <c r="K450">
        <v>42.36</v>
      </c>
      <c r="L450">
        <v>43.29</v>
      </c>
    </row>
    <row r="451" spans="1:12">
      <c r="A451" s="136">
        <v>40131</v>
      </c>
      <c r="B451">
        <v>1951</v>
      </c>
      <c r="C451">
        <v>1924</v>
      </c>
      <c r="D451">
        <v>1958</v>
      </c>
      <c r="E451" s="136">
        <v>40131</v>
      </c>
      <c r="F451">
        <v>38.83</v>
      </c>
      <c r="G451">
        <v>38.573999999999998</v>
      </c>
      <c r="H451">
        <v>39.378</v>
      </c>
      <c r="I451" s="136">
        <v>40131</v>
      </c>
      <c r="J451">
        <v>43.16</v>
      </c>
      <c r="K451">
        <v>42.36</v>
      </c>
      <c r="L451">
        <v>43.29</v>
      </c>
    </row>
    <row r="452" spans="1:12">
      <c r="A452" s="136">
        <v>40132</v>
      </c>
      <c r="B452">
        <v>1951</v>
      </c>
      <c r="C452">
        <v>1924</v>
      </c>
      <c r="D452">
        <v>1958</v>
      </c>
      <c r="E452" s="136">
        <v>40132</v>
      </c>
      <c r="F452">
        <v>38.83</v>
      </c>
      <c r="G452">
        <v>38.573999999999998</v>
      </c>
      <c r="H452">
        <v>39.378</v>
      </c>
      <c r="I452" s="136">
        <v>40132</v>
      </c>
      <c r="J452">
        <v>43.16</v>
      </c>
      <c r="K452">
        <v>42.36</v>
      </c>
      <c r="L452">
        <v>43.29</v>
      </c>
    </row>
    <row r="453" spans="1:12">
      <c r="A453" s="136">
        <v>40133</v>
      </c>
      <c r="B453">
        <v>1952</v>
      </c>
      <c r="C453">
        <v>1950.5</v>
      </c>
      <c r="D453">
        <v>2033</v>
      </c>
      <c r="E453" s="136">
        <v>40133</v>
      </c>
      <c r="F453">
        <v>39.552</v>
      </c>
      <c r="G453">
        <v>39.536999999999999</v>
      </c>
      <c r="H453">
        <v>40.600999999999999</v>
      </c>
      <c r="I453" s="136">
        <v>40133</v>
      </c>
      <c r="J453">
        <v>43.25</v>
      </c>
      <c r="K453">
        <v>42.76</v>
      </c>
      <c r="L453">
        <v>43.608899999999998</v>
      </c>
    </row>
    <row r="454" spans="1:12">
      <c r="A454" s="136">
        <v>40134</v>
      </c>
      <c r="B454">
        <v>2022</v>
      </c>
      <c r="C454">
        <v>2012</v>
      </c>
      <c r="D454">
        <v>2055</v>
      </c>
      <c r="E454" s="136">
        <v>40134</v>
      </c>
      <c r="F454">
        <v>40.119</v>
      </c>
      <c r="G454">
        <v>39.844000000000001</v>
      </c>
      <c r="H454">
        <v>40.546999999999997</v>
      </c>
      <c r="I454" s="136">
        <v>40134</v>
      </c>
      <c r="J454">
        <v>42.92</v>
      </c>
      <c r="K454">
        <v>42.54</v>
      </c>
      <c r="L454">
        <v>43.19</v>
      </c>
    </row>
    <row r="455" spans="1:12">
      <c r="A455" s="136">
        <v>40135</v>
      </c>
      <c r="B455">
        <v>2052</v>
      </c>
      <c r="C455">
        <v>2041</v>
      </c>
      <c r="D455">
        <v>2095</v>
      </c>
      <c r="E455" s="136">
        <v>40135</v>
      </c>
      <c r="F455">
        <v>40.204999999999998</v>
      </c>
      <c r="G455">
        <v>40.003</v>
      </c>
      <c r="H455">
        <v>40.918999999999997</v>
      </c>
      <c r="I455" s="136">
        <v>40135</v>
      </c>
      <c r="J455">
        <v>43.14</v>
      </c>
      <c r="K455">
        <v>42.94</v>
      </c>
      <c r="L455">
        <v>43.5</v>
      </c>
    </row>
    <row r="456" spans="1:12">
      <c r="A456" s="136">
        <v>40136</v>
      </c>
      <c r="B456">
        <v>2055</v>
      </c>
      <c r="C456">
        <v>2020</v>
      </c>
      <c r="D456">
        <v>2073</v>
      </c>
      <c r="E456" s="136">
        <v>40136</v>
      </c>
      <c r="F456">
        <v>40.076999999999998</v>
      </c>
      <c r="G456">
        <v>38.860999999999997</v>
      </c>
      <c r="H456">
        <v>40.329000000000001</v>
      </c>
      <c r="I456" s="136">
        <v>40136</v>
      </c>
      <c r="J456">
        <v>43.1</v>
      </c>
      <c r="K456">
        <v>42.26</v>
      </c>
      <c r="L456">
        <v>43.18</v>
      </c>
    </row>
    <row r="457" spans="1:12">
      <c r="A457" s="136">
        <v>40137</v>
      </c>
      <c r="B457">
        <v>2045</v>
      </c>
      <c r="C457">
        <v>2005</v>
      </c>
      <c r="D457">
        <v>2061.5</v>
      </c>
      <c r="E457" s="136">
        <v>40137</v>
      </c>
      <c r="F457">
        <v>39.031999999999996</v>
      </c>
      <c r="G457">
        <v>38.01</v>
      </c>
      <c r="H457">
        <v>39.213999999999999</v>
      </c>
      <c r="I457" s="136">
        <v>40137</v>
      </c>
      <c r="J457">
        <v>42.47</v>
      </c>
      <c r="K457">
        <v>42.15</v>
      </c>
      <c r="L457">
        <v>42.74</v>
      </c>
    </row>
    <row r="458" spans="1:12">
      <c r="A458" s="136">
        <v>40138</v>
      </c>
      <c r="B458">
        <v>2045</v>
      </c>
      <c r="C458">
        <v>2005</v>
      </c>
      <c r="D458">
        <v>2061.5</v>
      </c>
      <c r="E458" s="136">
        <v>40138</v>
      </c>
      <c r="F458">
        <v>39.031999999999996</v>
      </c>
      <c r="G458">
        <v>38.01</v>
      </c>
      <c r="H458">
        <v>39.213999999999999</v>
      </c>
      <c r="I458" s="136">
        <v>40138</v>
      </c>
      <c r="J458">
        <v>42.47</v>
      </c>
      <c r="K458">
        <v>42.15</v>
      </c>
      <c r="L458">
        <v>42.74</v>
      </c>
    </row>
    <row r="459" spans="1:12">
      <c r="A459" s="136">
        <v>40139</v>
      </c>
      <c r="B459">
        <v>2045</v>
      </c>
      <c r="C459">
        <v>2005</v>
      </c>
      <c r="D459">
        <v>2061.5</v>
      </c>
      <c r="E459" s="136">
        <v>40139</v>
      </c>
      <c r="F459">
        <v>39.031999999999996</v>
      </c>
      <c r="G459">
        <v>38.01</v>
      </c>
      <c r="H459">
        <v>39.213999999999999</v>
      </c>
      <c r="I459" s="136">
        <v>40139</v>
      </c>
      <c r="J459">
        <v>42.47</v>
      </c>
      <c r="K459">
        <v>42.15</v>
      </c>
      <c r="L459">
        <v>42.74</v>
      </c>
    </row>
    <row r="460" spans="1:12">
      <c r="A460" s="136">
        <v>40140</v>
      </c>
      <c r="B460">
        <v>2055</v>
      </c>
      <c r="C460">
        <v>2025</v>
      </c>
      <c r="D460">
        <v>2077.5</v>
      </c>
      <c r="E460" s="136">
        <v>40140</v>
      </c>
      <c r="F460">
        <v>38.838000000000001</v>
      </c>
      <c r="G460">
        <v>38.636000000000003</v>
      </c>
      <c r="H460">
        <v>39.668999999999997</v>
      </c>
      <c r="I460" s="136">
        <v>40140</v>
      </c>
      <c r="J460">
        <v>42.95</v>
      </c>
      <c r="K460">
        <v>42.7</v>
      </c>
      <c r="L460">
        <v>43.64</v>
      </c>
    </row>
    <row r="461" spans="1:12">
      <c r="A461" s="136">
        <v>40141</v>
      </c>
      <c r="B461">
        <v>2025</v>
      </c>
      <c r="C461">
        <v>2015</v>
      </c>
      <c r="D461">
        <v>2034.75</v>
      </c>
      <c r="E461" s="136">
        <v>40141</v>
      </c>
      <c r="F461">
        <v>39.287999999999997</v>
      </c>
      <c r="G461">
        <v>38.262999999999998</v>
      </c>
      <c r="H461">
        <v>39.287999999999997</v>
      </c>
      <c r="I461" s="136">
        <v>40141</v>
      </c>
      <c r="J461">
        <v>43.26</v>
      </c>
      <c r="K461">
        <v>42.24</v>
      </c>
      <c r="L461">
        <v>43.28</v>
      </c>
    </row>
    <row r="462" spans="1:12">
      <c r="A462" s="136">
        <v>40142</v>
      </c>
      <c r="B462">
        <v>2025</v>
      </c>
      <c r="C462">
        <v>2020</v>
      </c>
      <c r="D462">
        <v>2053</v>
      </c>
      <c r="E462" s="136">
        <v>40142</v>
      </c>
      <c r="F462">
        <v>39.101999999999997</v>
      </c>
      <c r="G462">
        <v>38.402999999999999</v>
      </c>
      <c r="H462">
        <v>39.459000000000003</v>
      </c>
      <c r="I462" s="136">
        <v>40142</v>
      </c>
      <c r="J462">
        <v>42.67</v>
      </c>
      <c r="K462">
        <v>41.94</v>
      </c>
      <c r="L462">
        <v>42.67</v>
      </c>
    </row>
    <row r="463" spans="1:12">
      <c r="A463" s="136">
        <v>40143</v>
      </c>
      <c r="B463">
        <v>2047</v>
      </c>
      <c r="C463">
        <v>2005</v>
      </c>
      <c r="D463">
        <v>2053.75</v>
      </c>
      <c r="E463" s="136">
        <v>40143</v>
      </c>
      <c r="F463">
        <v>38.387</v>
      </c>
      <c r="G463">
        <v>36.146000000000001</v>
      </c>
      <c r="H463">
        <v>38.5</v>
      </c>
      <c r="I463" s="136">
        <v>40143</v>
      </c>
      <c r="J463">
        <v>42.67</v>
      </c>
      <c r="K463">
        <v>41.94</v>
      </c>
      <c r="L463">
        <v>42.67</v>
      </c>
    </row>
    <row r="464" spans="1:12">
      <c r="A464" s="136">
        <v>40144</v>
      </c>
      <c r="B464">
        <v>2019</v>
      </c>
      <c r="C464">
        <v>1950</v>
      </c>
      <c r="D464">
        <v>2020</v>
      </c>
      <c r="E464" s="136">
        <v>40144</v>
      </c>
      <c r="F464">
        <v>35.700000000000003</v>
      </c>
      <c r="G464">
        <v>35.186999999999998</v>
      </c>
      <c r="H464">
        <v>37.384999999999998</v>
      </c>
      <c r="I464" s="136">
        <v>40144</v>
      </c>
      <c r="J464">
        <v>40.98</v>
      </c>
      <c r="K464">
        <v>40.75</v>
      </c>
      <c r="L464">
        <v>41.9</v>
      </c>
    </row>
    <row r="465" spans="1:12">
      <c r="A465" s="136">
        <v>40145</v>
      </c>
      <c r="B465">
        <v>2019</v>
      </c>
      <c r="C465">
        <v>1950</v>
      </c>
      <c r="D465">
        <v>2020</v>
      </c>
      <c r="E465" s="136">
        <v>40145</v>
      </c>
      <c r="F465">
        <v>35.700000000000003</v>
      </c>
      <c r="G465">
        <v>35.186999999999998</v>
      </c>
      <c r="H465">
        <v>37.384999999999998</v>
      </c>
      <c r="I465" s="136">
        <v>40145</v>
      </c>
      <c r="J465">
        <v>40.98</v>
      </c>
      <c r="K465">
        <v>40.75</v>
      </c>
      <c r="L465">
        <v>41.9</v>
      </c>
    </row>
    <row r="466" spans="1:12">
      <c r="A466" s="136">
        <v>40146</v>
      </c>
      <c r="B466">
        <v>2019</v>
      </c>
      <c r="C466">
        <v>1950</v>
      </c>
      <c r="D466">
        <v>2020</v>
      </c>
      <c r="E466" s="136">
        <v>40146</v>
      </c>
      <c r="F466">
        <v>35.700000000000003</v>
      </c>
      <c r="G466">
        <v>35.186999999999998</v>
      </c>
      <c r="H466">
        <v>37.384999999999998</v>
      </c>
      <c r="I466" s="136">
        <v>40146</v>
      </c>
      <c r="J466">
        <v>40.98</v>
      </c>
      <c r="K466">
        <v>40.75</v>
      </c>
      <c r="L466">
        <v>41.9</v>
      </c>
    </row>
    <row r="467" spans="1:12">
      <c r="A467" s="136">
        <v>40147</v>
      </c>
      <c r="B467">
        <v>2018</v>
      </c>
      <c r="C467">
        <v>2010</v>
      </c>
      <c r="D467">
        <v>2065</v>
      </c>
      <c r="E467" s="136">
        <v>40147</v>
      </c>
      <c r="F467">
        <v>37.929000000000002</v>
      </c>
      <c r="G467">
        <v>37.051000000000002</v>
      </c>
      <c r="H467">
        <v>38.1</v>
      </c>
      <c r="I467" s="136">
        <v>40147</v>
      </c>
      <c r="J467">
        <v>41.56</v>
      </c>
      <c r="K467">
        <v>41.49</v>
      </c>
      <c r="L467">
        <v>42.65</v>
      </c>
    </row>
    <row r="468" spans="1:12">
      <c r="A468" s="136">
        <v>40148</v>
      </c>
      <c r="B468">
        <v>2057</v>
      </c>
      <c r="C468">
        <v>2051</v>
      </c>
      <c r="D468">
        <v>2110</v>
      </c>
      <c r="E468" s="136">
        <v>40148</v>
      </c>
      <c r="F468">
        <v>38.1</v>
      </c>
      <c r="G468">
        <v>37.758000000000003</v>
      </c>
      <c r="H468">
        <v>38.566000000000003</v>
      </c>
      <c r="I468" s="136">
        <v>40148</v>
      </c>
      <c r="J468">
        <v>42.61</v>
      </c>
      <c r="K468">
        <v>41.62</v>
      </c>
      <c r="L468">
        <v>42.71</v>
      </c>
    </row>
    <row r="469" spans="1:12">
      <c r="A469" s="136">
        <v>40149</v>
      </c>
      <c r="B469">
        <v>2095</v>
      </c>
      <c r="C469">
        <v>2090</v>
      </c>
      <c r="D469">
        <v>2165.25</v>
      </c>
      <c r="E469" s="136">
        <v>40149</v>
      </c>
      <c r="F469">
        <v>38.573999999999998</v>
      </c>
      <c r="G469">
        <v>37.097999999999999</v>
      </c>
      <c r="H469">
        <v>38.682000000000002</v>
      </c>
      <c r="I469" s="136">
        <v>40149</v>
      </c>
      <c r="J469">
        <v>42.15</v>
      </c>
      <c r="K469">
        <v>41.47</v>
      </c>
      <c r="L469">
        <v>42.15</v>
      </c>
    </row>
    <row r="470" spans="1:12">
      <c r="A470" s="136">
        <v>40150</v>
      </c>
      <c r="B470">
        <v>2143</v>
      </c>
      <c r="C470">
        <v>2125</v>
      </c>
      <c r="D470">
        <v>2166</v>
      </c>
      <c r="E470" s="136">
        <v>40150</v>
      </c>
      <c r="F470">
        <v>38.643999999999998</v>
      </c>
      <c r="G470">
        <v>37.866999999999997</v>
      </c>
      <c r="H470">
        <v>38.802999999999997</v>
      </c>
      <c r="I470" s="136">
        <v>40150</v>
      </c>
      <c r="J470">
        <v>42.3</v>
      </c>
      <c r="K470">
        <v>41.31</v>
      </c>
      <c r="L470">
        <v>43.09</v>
      </c>
    </row>
    <row r="471" spans="1:12">
      <c r="A471" s="136">
        <v>40151</v>
      </c>
      <c r="B471">
        <v>2128.25</v>
      </c>
      <c r="C471">
        <v>2116</v>
      </c>
      <c r="D471">
        <v>2165</v>
      </c>
      <c r="E471" s="136">
        <v>40151</v>
      </c>
      <c r="F471">
        <v>37.944000000000003</v>
      </c>
      <c r="G471">
        <v>37.000999999999998</v>
      </c>
      <c r="H471">
        <v>38.838000000000001</v>
      </c>
      <c r="I471" s="136">
        <v>40151</v>
      </c>
      <c r="J471">
        <v>42.25</v>
      </c>
      <c r="K471">
        <v>41.22</v>
      </c>
      <c r="L471">
        <v>42.51</v>
      </c>
    </row>
    <row r="472" spans="1:12">
      <c r="A472" s="136">
        <v>40152</v>
      </c>
      <c r="B472">
        <v>2128.25</v>
      </c>
      <c r="C472">
        <v>2116</v>
      </c>
      <c r="D472">
        <v>2165</v>
      </c>
      <c r="E472" s="136">
        <v>40152</v>
      </c>
      <c r="F472">
        <v>37.944000000000003</v>
      </c>
      <c r="G472">
        <v>37.000999999999998</v>
      </c>
      <c r="H472">
        <v>38.838000000000001</v>
      </c>
      <c r="I472" s="136">
        <v>40152</v>
      </c>
      <c r="J472">
        <v>42.25</v>
      </c>
      <c r="K472">
        <v>41.22</v>
      </c>
      <c r="L472">
        <v>42.51</v>
      </c>
    </row>
    <row r="473" spans="1:12">
      <c r="A473" s="136">
        <v>40153</v>
      </c>
      <c r="B473">
        <v>2128.25</v>
      </c>
      <c r="C473">
        <v>2116</v>
      </c>
      <c r="D473">
        <v>2165</v>
      </c>
      <c r="E473" s="136">
        <v>40153</v>
      </c>
      <c r="F473">
        <v>37.944000000000003</v>
      </c>
      <c r="G473">
        <v>37.000999999999998</v>
      </c>
      <c r="H473">
        <v>38.838000000000001</v>
      </c>
      <c r="I473" s="136">
        <v>40153</v>
      </c>
      <c r="J473">
        <v>42.25</v>
      </c>
      <c r="K473">
        <v>41.22</v>
      </c>
      <c r="L473">
        <v>42.51</v>
      </c>
    </row>
    <row r="474" spans="1:12">
      <c r="A474" s="136">
        <v>40154</v>
      </c>
      <c r="B474">
        <v>2145</v>
      </c>
      <c r="C474">
        <v>2108</v>
      </c>
      <c r="D474">
        <v>2166</v>
      </c>
      <c r="E474" s="136">
        <v>40154</v>
      </c>
      <c r="F474">
        <v>38.488</v>
      </c>
      <c r="G474">
        <v>37.905999999999999</v>
      </c>
      <c r="H474">
        <v>38.488</v>
      </c>
      <c r="I474" s="136">
        <v>40154</v>
      </c>
      <c r="J474">
        <v>41.63</v>
      </c>
      <c r="K474">
        <v>41.06</v>
      </c>
      <c r="L474">
        <v>41.96</v>
      </c>
    </row>
    <row r="475" spans="1:12">
      <c r="A475" s="136">
        <v>40155</v>
      </c>
      <c r="B475">
        <v>2160</v>
      </c>
      <c r="C475">
        <v>2125</v>
      </c>
      <c r="D475">
        <v>2190</v>
      </c>
      <c r="E475" s="136">
        <v>40155</v>
      </c>
      <c r="F475">
        <v>38.177</v>
      </c>
      <c r="G475">
        <v>37.143999999999998</v>
      </c>
      <c r="H475">
        <v>38.566000000000003</v>
      </c>
      <c r="I475" s="136">
        <v>40155</v>
      </c>
      <c r="J475">
        <v>41.01</v>
      </c>
      <c r="K475">
        <v>40.625</v>
      </c>
      <c r="L475">
        <v>41.4</v>
      </c>
    </row>
    <row r="476" spans="1:12">
      <c r="A476" s="136">
        <v>40156</v>
      </c>
      <c r="B476">
        <v>2125</v>
      </c>
      <c r="C476">
        <v>2119.75</v>
      </c>
      <c r="D476">
        <v>2215</v>
      </c>
      <c r="E476" s="136">
        <v>40156</v>
      </c>
      <c r="F476">
        <v>37.051000000000002</v>
      </c>
      <c r="G476">
        <v>36.402999999999999</v>
      </c>
      <c r="H476">
        <v>37.572000000000003</v>
      </c>
      <c r="I476" s="136">
        <v>40156</v>
      </c>
      <c r="J476">
        <v>41.25</v>
      </c>
      <c r="K476">
        <v>40.6</v>
      </c>
      <c r="L476">
        <v>41.51</v>
      </c>
    </row>
    <row r="477" spans="1:12">
      <c r="A477" s="136">
        <v>40157</v>
      </c>
      <c r="B477">
        <v>2175</v>
      </c>
      <c r="C477">
        <v>2168</v>
      </c>
      <c r="D477">
        <v>2228</v>
      </c>
      <c r="E477" s="136">
        <v>40157</v>
      </c>
      <c r="F477">
        <v>37.012</v>
      </c>
      <c r="G477">
        <v>36.506999999999998</v>
      </c>
      <c r="H477">
        <v>37.710999999999999</v>
      </c>
      <c r="I477" s="136">
        <v>40157</v>
      </c>
      <c r="J477">
        <v>41.36</v>
      </c>
      <c r="K477">
        <v>40.657499999999999</v>
      </c>
      <c r="L477">
        <v>41.56</v>
      </c>
    </row>
    <row r="478" spans="1:12">
      <c r="A478" s="136">
        <v>40158</v>
      </c>
      <c r="B478">
        <v>2195</v>
      </c>
      <c r="C478">
        <v>2190</v>
      </c>
      <c r="D478">
        <v>2289</v>
      </c>
      <c r="E478" s="136">
        <v>40158</v>
      </c>
      <c r="F478">
        <v>37.401000000000003</v>
      </c>
      <c r="G478">
        <v>36.790999999999997</v>
      </c>
      <c r="H478">
        <v>37.999000000000002</v>
      </c>
      <c r="I478" s="136">
        <v>40158</v>
      </c>
      <c r="J478">
        <v>40.99</v>
      </c>
      <c r="K478">
        <v>40.75</v>
      </c>
      <c r="L478">
        <v>41.25</v>
      </c>
    </row>
    <row r="479" spans="1:12">
      <c r="A479" s="136">
        <v>40159</v>
      </c>
      <c r="B479">
        <v>2195</v>
      </c>
      <c r="C479">
        <v>2190</v>
      </c>
      <c r="D479">
        <v>2289</v>
      </c>
      <c r="E479" s="136">
        <v>40159</v>
      </c>
      <c r="F479">
        <v>37.401000000000003</v>
      </c>
      <c r="G479">
        <v>36.790999999999997</v>
      </c>
      <c r="H479">
        <v>37.999000000000002</v>
      </c>
      <c r="I479" s="136">
        <v>40159</v>
      </c>
      <c r="J479">
        <v>40.99</v>
      </c>
      <c r="K479">
        <v>40.75</v>
      </c>
      <c r="L479">
        <v>41.25</v>
      </c>
    </row>
    <row r="480" spans="1:12">
      <c r="A480" s="136">
        <v>40160</v>
      </c>
      <c r="B480">
        <v>2195</v>
      </c>
      <c r="C480">
        <v>2190</v>
      </c>
      <c r="D480">
        <v>2289</v>
      </c>
      <c r="E480" s="136">
        <v>40160</v>
      </c>
      <c r="F480">
        <v>37.401000000000003</v>
      </c>
      <c r="G480">
        <v>36.790999999999997</v>
      </c>
      <c r="H480">
        <v>37.999000000000002</v>
      </c>
      <c r="I480" s="136">
        <v>40160</v>
      </c>
      <c r="J480">
        <v>40.99</v>
      </c>
      <c r="K480">
        <v>40.75</v>
      </c>
      <c r="L480">
        <v>41.25</v>
      </c>
    </row>
    <row r="481" spans="1:12">
      <c r="A481" s="136">
        <v>40161</v>
      </c>
      <c r="B481">
        <v>2271</v>
      </c>
      <c r="C481">
        <v>2253</v>
      </c>
      <c r="D481">
        <v>2305</v>
      </c>
      <c r="E481" s="136">
        <v>40161</v>
      </c>
      <c r="F481">
        <v>37.521000000000001</v>
      </c>
      <c r="G481">
        <v>37.362000000000002</v>
      </c>
      <c r="H481">
        <v>38.604999999999997</v>
      </c>
      <c r="I481" s="136">
        <v>40161</v>
      </c>
      <c r="J481">
        <v>41.01</v>
      </c>
      <c r="K481">
        <v>40.700000000000003</v>
      </c>
      <c r="L481">
        <v>41.93</v>
      </c>
    </row>
    <row r="482" spans="1:12">
      <c r="A482" s="136">
        <v>40162</v>
      </c>
      <c r="B482">
        <v>2263</v>
      </c>
      <c r="C482">
        <v>2225</v>
      </c>
      <c r="D482">
        <v>2274</v>
      </c>
      <c r="E482" s="136">
        <v>40162</v>
      </c>
      <c r="F482">
        <v>38.448999999999998</v>
      </c>
      <c r="G482">
        <v>37.673000000000002</v>
      </c>
      <c r="H482">
        <v>38.838000000000001</v>
      </c>
      <c r="I482" s="136">
        <v>40162</v>
      </c>
      <c r="J482">
        <v>41.5</v>
      </c>
      <c r="K482">
        <v>40.619999999999997</v>
      </c>
      <c r="L482">
        <v>41.7</v>
      </c>
    </row>
    <row r="483" spans="1:12">
      <c r="A483" s="136">
        <v>40163</v>
      </c>
      <c r="B483">
        <v>2235</v>
      </c>
      <c r="C483">
        <v>2233</v>
      </c>
      <c r="D483">
        <v>2294</v>
      </c>
      <c r="E483" s="136">
        <v>40163</v>
      </c>
      <c r="F483">
        <v>38.581000000000003</v>
      </c>
      <c r="G483">
        <v>38.566000000000003</v>
      </c>
      <c r="H483">
        <v>40.578000000000003</v>
      </c>
      <c r="I483" s="136">
        <v>40163</v>
      </c>
      <c r="J483">
        <v>41.17</v>
      </c>
      <c r="K483">
        <v>40.880000000000003</v>
      </c>
      <c r="L483">
        <v>41.7</v>
      </c>
    </row>
    <row r="484" spans="1:12">
      <c r="A484" s="136">
        <v>40164</v>
      </c>
      <c r="B484">
        <v>2273</v>
      </c>
      <c r="C484">
        <v>2215</v>
      </c>
      <c r="D484">
        <v>2275</v>
      </c>
      <c r="E484" s="136">
        <v>40164</v>
      </c>
      <c r="F484">
        <v>40.112000000000002</v>
      </c>
      <c r="G484">
        <v>39.311999999999998</v>
      </c>
      <c r="H484">
        <v>40.445999999999998</v>
      </c>
      <c r="I484" s="136">
        <v>40164</v>
      </c>
      <c r="J484">
        <v>41.06</v>
      </c>
      <c r="K484">
        <v>40.19</v>
      </c>
      <c r="L484">
        <v>41.12</v>
      </c>
    </row>
    <row r="485" spans="1:12">
      <c r="A485" s="136">
        <v>40165</v>
      </c>
      <c r="B485">
        <v>2225</v>
      </c>
      <c r="C485">
        <v>2225</v>
      </c>
      <c r="D485">
        <v>2264</v>
      </c>
      <c r="E485" s="136">
        <v>40165</v>
      </c>
      <c r="F485">
        <v>39.622</v>
      </c>
      <c r="G485">
        <v>38.651000000000003</v>
      </c>
      <c r="H485">
        <v>39.758000000000003</v>
      </c>
      <c r="I485" s="136">
        <v>40165</v>
      </c>
      <c r="J485">
        <v>40.53</v>
      </c>
      <c r="K485">
        <v>40.037300000000002</v>
      </c>
      <c r="L485">
        <v>41.19</v>
      </c>
    </row>
    <row r="486" spans="1:12">
      <c r="A486" s="136">
        <v>40166</v>
      </c>
      <c r="B486">
        <v>2225</v>
      </c>
      <c r="C486">
        <v>2225</v>
      </c>
      <c r="D486">
        <v>2264</v>
      </c>
      <c r="E486" s="136">
        <v>40166</v>
      </c>
      <c r="F486">
        <v>39.622</v>
      </c>
      <c r="G486">
        <v>38.651000000000003</v>
      </c>
      <c r="H486">
        <v>39.758000000000003</v>
      </c>
      <c r="I486" s="136">
        <v>40166</v>
      </c>
      <c r="J486">
        <v>40.53</v>
      </c>
      <c r="K486">
        <v>40.037300000000002</v>
      </c>
      <c r="L486">
        <v>41.19</v>
      </c>
    </row>
    <row r="487" spans="1:12">
      <c r="A487" s="136">
        <v>40167</v>
      </c>
      <c r="B487">
        <v>2225</v>
      </c>
      <c r="C487">
        <v>2225</v>
      </c>
      <c r="D487">
        <v>2264</v>
      </c>
      <c r="E487" s="136">
        <v>40167</v>
      </c>
      <c r="F487">
        <v>39.622</v>
      </c>
      <c r="G487">
        <v>38.651000000000003</v>
      </c>
      <c r="H487">
        <v>39.758000000000003</v>
      </c>
      <c r="I487" s="136">
        <v>40167</v>
      </c>
      <c r="J487">
        <v>40.53</v>
      </c>
      <c r="K487">
        <v>40.037300000000002</v>
      </c>
      <c r="L487">
        <v>41.19</v>
      </c>
    </row>
    <row r="488" spans="1:12">
      <c r="A488" s="136">
        <v>40168</v>
      </c>
      <c r="B488">
        <v>2244</v>
      </c>
      <c r="C488">
        <v>2243</v>
      </c>
      <c r="D488">
        <v>2278</v>
      </c>
      <c r="E488" s="136">
        <v>40168</v>
      </c>
      <c r="F488">
        <v>38.993000000000002</v>
      </c>
      <c r="G488">
        <v>38.728999999999999</v>
      </c>
      <c r="H488">
        <v>39.49</v>
      </c>
      <c r="I488" s="136">
        <v>40168</v>
      </c>
      <c r="J488">
        <v>41.55</v>
      </c>
      <c r="K488">
        <v>41.5</v>
      </c>
      <c r="L488">
        <v>42.24</v>
      </c>
    </row>
    <row r="489" spans="1:12">
      <c r="A489" s="136">
        <v>40169</v>
      </c>
      <c r="B489">
        <v>2265</v>
      </c>
      <c r="C489">
        <v>2231</v>
      </c>
      <c r="D489">
        <v>2272</v>
      </c>
      <c r="E489" s="136">
        <v>40169</v>
      </c>
      <c r="F489">
        <v>39.304000000000002</v>
      </c>
      <c r="G489">
        <v>38.914999999999999</v>
      </c>
      <c r="H489">
        <v>39.784999999999997</v>
      </c>
      <c r="I489" s="136">
        <v>40169</v>
      </c>
      <c r="J489">
        <v>42</v>
      </c>
      <c r="K489">
        <v>41.69</v>
      </c>
      <c r="L489">
        <v>42.1</v>
      </c>
    </row>
    <row r="490" spans="1:12">
      <c r="A490" s="136">
        <v>40170</v>
      </c>
      <c r="B490">
        <v>2244</v>
      </c>
      <c r="C490">
        <v>2240</v>
      </c>
      <c r="D490">
        <v>2267</v>
      </c>
      <c r="E490" s="136">
        <v>40170</v>
      </c>
      <c r="F490">
        <v>39.070999999999998</v>
      </c>
      <c r="G490">
        <v>38.923000000000002</v>
      </c>
      <c r="H490">
        <v>39.304000000000002</v>
      </c>
      <c r="I490" s="136">
        <v>40170</v>
      </c>
      <c r="J490">
        <v>41.84</v>
      </c>
      <c r="K490">
        <v>41.45</v>
      </c>
      <c r="L490">
        <v>41.94</v>
      </c>
    </row>
    <row r="491" spans="1:12">
      <c r="A491" s="136">
        <v>40171</v>
      </c>
      <c r="B491">
        <v>2267</v>
      </c>
      <c r="C491">
        <v>2230</v>
      </c>
      <c r="D491">
        <v>2278</v>
      </c>
      <c r="E491" s="136">
        <v>40171</v>
      </c>
      <c r="F491">
        <v>39.070999999999998</v>
      </c>
      <c r="G491">
        <v>38.923000000000002</v>
      </c>
      <c r="H491">
        <v>39.304000000000002</v>
      </c>
      <c r="I491" s="136">
        <v>40171</v>
      </c>
      <c r="J491">
        <v>41.68</v>
      </c>
      <c r="K491">
        <v>41.51</v>
      </c>
      <c r="L491">
        <v>41.89</v>
      </c>
    </row>
    <row r="492" spans="1:12">
      <c r="A492" s="136">
        <v>40172</v>
      </c>
      <c r="B492">
        <v>2267</v>
      </c>
      <c r="C492">
        <v>2230</v>
      </c>
      <c r="D492">
        <v>2278</v>
      </c>
      <c r="E492" s="136">
        <v>40172</v>
      </c>
      <c r="F492">
        <v>39.070999999999998</v>
      </c>
      <c r="G492">
        <v>38.923000000000002</v>
      </c>
      <c r="H492">
        <v>39.304000000000002</v>
      </c>
      <c r="I492" s="136">
        <v>40172</v>
      </c>
      <c r="J492">
        <v>41.68</v>
      </c>
      <c r="K492">
        <v>41.51</v>
      </c>
      <c r="L492">
        <v>41.89</v>
      </c>
    </row>
    <row r="493" spans="1:12">
      <c r="A493" s="136">
        <v>40173</v>
      </c>
      <c r="B493">
        <v>2267</v>
      </c>
      <c r="C493">
        <v>2230</v>
      </c>
      <c r="D493">
        <v>2278</v>
      </c>
      <c r="E493" s="136">
        <v>40173</v>
      </c>
      <c r="F493">
        <v>39.070999999999998</v>
      </c>
      <c r="G493">
        <v>38.923000000000002</v>
      </c>
      <c r="H493">
        <v>39.304000000000002</v>
      </c>
      <c r="I493" s="136">
        <v>40173</v>
      </c>
      <c r="J493">
        <v>41.68</v>
      </c>
      <c r="K493">
        <v>41.51</v>
      </c>
      <c r="L493">
        <v>41.89</v>
      </c>
    </row>
    <row r="494" spans="1:12">
      <c r="A494" s="136">
        <v>40174</v>
      </c>
      <c r="B494">
        <v>2267</v>
      </c>
      <c r="C494">
        <v>2230</v>
      </c>
      <c r="D494">
        <v>2278</v>
      </c>
      <c r="E494" s="136">
        <v>40174</v>
      </c>
      <c r="F494">
        <v>39.070999999999998</v>
      </c>
      <c r="G494">
        <v>38.923000000000002</v>
      </c>
      <c r="H494">
        <v>39.304000000000002</v>
      </c>
      <c r="I494" s="136">
        <v>40174</v>
      </c>
      <c r="J494">
        <v>41.68</v>
      </c>
      <c r="K494">
        <v>41.51</v>
      </c>
      <c r="L494">
        <v>41.89</v>
      </c>
    </row>
    <row r="495" spans="1:12">
      <c r="A495" s="136">
        <v>40175</v>
      </c>
      <c r="B495">
        <v>2267</v>
      </c>
      <c r="C495">
        <v>2230</v>
      </c>
      <c r="D495">
        <v>2278</v>
      </c>
      <c r="E495" s="136">
        <v>40175</v>
      </c>
      <c r="F495">
        <v>39.148000000000003</v>
      </c>
      <c r="G495">
        <v>39.148000000000003</v>
      </c>
      <c r="H495">
        <v>39.529000000000003</v>
      </c>
      <c r="I495" s="136">
        <v>40175</v>
      </c>
      <c r="J495">
        <v>41.85</v>
      </c>
      <c r="K495">
        <v>41.56</v>
      </c>
      <c r="L495">
        <v>42.13</v>
      </c>
    </row>
    <row r="496" spans="1:12">
      <c r="A496" s="136">
        <v>40176</v>
      </c>
      <c r="B496">
        <v>2270</v>
      </c>
      <c r="C496">
        <v>2263</v>
      </c>
      <c r="D496">
        <v>2283</v>
      </c>
      <c r="E496" s="136">
        <v>40176</v>
      </c>
      <c r="F496">
        <v>39.389000000000003</v>
      </c>
      <c r="G496">
        <v>39.11</v>
      </c>
      <c r="H496">
        <v>39.506</v>
      </c>
      <c r="I496" s="136">
        <v>40176</v>
      </c>
      <c r="J496">
        <v>41.73</v>
      </c>
      <c r="K496">
        <v>41.46</v>
      </c>
      <c r="L496">
        <v>41.8</v>
      </c>
    </row>
    <row r="497" spans="1:12">
      <c r="A497" s="136">
        <v>40177</v>
      </c>
      <c r="B497">
        <v>2273</v>
      </c>
      <c r="C497">
        <v>2237</v>
      </c>
      <c r="D497">
        <v>2289</v>
      </c>
      <c r="E497" s="136">
        <v>40177</v>
      </c>
      <c r="F497">
        <v>39.210999999999999</v>
      </c>
      <c r="G497">
        <v>38.262999999999998</v>
      </c>
      <c r="H497">
        <v>39.265000000000001</v>
      </c>
      <c r="I497" s="136">
        <v>40177</v>
      </c>
      <c r="J497">
        <v>41.27</v>
      </c>
      <c r="K497">
        <v>41.23</v>
      </c>
      <c r="L497">
        <v>41.62</v>
      </c>
    </row>
    <row r="498" spans="1:12">
      <c r="A498" s="136">
        <v>40178</v>
      </c>
      <c r="B498">
        <v>2255</v>
      </c>
      <c r="C498">
        <v>2224</v>
      </c>
      <c r="D498">
        <v>2274</v>
      </c>
      <c r="E498" s="136">
        <v>40178</v>
      </c>
      <c r="F498">
        <v>39.210999999999999</v>
      </c>
      <c r="G498">
        <v>38.262999999999998</v>
      </c>
      <c r="H498">
        <v>39.265000000000001</v>
      </c>
      <c r="I498" s="136">
        <v>40178</v>
      </c>
      <c r="J498">
        <v>41.62</v>
      </c>
      <c r="K498">
        <v>41.45</v>
      </c>
      <c r="L498">
        <v>42.13</v>
      </c>
    </row>
    <row r="499" spans="1:12">
      <c r="A499" s="136">
        <v>40179</v>
      </c>
      <c r="B499">
        <v>2255</v>
      </c>
      <c r="C499">
        <v>2224</v>
      </c>
      <c r="D499">
        <v>2274</v>
      </c>
      <c r="E499" s="136">
        <v>40179</v>
      </c>
      <c r="F499">
        <v>39.210999999999999</v>
      </c>
      <c r="G499">
        <v>38.262999999999998</v>
      </c>
      <c r="H499">
        <v>39.265000000000001</v>
      </c>
      <c r="I499" s="136">
        <v>40179</v>
      </c>
      <c r="J499">
        <v>41.62</v>
      </c>
      <c r="K499">
        <v>41.45</v>
      </c>
      <c r="L499">
        <v>42.13</v>
      </c>
    </row>
    <row r="500" spans="1:12">
      <c r="A500" s="136">
        <v>40180</v>
      </c>
      <c r="B500">
        <v>2255</v>
      </c>
      <c r="C500">
        <v>2224</v>
      </c>
      <c r="D500">
        <v>2274</v>
      </c>
      <c r="E500" s="136">
        <v>40180</v>
      </c>
      <c r="F500">
        <v>39.210999999999999</v>
      </c>
      <c r="G500">
        <v>38.262999999999998</v>
      </c>
      <c r="H500">
        <v>39.265000000000001</v>
      </c>
      <c r="I500" s="136">
        <v>40180</v>
      </c>
      <c r="J500">
        <v>41.62</v>
      </c>
      <c r="K500">
        <v>41.45</v>
      </c>
      <c r="L500">
        <v>42.13</v>
      </c>
    </row>
    <row r="501" spans="1:12">
      <c r="A501" s="136">
        <v>40181</v>
      </c>
      <c r="B501">
        <v>2255</v>
      </c>
      <c r="C501">
        <v>2224</v>
      </c>
      <c r="D501">
        <v>2274</v>
      </c>
      <c r="E501" s="136">
        <v>40181</v>
      </c>
      <c r="F501">
        <v>39.210999999999999</v>
      </c>
      <c r="G501">
        <v>38.262999999999998</v>
      </c>
      <c r="H501">
        <v>39.265000000000001</v>
      </c>
      <c r="I501" s="136">
        <v>40181</v>
      </c>
      <c r="J501">
        <v>41.62</v>
      </c>
      <c r="K501">
        <v>41.45</v>
      </c>
      <c r="L501">
        <v>42.13</v>
      </c>
    </row>
    <row r="502" spans="1:12">
      <c r="A502" s="136">
        <v>40182</v>
      </c>
      <c r="B502">
        <v>2248</v>
      </c>
      <c r="C502">
        <v>2240</v>
      </c>
      <c r="D502">
        <v>2278</v>
      </c>
      <c r="E502" s="136">
        <v>40182</v>
      </c>
      <c r="F502">
        <v>38.720999999999997</v>
      </c>
      <c r="G502">
        <v>38.716999999999999</v>
      </c>
      <c r="H502">
        <v>39.576000000000001</v>
      </c>
      <c r="I502" s="136">
        <v>40182</v>
      </c>
      <c r="J502">
        <v>41.79</v>
      </c>
      <c r="K502">
        <v>41.67</v>
      </c>
      <c r="L502">
        <v>42.99</v>
      </c>
    </row>
    <row r="503" spans="1:12">
      <c r="A503" s="136">
        <v>40183</v>
      </c>
      <c r="B503">
        <v>2272</v>
      </c>
      <c r="C503">
        <v>2267.5</v>
      </c>
      <c r="D503">
        <v>2306</v>
      </c>
      <c r="E503" s="136">
        <v>40183</v>
      </c>
      <c r="F503">
        <v>39.613999999999997</v>
      </c>
      <c r="G503">
        <v>39.335000000000001</v>
      </c>
      <c r="H503">
        <v>40.484000000000002</v>
      </c>
      <c r="I503" s="136">
        <v>40183</v>
      </c>
      <c r="J503">
        <v>42.79</v>
      </c>
      <c r="K503">
        <v>42.78</v>
      </c>
      <c r="L503">
        <v>43.84</v>
      </c>
    </row>
    <row r="504" spans="1:12">
      <c r="A504" s="136">
        <v>40184</v>
      </c>
      <c r="B504">
        <v>2299</v>
      </c>
      <c r="C504">
        <v>2298.75</v>
      </c>
      <c r="D504">
        <v>2394</v>
      </c>
      <c r="E504" s="136">
        <v>40184</v>
      </c>
      <c r="F504">
        <v>40.018000000000001</v>
      </c>
      <c r="G504">
        <v>39.031999999999996</v>
      </c>
      <c r="H504">
        <v>40.298000000000002</v>
      </c>
      <c r="I504" s="136">
        <v>40184</v>
      </c>
      <c r="J504">
        <v>43.45</v>
      </c>
      <c r="K504">
        <v>43.31</v>
      </c>
      <c r="L504">
        <v>44.09</v>
      </c>
    </row>
    <row r="505" spans="1:12">
      <c r="A505" s="136">
        <v>40185</v>
      </c>
      <c r="B505">
        <v>2370</v>
      </c>
      <c r="C505">
        <v>2307</v>
      </c>
      <c r="D505">
        <v>2388.75</v>
      </c>
      <c r="E505" s="136">
        <v>40185</v>
      </c>
      <c r="F505">
        <v>39.49</v>
      </c>
      <c r="G505">
        <v>39.210999999999999</v>
      </c>
      <c r="H505">
        <v>40.143000000000001</v>
      </c>
      <c r="I505" s="136">
        <v>40185</v>
      </c>
      <c r="J505">
        <v>43.79</v>
      </c>
      <c r="K505">
        <v>43.61</v>
      </c>
      <c r="L505">
        <v>45.12</v>
      </c>
    </row>
    <row r="506" spans="1:12">
      <c r="A506" s="136">
        <v>40186</v>
      </c>
      <c r="B506">
        <v>2313</v>
      </c>
      <c r="C506">
        <v>2275.25</v>
      </c>
      <c r="D506">
        <v>2323</v>
      </c>
      <c r="E506" s="136">
        <v>40186</v>
      </c>
      <c r="F506">
        <v>40.585000000000001</v>
      </c>
      <c r="G506">
        <v>40.585000000000001</v>
      </c>
      <c r="H506">
        <v>41.594999999999999</v>
      </c>
      <c r="I506" s="136">
        <v>40186</v>
      </c>
      <c r="J506">
        <v>44.37</v>
      </c>
      <c r="K506">
        <v>44.08</v>
      </c>
      <c r="L506">
        <v>44.7</v>
      </c>
    </row>
    <row r="507" spans="1:12">
      <c r="A507" s="136">
        <v>40187</v>
      </c>
      <c r="B507">
        <v>2313</v>
      </c>
      <c r="C507">
        <v>2275.25</v>
      </c>
      <c r="D507">
        <v>2323</v>
      </c>
      <c r="E507" s="136">
        <v>40187</v>
      </c>
      <c r="F507">
        <v>40.585000000000001</v>
      </c>
      <c r="G507">
        <v>40.585000000000001</v>
      </c>
      <c r="H507">
        <v>41.594999999999999</v>
      </c>
      <c r="I507" s="136">
        <v>40187</v>
      </c>
      <c r="J507">
        <v>44.37</v>
      </c>
      <c r="K507">
        <v>44.08</v>
      </c>
      <c r="L507">
        <v>44.7</v>
      </c>
    </row>
    <row r="508" spans="1:12">
      <c r="A508" s="136">
        <v>40188</v>
      </c>
      <c r="B508">
        <v>2313</v>
      </c>
      <c r="C508">
        <v>2275.25</v>
      </c>
      <c r="D508">
        <v>2323</v>
      </c>
      <c r="E508" s="136">
        <v>40188</v>
      </c>
      <c r="F508">
        <v>40.585000000000001</v>
      </c>
      <c r="G508">
        <v>40.585000000000001</v>
      </c>
      <c r="H508">
        <v>41.594999999999999</v>
      </c>
      <c r="I508" s="136">
        <v>40188</v>
      </c>
      <c r="J508">
        <v>44.37</v>
      </c>
      <c r="K508">
        <v>44.08</v>
      </c>
      <c r="L508">
        <v>44.7</v>
      </c>
    </row>
    <row r="509" spans="1:12">
      <c r="A509" s="136">
        <v>40189</v>
      </c>
      <c r="B509">
        <v>2310</v>
      </c>
      <c r="C509">
        <v>2309.75</v>
      </c>
      <c r="D509">
        <v>2362</v>
      </c>
      <c r="E509" s="136">
        <v>40189</v>
      </c>
      <c r="F509">
        <v>41.478999999999999</v>
      </c>
      <c r="G509">
        <v>40.648000000000003</v>
      </c>
      <c r="H509">
        <v>41.866999999999997</v>
      </c>
      <c r="I509" s="136">
        <v>40189</v>
      </c>
      <c r="J509">
        <v>45.12</v>
      </c>
      <c r="K509">
        <v>44.31</v>
      </c>
      <c r="L509">
        <v>45.19</v>
      </c>
    </row>
    <row r="510" spans="1:12">
      <c r="A510" s="136">
        <v>40190</v>
      </c>
      <c r="B510">
        <v>2337</v>
      </c>
      <c r="C510">
        <v>2255</v>
      </c>
      <c r="D510">
        <v>2344</v>
      </c>
      <c r="E510" s="136">
        <v>40190</v>
      </c>
      <c r="F510">
        <v>40.817999999999998</v>
      </c>
      <c r="G510">
        <v>39.466999999999999</v>
      </c>
      <c r="H510">
        <v>40.817999999999998</v>
      </c>
      <c r="I510" s="136">
        <v>40190</v>
      </c>
      <c r="J510">
        <v>43.99</v>
      </c>
      <c r="K510">
        <v>42.94</v>
      </c>
      <c r="L510">
        <v>44.15</v>
      </c>
    </row>
    <row r="511" spans="1:12">
      <c r="A511" s="136">
        <v>40191</v>
      </c>
      <c r="B511">
        <v>2260</v>
      </c>
      <c r="C511">
        <v>2230</v>
      </c>
      <c r="D511">
        <v>2318.8000000000002</v>
      </c>
      <c r="E511" s="136">
        <v>40191</v>
      </c>
      <c r="F511">
        <v>39.536999999999999</v>
      </c>
      <c r="G511">
        <v>38.651000000000003</v>
      </c>
      <c r="H511">
        <v>39.536999999999999</v>
      </c>
      <c r="I511" s="136">
        <v>40191</v>
      </c>
      <c r="J511">
        <v>43.55</v>
      </c>
      <c r="K511">
        <v>42.87</v>
      </c>
      <c r="L511">
        <v>44.53</v>
      </c>
    </row>
    <row r="512" spans="1:12">
      <c r="A512" s="136">
        <v>40192</v>
      </c>
      <c r="B512">
        <v>2310</v>
      </c>
      <c r="C512">
        <v>2288</v>
      </c>
      <c r="D512">
        <v>2367</v>
      </c>
      <c r="E512" s="136">
        <v>40192</v>
      </c>
      <c r="F512">
        <v>39.784999999999997</v>
      </c>
      <c r="G512">
        <v>39.024000000000001</v>
      </c>
      <c r="H512">
        <v>39.808999999999997</v>
      </c>
      <c r="I512" s="136">
        <v>40192</v>
      </c>
      <c r="J512">
        <v>44.2</v>
      </c>
      <c r="K512">
        <v>44.1</v>
      </c>
      <c r="L512">
        <v>44.79</v>
      </c>
    </row>
    <row r="513" spans="1:12">
      <c r="A513" s="136">
        <v>40193</v>
      </c>
      <c r="B513">
        <v>2334</v>
      </c>
      <c r="C513">
        <v>2300</v>
      </c>
      <c r="D513">
        <v>2337</v>
      </c>
      <c r="E513" s="136">
        <v>40193</v>
      </c>
      <c r="F513">
        <v>39.459000000000003</v>
      </c>
      <c r="G513">
        <v>36.216000000000001</v>
      </c>
      <c r="H513">
        <v>39.536999999999999</v>
      </c>
      <c r="I513" s="136">
        <v>40193</v>
      </c>
      <c r="J513">
        <v>44.3</v>
      </c>
      <c r="K513">
        <v>43.34</v>
      </c>
      <c r="L513">
        <v>44.43</v>
      </c>
    </row>
    <row r="514" spans="1:12">
      <c r="A514" s="136">
        <v>40194</v>
      </c>
      <c r="B514">
        <v>2334</v>
      </c>
      <c r="C514">
        <v>2300</v>
      </c>
      <c r="D514">
        <v>2337</v>
      </c>
      <c r="E514" s="136">
        <v>40194</v>
      </c>
      <c r="F514">
        <v>39.459000000000003</v>
      </c>
      <c r="G514">
        <v>36.216000000000001</v>
      </c>
      <c r="H514">
        <v>39.536999999999999</v>
      </c>
      <c r="I514" s="136">
        <v>40194</v>
      </c>
      <c r="J514">
        <v>44.3</v>
      </c>
      <c r="K514">
        <v>43.34</v>
      </c>
      <c r="L514">
        <v>44.43</v>
      </c>
    </row>
    <row r="515" spans="1:12">
      <c r="A515" s="136">
        <v>40195</v>
      </c>
      <c r="B515">
        <v>2334</v>
      </c>
      <c r="C515">
        <v>2300</v>
      </c>
      <c r="D515">
        <v>2337</v>
      </c>
      <c r="E515" s="136">
        <v>40195</v>
      </c>
      <c r="F515">
        <v>39.459000000000003</v>
      </c>
      <c r="G515">
        <v>36.216000000000001</v>
      </c>
      <c r="H515">
        <v>39.536999999999999</v>
      </c>
      <c r="I515" s="136">
        <v>40195</v>
      </c>
      <c r="J515">
        <v>44.3</v>
      </c>
      <c r="K515">
        <v>43.34</v>
      </c>
      <c r="L515">
        <v>44.43</v>
      </c>
    </row>
    <row r="516" spans="1:12">
      <c r="A516" s="136">
        <v>40196</v>
      </c>
      <c r="B516">
        <v>2310</v>
      </c>
      <c r="C516">
        <v>2298</v>
      </c>
      <c r="D516">
        <v>2329</v>
      </c>
      <c r="E516" s="136">
        <v>40196</v>
      </c>
      <c r="F516">
        <v>38.372</v>
      </c>
      <c r="G516">
        <v>37.362000000000002</v>
      </c>
      <c r="H516">
        <v>38.448999999999998</v>
      </c>
      <c r="I516" s="136">
        <v>40196</v>
      </c>
      <c r="J516">
        <v>44.3</v>
      </c>
      <c r="K516">
        <v>43.34</v>
      </c>
      <c r="L516">
        <v>44.43</v>
      </c>
    </row>
    <row r="517" spans="1:12">
      <c r="A517" s="136">
        <v>40197</v>
      </c>
      <c r="B517">
        <v>2315</v>
      </c>
      <c r="C517">
        <v>2262</v>
      </c>
      <c r="D517">
        <v>2329</v>
      </c>
      <c r="E517" s="136">
        <v>40197</v>
      </c>
      <c r="F517">
        <v>38.209000000000003</v>
      </c>
      <c r="G517">
        <v>37.106000000000002</v>
      </c>
      <c r="H517">
        <v>38.503999999999998</v>
      </c>
      <c r="I517" s="136">
        <v>40197</v>
      </c>
      <c r="J517">
        <v>43.4</v>
      </c>
      <c r="K517">
        <v>42.9</v>
      </c>
      <c r="L517">
        <v>43.75</v>
      </c>
    </row>
    <row r="518" spans="1:12">
      <c r="A518" s="136">
        <v>40198</v>
      </c>
      <c r="B518">
        <v>2310</v>
      </c>
      <c r="C518">
        <v>2242</v>
      </c>
      <c r="D518">
        <v>2312.75</v>
      </c>
      <c r="E518" s="136">
        <v>40198</v>
      </c>
      <c r="F518">
        <v>38.255000000000003</v>
      </c>
      <c r="G518">
        <v>37.276000000000003</v>
      </c>
      <c r="H518">
        <v>38.438000000000002</v>
      </c>
      <c r="I518" s="136">
        <v>40198</v>
      </c>
      <c r="J518">
        <v>43.01</v>
      </c>
      <c r="K518">
        <v>42.71</v>
      </c>
      <c r="L518">
        <v>43.68</v>
      </c>
    </row>
    <row r="519" spans="1:12">
      <c r="A519" s="136">
        <v>40199</v>
      </c>
      <c r="B519">
        <v>2262</v>
      </c>
      <c r="C519">
        <v>2218</v>
      </c>
      <c r="D519">
        <v>2284</v>
      </c>
      <c r="E519" s="136">
        <v>40199</v>
      </c>
      <c r="F519">
        <v>37.982999999999997</v>
      </c>
      <c r="G519">
        <v>36.173000000000002</v>
      </c>
      <c r="H519">
        <v>38.1</v>
      </c>
      <c r="I519" s="136">
        <v>40199</v>
      </c>
      <c r="J519">
        <v>43.04</v>
      </c>
      <c r="K519">
        <v>40.32</v>
      </c>
      <c r="L519">
        <v>43.15</v>
      </c>
    </row>
    <row r="520" spans="1:12">
      <c r="A520" s="136">
        <v>40200</v>
      </c>
      <c r="B520">
        <v>2242</v>
      </c>
      <c r="C520">
        <v>2195</v>
      </c>
      <c r="D520">
        <v>2248</v>
      </c>
      <c r="E520" s="136">
        <v>40200</v>
      </c>
      <c r="F520">
        <v>36.119</v>
      </c>
      <c r="G520">
        <v>31.170999999999999</v>
      </c>
      <c r="H520">
        <v>36.390999999999998</v>
      </c>
      <c r="I520" s="136">
        <v>40200</v>
      </c>
      <c r="J520">
        <v>40.65</v>
      </c>
      <c r="K520">
        <v>38.82</v>
      </c>
      <c r="L520">
        <v>41.195</v>
      </c>
    </row>
    <row r="521" spans="1:12">
      <c r="A521" s="136">
        <v>40201</v>
      </c>
      <c r="B521">
        <v>2242</v>
      </c>
      <c r="C521">
        <v>2195</v>
      </c>
      <c r="D521">
        <v>2248</v>
      </c>
      <c r="E521" s="136">
        <v>40201</v>
      </c>
      <c r="F521">
        <v>36.119</v>
      </c>
      <c r="G521">
        <v>31.170999999999999</v>
      </c>
      <c r="H521">
        <v>36.390999999999998</v>
      </c>
      <c r="I521" s="136">
        <v>40201</v>
      </c>
      <c r="J521">
        <v>40.65</v>
      </c>
      <c r="K521">
        <v>38.82</v>
      </c>
      <c r="L521">
        <v>41.195</v>
      </c>
    </row>
    <row r="522" spans="1:12">
      <c r="A522" s="136">
        <v>40202</v>
      </c>
      <c r="B522">
        <v>2242</v>
      </c>
      <c r="C522">
        <v>2195</v>
      </c>
      <c r="D522">
        <v>2248</v>
      </c>
      <c r="E522" s="136">
        <v>40202</v>
      </c>
      <c r="F522">
        <v>36.119</v>
      </c>
      <c r="G522">
        <v>31.170999999999999</v>
      </c>
      <c r="H522">
        <v>36.390999999999998</v>
      </c>
      <c r="I522" s="136">
        <v>40202</v>
      </c>
      <c r="J522">
        <v>40.65</v>
      </c>
      <c r="K522">
        <v>38.82</v>
      </c>
      <c r="L522">
        <v>41.195</v>
      </c>
    </row>
    <row r="523" spans="1:12">
      <c r="A523" s="136">
        <v>40203</v>
      </c>
      <c r="B523">
        <v>2245</v>
      </c>
      <c r="C523">
        <v>2224.75</v>
      </c>
      <c r="D523">
        <v>2262.5</v>
      </c>
      <c r="E523" s="136">
        <v>40203</v>
      </c>
      <c r="F523">
        <v>34.588999999999999</v>
      </c>
      <c r="G523">
        <v>34.325000000000003</v>
      </c>
      <c r="H523">
        <v>35.886000000000003</v>
      </c>
      <c r="I523" s="136">
        <v>40203</v>
      </c>
      <c r="J523">
        <v>39.76</v>
      </c>
      <c r="K523">
        <v>38.840499999999999</v>
      </c>
      <c r="L523">
        <v>39.89</v>
      </c>
    </row>
    <row r="524" spans="1:12">
      <c r="A524" s="136">
        <v>40204</v>
      </c>
      <c r="B524">
        <v>2240</v>
      </c>
      <c r="C524">
        <v>2205</v>
      </c>
      <c r="D524">
        <v>2240</v>
      </c>
      <c r="E524" s="136">
        <v>40204</v>
      </c>
      <c r="F524">
        <v>34.954000000000001</v>
      </c>
      <c r="G524">
        <v>33.982999999999997</v>
      </c>
      <c r="H524">
        <v>34.954000000000001</v>
      </c>
      <c r="I524" s="136">
        <v>40204</v>
      </c>
      <c r="J524">
        <v>39</v>
      </c>
      <c r="K524">
        <v>38.28</v>
      </c>
      <c r="L524">
        <v>39.835000000000001</v>
      </c>
    </row>
    <row r="525" spans="1:12">
      <c r="A525" s="136">
        <v>40205</v>
      </c>
      <c r="B525">
        <v>2224</v>
      </c>
      <c r="C525">
        <v>2146</v>
      </c>
      <c r="D525">
        <v>2229</v>
      </c>
      <c r="E525" s="136">
        <v>40205</v>
      </c>
      <c r="F525">
        <v>34.332999999999998</v>
      </c>
      <c r="G525">
        <v>33.439</v>
      </c>
      <c r="H525">
        <v>34.518999999999998</v>
      </c>
      <c r="I525" s="136">
        <v>40205</v>
      </c>
      <c r="J525">
        <v>38.35</v>
      </c>
      <c r="K525">
        <v>38.07</v>
      </c>
      <c r="L525">
        <v>39.49</v>
      </c>
    </row>
    <row r="526" spans="1:12">
      <c r="A526" s="136">
        <v>40206</v>
      </c>
      <c r="B526">
        <v>2155.25</v>
      </c>
      <c r="C526">
        <v>2086</v>
      </c>
      <c r="D526">
        <v>2172</v>
      </c>
      <c r="E526" s="136">
        <v>40206</v>
      </c>
      <c r="F526">
        <v>34.954000000000001</v>
      </c>
      <c r="G526">
        <v>33.944000000000003</v>
      </c>
      <c r="H526">
        <v>35.372999999999998</v>
      </c>
      <c r="I526" s="136">
        <v>40206</v>
      </c>
      <c r="J526">
        <v>39.68</v>
      </c>
      <c r="K526">
        <v>38.72</v>
      </c>
      <c r="L526">
        <v>40.04</v>
      </c>
    </row>
    <row r="527" spans="1:12">
      <c r="A527" s="136">
        <v>40207</v>
      </c>
      <c r="B527">
        <v>2101</v>
      </c>
      <c r="C527">
        <v>2069</v>
      </c>
      <c r="D527">
        <v>2118</v>
      </c>
      <c r="E527" s="136">
        <v>40207</v>
      </c>
      <c r="F527">
        <v>34.207999999999998</v>
      </c>
      <c r="G527">
        <v>33.944000000000003</v>
      </c>
      <c r="H527">
        <v>35.249000000000002</v>
      </c>
      <c r="I527" s="136">
        <v>40207</v>
      </c>
      <c r="J527">
        <v>39.65</v>
      </c>
      <c r="K527">
        <v>38.799999999999997</v>
      </c>
      <c r="L527">
        <v>39.85</v>
      </c>
    </row>
    <row r="528" spans="1:12">
      <c r="A528" s="136">
        <v>40208</v>
      </c>
      <c r="B528">
        <v>2101</v>
      </c>
      <c r="C528">
        <v>2069</v>
      </c>
      <c r="D528">
        <v>2118</v>
      </c>
      <c r="E528" s="136">
        <v>40208</v>
      </c>
      <c r="F528">
        <v>34.207999999999998</v>
      </c>
      <c r="G528">
        <v>33.944000000000003</v>
      </c>
      <c r="H528">
        <v>35.249000000000002</v>
      </c>
      <c r="I528" s="136">
        <v>40208</v>
      </c>
      <c r="J528">
        <v>39.65</v>
      </c>
      <c r="K528">
        <v>38.799999999999997</v>
      </c>
      <c r="L528">
        <v>39.85</v>
      </c>
    </row>
    <row r="529" spans="1:12">
      <c r="A529" s="136">
        <v>40209</v>
      </c>
      <c r="B529">
        <v>2101</v>
      </c>
      <c r="C529">
        <v>2069</v>
      </c>
      <c r="D529">
        <v>2118</v>
      </c>
      <c r="E529" s="136">
        <v>40209</v>
      </c>
      <c r="F529">
        <v>34.207999999999998</v>
      </c>
      <c r="G529">
        <v>33.944000000000003</v>
      </c>
      <c r="H529">
        <v>35.249000000000002</v>
      </c>
      <c r="I529" s="136">
        <v>40209</v>
      </c>
      <c r="J529">
        <v>39.65</v>
      </c>
      <c r="K529">
        <v>38.799999999999997</v>
      </c>
      <c r="L529">
        <v>39.85</v>
      </c>
    </row>
    <row r="530" spans="1:12">
      <c r="A530" s="136">
        <v>40210</v>
      </c>
      <c r="B530">
        <v>2086</v>
      </c>
      <c r="C530">
        <v>2061</v>
      </c>
      <c r="D530">
        <v>2099.75</v>
      </c>
      <c r="E530" s="136">
        <v>40210</v>
      </c>
      <c r="F530">
        <v>34.332999999999998</v>
      </c>
      <c r="G530">
        <v>34.216000000000001</v>
      </c>
      <c r="H530">
        <v>35.704000000000001</v>
      </c>
      <c r="I530" s="136">
        <v>40210</v>
      </c>
      <c r="J530">
        <v>39.1</v>
      </c>
      <c r="K530">
        <v>38.950000000000003</v>
      </c>
      <c r="L530">
        <v>39.93</v>
      </c>
    </row>
    <row r="531" spans="1:12">
      <c r="A531" s="136">
        <v>40211</v>
      </c>
      <c r="B531">
        <v>2094</v>
      </c>
      <c r="C531">
        <v>2072</v>
      </c>
      <c r="D531">
        <v>2128</v>
      </c>
      <c r="E531" s="136">
        <v>40211</v>
      </c>
      <c r="F531">
        <v>35.459000000000003</v>
      </c>
      <c r="G531">
        <v>35.28</v>
      </c>
      <c r="H531">
        <v>36.670999999999999</v>
      </c>
      <c r="I531" s="136">
        <v>40211</v>
      </c>
      <c r="J531">
        <v>39.799999999999997</v>
      </c>
      <c r="K531">
        <v>39.700000000000003</v>
      </c>
      <c r="L531">
        <v>40.68</v>
      </c>
    </row>
    <row r="532" spans="1:12">
      <c r="A532" s="136">
        <v>40212</v>
      </c>
      <c r="B532">
        <v>2126</v>
      </c>
      <c r="C532">
        <v>2075.5</v>
      </c>
      <c r="D532">
        <v>2155</v>
      </c>
      <c r="E532" s="136">
        <v>40212</v>
      </c>
      <c r="F532">
        <v>36.631999999999998</v>
      </c>
      <c r="G532">
        <v>35.502000000000002</v>
      </c>
      <c r="H532">
        <v>36.856999999999999</v>
      </c>
      <c r="I532" s="136">
        <v>40212</v>
      </c>
      <c r="J532">
        <v>40.58</v>
      </c>
      <c r="K532">
        <v>40.17</v>
      </c>
      <c r="L532">
        <v>41.1</v>
      </c>
    </row>
    <row r="533" spans="1:12">
      <c r="A533" s="136">
        <v>40213</v>
      </c>
      <c r="B533">
        <v>2085</v>
      </c>
      <c r="C533">
        <v>2032</v>
      </c>
      <c r="D533">
        <v>2099</v>
      </c>
      <c r="E533" s="136">
        <v>40213</v>
      </c>
      <c r="F533">
        <v>35.715000000000003</v>
      </c>
      <c r="G533">
        <v>33.991</v>
      </c>
      <c r="H533">
        <v>36.29</v>
      </c>
      <c r="I533" s="136">
        <v>40213</v>
      </c>
      <c r="J533">
        <v>39.79</v>
      </c>
      <c r="K533">
        <v>38.35</v>
      </c>
      <c r="L533">
        <v>39.92</v>
      </c>
    </row>
    <row r="534" spans="1:12">
      <c r="A534" s="136">
        <v>40214</v>
      </c>
      <c r="B534">
        <v>2048</v>
      </c>
      <c r="C534">
        <v>1967.5</v>
      </c>
      <c r="D534">
        <v>2049.75</v>
      </c>
      <c r="E534" s="136">
        <v>40214</v>
      </c>
      <c r="F534">
        <v>34.021999999999998</v>
      </c>
      <c r="G534">
        <v>32.863999999999997</v>
      </c>
      <c r="H534">
        <v>34.841000000000001</v>
      </c>
      <c r="I534" s="136">
        <v>40214</v>
      </c>
      <c r="J534">
        <v>38.64</v>
      </c>
      <c r="K534">
        <v>37.024999999999999</v>
      </c>
      <c r="L534">
        <v>38.880000000000003</v>
      </c>
    </row>
    <row r="535" spans="1:12">
      <c r="A535" s="136">
        <v>40215</v>
      </c>
      <c r="B535">
        <v>2048</v>
      </c>
      <c r="C535">
        <v>1967.5</v>
      </c>
      <c r="D535">
        <v>2049.75</v>
      </c>
      <c r="E535" s="136">
        <v>40215</v>
      </c>
      <c r="F535">
        <v>34.021999999999998</v>
      </c>
      <c r="G535">
        <v>32.863999999999997</v>
      </c>
      <c r="H535">
        <v>34.841000000000001</v>
      </c>
      <c r="I535" s="136">
        <v>40215</v>
      </c>
      <c r="J535">
        <v>38.64</v>
      </c>
      <c r="K535">
        <v>37.024999999999999</v>
      </c>
      <c r="L535">
        <v>38.880000000000003</v>
      </c>
    </row>
    <row r="536" spans="1:12">
      <c r="A536" s="136">
        <v>40216</v>
      </c>
      <c r="B536">
        <v>2048</v>
      </c>
      <c r="C536">
        <v>1967.5</v>
      </c>
      <c r="D536">
        <v>2049.75</v>
      </c>
      <c r="E536" s="136">
        <v>40216</v>
      </c>
      <c r="F536">
        <v>34.021999999999998</v>
      </c>
      <c r="G536">
        <v>32.863999999999997</v>
      </c>
      <c r="H536">
        <v>34.841000000000001</v>
      </c>
      <c r="I536" s="136">
        <v>40216</v>
      </c>
      <c r="J536">
        <v>38.64</v>
      </c>
      <c r="K536">
        <v>37.024999999999999</v>
      </c>
      <c r="L536">
        <v>38.880000000000003</v>
      </c>
    </row>
    <row r="537" spans="1:12">
      <c r="A537" s="136">
        <v>40217</v>
      </c>
      <c r="B537">
        <v>1998</v>
      </c>
      <c r="C537">
        <v>1985</v>
      </c>
      <c r="D537">
        <v>2020</v>
      </c>
      <c r="E537" s="136">
        <v>40217</v>
      </c>
      <c r="F537">
        <v>33.68</v>
      </c>
      <c r="G537">
        <v>33.055</v>
      </c>
      <c r="H537">
        <v>34.325000000000003</v>
      </c>
      <c r="I537" s="136">
        <v>40217</v>
      </c>
      <c r="J537">
        <v>38.29</v>
      </c>
      <c r="K537">
        <v>37.32</v>
      </c>
      <c r="L537">
        <v>38.29</v>
      </c>
    </row>
    <row r="538" spans="1:12">
      <c r="A538" s="136">
        <v>40218</v>
      </c>
      <c r="B538">
        <v>2014</v>
      </c>
      <c r="C538">
        <v>2006</v>
      </c>
      <c r="D538">
        <v>2075</v>
      </c>
      <c r="E538" s="136">
        <v>40218</v>
      </c>
      <c r="F538">
        <v>33.276000000000003</v>
      </c>
      <c r="G538">
        <v>33.090000000000003</v>
      </c>
      <c r="H538">
        <v>35.28</v>
      </c>
      <c r="I538" s="136">
        <v>40218</v>
      </c>
      <c r="J538">
        <v>38.19</v>
      </c>
      <c r="K538">
        <v>37.8399</v>
      </c>
      <c r="L538">
        <v>38.700000000000003</v>
      </c>
    </row>
    <row r="539" spans="1:12">
      <c r="A539" s="136">
        <v>40219</v>
      </c>
      <c r="B539">
        <v>2050</v>
      </c>
      <c r="C539">
        <v>2020</v>
      </c>
      <c r="D539">
        <v>2070</v>
      </c>
      <c r="E539" s="136">
        <v>40219</v>
      </c>
      <c r="F539">
        <v>35.341999999999999</v>
      </c>
      <c r="G539">
        <v>34.887999999999998</v>
      </c>
      <c r="H539">
        <v>35.866999999999997</v>
      </c>
      <c r="I539" s="136">
        <v>40219</v>
      </c>
      <c r="J539">
        <v>38.64</v>
      </c>
      <c r="K539">
        <v>38.520000000000003</v>
      </c>
      <c r="L539">
        <v>39.5</v>
      </c>
    </row>
    <row r="540" spans="1:12">
      <c r="A540" s="136">
        <v>40220</v>
      </c>
      <c r="B540">
        <v>2055</v>
      </c>
      <c r="C540">
        <v>2026.75</v>
      </c>
      <c r="D540">
        <v>2079.5</v>
      </c>
      <c r="E540" s="136">
        <v>40220</v>
      </c>
      <c r="F540">
        <v>35.622</v>
      </c>
      <c r="G540">
        <v>34.216000000000001</v>
      </c>
      <c r="H540">
        <v>35.968000000000004</v>
      </c>
      <c r="I540" s="136">
        <v>40220</v>
      </c>
      <c r="J540">
        <v>38.840000000000003</v>
      </c>
      <c r="K540">
        <v>38.36</v>
      </c>
      <c r="L540">
        <v>39.369999999999997</v>
      </c>
    </row>
    <row r="541" spans="1:12">
      <c r="A541" s="136">
        <v>40221</v>
      </c>
      <c r="B541">
        <v>2075</v>
      </c>
      <c r="C541">
        <v>2017</v>
      </c>
      <c r="D541">
        <v>2081.25</v>
      </c>
      <c r="E541" s="136">
        <v>40221</v>
      </c>
      <c r="F541">
        <v>35.104999999999997</v>
      </c>
      <c r="G541">
        <v>33.784999999999997</v>
      </c>
      <c r="H541">
        <v>35.109000000000002</v>
      </c>
      <c r="I541" s="136">
        <v>40221</v>
      </c>
      <c r="J541">
        <v>38.67</v>
      </c>
      <c r="K541">
        <v>38.36</v>
      </c>
      <c r="L541">
        <v>39.18</v>
      </c>
    </row>
    <row r="542" spans="1:12">
      <c r="A542" s="136">
        <v>40222</v>
      </c>
      <c r="B542">
        <v>2075</v>
      </c>
      <c r="C542">
        <v>2017</v>
      </c>
      <c r="D542">
        <v>2081.25</v>
      </c>
      <c r="E542" s="136">
        <v>40222</v>
      </c>
      <c r="F542">
        <v>35.104999999999997</v>
      </c>
      <c r="G542">
        <v>33.784999999999997</v>
      </c>
      <c r="H542">
        <v>35.109000000000002</v>
      </c>
      <c r="I542" s="136">
        <v>40222</v>
      </c>
      <c r="J542">
        <v>38.67</v>
      </c>
      <c r="K542">
        <v>38.36</v>
      </c>
      <c r="L542">
        <v>39.18</v>
      </c>
    </row>
    <row r="543" spans="1:12">
      <c r="A543" s="136">
        <v>40223</v>
      </c>
      <c r="B543">
        <v>2075</v>
      </c>
      <c r="C543">
        <v>2017</v>
      </c>
      <c r="D543">
        <v>2081.25</v>
      </c>
      <c r="E543" s="136">
        <v>40223</v>
      </c>
      <c r="F543">
        <v>35.104999999999997</v>
      </c>
      <c r="G543">
        <v>33.784999999999997</v>
      </c>
      <c r="H543">
        <v>35.109000000000002</v>
      </c>
      <c r="I543" s="136">
        <v>40223</v>
      </c>
      <c r="J543">
        <v>38.67</v>
      </c>
      <c r="K543">
        <v>38.36</v>
      </c>
      <c r="L543">
        <v>39.18</v>
      </c>
    </row>
    <row r="544" spans="1:12">
      <c r="A544" s="136">
        <v>40224</v>
      </c>
      <c r="B544">
        <v>2060</v>
      </c>
      <c r="C544">
        <v>2050</v>
      </c>
      <c r="D544">
        <v>2079</v>
      </c>
      <c r="E544" s="136">
        <v>40224</v>
      </c>
      <c r="F544">
        <v>34.332999999999998</v>
      </c>
      <c r="G544">
        <v>34.115000000000002</v>
      </c>
      <c r="H544">
        <v>34.628</v>
      </c>
      <c r="I544" s="136">
        <v>40224</v>
      </c>
      <c r="J544">
        <v>38.67</v>
      </c>
      <c r="K544">
        <v>38.36</v>
      </c>
      <c r="L544">
        <v>39.18</v>
      </c>
    </row>
    <row r="545" spans="1:12">
      <c r="A545" s="136">
        <v>40225</v>
      </c>
      <c r="B545">
        <v>2068</v>
      </c>
      <c r="C545">
        <v>2066</v>
      </c>
      <c r="D545">
        <v>2138</v>
      </c>
      <c r="E545" s="136">
        <v>40225</v>
      </c>
      <c r="F545">
        <v>34.856999999999999</v>
      </c>
      <c r="G545">
        <v>34.698</v>
      </c>
      <c r="H545">
        <v>35.731000000000002</v>
      </c>
      <c r="I545" s="136">
        <v>40225</v>
      </c>
      <c r="J545">
        <v>39.33</v>
      </c>
      <c r="K545">
        <v>38.75</v>
      </c>
      <c r="L545">
        <v>40.14</v>
      </c>
    </row>
    <row r="546" spans="1:12">
      <c r="A546" s="136">
        <v>40226</v>
      </c>
      <c r="B546">
        <v>2137</v>
      </c>
      <c r="C546">
        <v>2102</v>
      </c>
      <c r="D546">
        <v>2155</v>
      </c>
      <c r="E546" s="136">
        <v>40226</v>
      </c>
      <c r="F546">
        <v>36.040999999999997</v>
      </c>
      <c r="G546">
        <v>35.924999999999997</v>
      </c>
      <c r="H546">
        <v>36.904000000000003</v>
      </c>
      <c r="I546" s="136">
        <v>40226</v>
      </c>
      <c r="J546">
        <v>40.26</v>
      </c>
      <c r="K546">
        <v>39.76</v>
      </c>
      <c r="L546">
        <v>40.450000000000003</v>
      </c>
    </row>
    <row r="547" spans="1:12">
      <c r="A547" s="136">
        <v>40227</v>
      </c>
      <c r="B547">
        <v>2128.5</v>
      </c>
      <c r="C547">
        <v>2089</v>
      </c>
      <c r="D547">
        <v>2141</v>
      </c>
      <c r="E547" s="136">
        <v>40227</v>
      </c>
      <c r="F547">
        <v>36.267000000000003</v>
      </c>
      <c r="G547">
        <v>35.692</v>
      </c>
      <c r="H547">
        <v>37.198999999999998</v>
      </c>
      <c r="I547" s="136">
        <v>40227</v>
      </c>
      <c r="J547">
        <v>39.94</v>
      </c>
      <c r="K547">
        <v>39.770000000000003</v>
      </c>
      <c r="L547">
        <v>40.51</v>
      </c>
    </row>
    <row r="548" spans="1:12">
      <c r="A548" s="136">
        <v>40228</v>
      </c>
      <c r="B548">
        <v>2100</v>
      </c>
      <c r="C548">
        <v>2069.75</v>
      </c>
      <c r="D548">
        <v>2143.5</v>
      </c>
      <c r="E548" s="136">
        <v>40228</v>
      </c>
      <c r="F548">
        <v>36.040999999999997</v>
      </c>
      <c r="G548">
        <v>35.808</v>
      </c>
      <c r="H548">
        <v>37.261000000000003</v>
      </c>
      <c r="I548" s="136">
        <v>40228</v>
      </c>
      <c r="J548">
        <v>40.11</v>
      </c>
      <c r="K548">
        <v>39.9</v>
      </c>
      <c r="L548">
        <v>40.700000000000003</v>
      </c>
    </row>
    <row r="549" spans="1:12">
      <c r="A549" s="136">
        <v>40229</v>
      </c>
      <c r="B549">
        <v>2100</v>
      </c>
      <c r="C549">
        <v>2069.75</v>
      </c>
      <c r="D549">
        <v>2143.5</v>
      </c>
      <c r="E549" s="136">
        <v>40229</v>
      </c>
      <c r="F549">
        <v>36.040999999999997</v>
      </c>
      <c r="G549">
        <v>35.808</v>
      </c>
      <c r="H549">
        <v>37.261000000000003</v>
      </c>
      <c r="I549" s="136">
        <v>40229</v>
      </c>
      <c r="J549">
        <v>40.11</v>
      </c>
      <c r="K549">
        <v>39.9</v>
      </c>
      <c r="L549">
        <v>40.700000000000003</v>
      </c>
    </row>
    <row r="550" spans="1:12">
      <c r="A550" s="136">
        <v>40230</v>
      </c>
      <c r="B550">
        <v>2100</v>
      </c>
      <c r="C550">
        <v>2069.75</v>
      </c>
      <c r="D550">
        <v>2143.5</v>
      </c>
      <c r="E550" s="136">
        <v>40230</v>
      </c>
      <c r="F550">
        <v>36.040999999999997</v>
      </c>
      <c r="G550">
        <v>35.808</v>
      </c>
      <c r="H550">
        <v>37.261000000000003</v>
      </c>
      <c r="I550" s="136">
        <v>40230</v>
      </c>
      <c r="J550">
        <v>40.11</v>
      </c>
      <c r="K550">
        <v>39.9</v>
      </c>
      <c r="L550">
        <v>40.700000000000003</v>
      </c>
    </row>
    <row r="551" spans="1:12">
      <c r="A551" s="136">
        <v>40231</v>
      </c>
      <c r="B551">
        <v>2140</v>
      </c>
      <c r="C551">
        <v>2125</v>
      </c>
      <c r="D551">
        <v>2174</v>
      </c>
      <c r="E551" s="136">
        <v>40231</v>
      </c>
      <c r="F551">
        <v>37.369999999999997</v>
      </c>
      <c r="G551">
        <v>36.848999999999997</v>
      </c>
      <c r="H551">
        <v>37.517000000000003</v>
      </c>
      <c r="I551" s="136">
        <v>40231</v>
      </c>
      <c r="J551">
        <v>40.4</v>
      </c>
      <c r="K551">
        <v>40.25</v>
      </c>
      <c r="L551">
        <v>41.3</v>
      </c>
    </row>
    <row r="552" spans="1:12">
      <c r="A552" s="136">
        <v>40232</v>
      </c>
      <c r="B552">
        <v>2152</v>
      </c>
      <c r="C552">
        <v>2110</v>
      </c>
      <c r="D552">
        <v>2179</v>
      </c>
      <c r="E552" s="136">
        <v>40232</v>
      </c>
      <c r="F552">
        <v>37.051000000000002</v>
      </c>
      <c r="G552">
        <v>35.548000000000002</v>
      </c>
      <c r="H552">
        <v>37.362000000000002</v>
      </c>
      <c r="I552" s="136">
        <v>40232</v>
      </c>
      <c r="J552">
        <v>40.9</v>
      </c>
      <c r="K552">
        <v>39.76</v>
      </c>
      <c r="L552">
        <v>41.25</v>
      </c>
    </row>
    <row r="553" spans="1:12">
      <c r="A553" s="136">
        <v>40233</v>
      </c>
      <c r="B553">
        <v>2116.25</v>
      </c>
      <c r="C553">
        <v>2105</v>
      </c>
      <c r="D553">
        <v>2141.5</v>
      </c>
      <c r="E553" s="136">
        <v>40233</v>
      </c>
      <c r="F553">
        <v>35.816000000000003</v>
      </c>
      <c r="G553">
        <v>35.502000000000002</v>
      </c>
      <c r="H553">
        <v>36.387</v>
      </c>
      <c r="I553" s="136">
        <v>40233</v>
      </c>
      <c r="J553">
        <v>40.049999999999997</v>
      </c>
      <c r="K553">
        <v>40</v>
      </c>
      <c r="L553">
        <v>40.97</v>
      </c>
    </row>
    <row r="554" spans="1:12">
      <c r="A554" s="136">
        <v>40234</v>
      </c>
      <c r="B554">
        <v>2136</v>
      </c>
      <c r="C554">
        <v>2074.25</v>
      </c>
      <c r="D554">
        <v>2142</v>
      </c>
      <c r="E554" s="136">
        <v>40234</v>
      </c>
      <c r="F554">
        <v>35.808</v>
      </c>
      <c r="G554">
        <v>35.191000000000003</v>
      </c>
      <c r="H554">
        <v>36.5</v>
      </c>
      <c r="I554" s="136">
        <v>40234</v>
      </c>
      <c r="J554">
        <v>40.159999999999997</v>
      </c>
      <c r="K554">
        <v>39.700000000000003</v>
      </c>
      <c r="L554">
        <v>40.69</v>
      </c>
    </row>
    <row r="555" spans="1:12">
      <c r="A555" s="136">
        <v>40235</v>
      </c>
      <c r="B555">
        <v>2103</v>
      </c>
      <c r="C555">
        <v>2076.5</v>
      </c>
      <c r="D555">
        <v>2135</v>
      </c>
      <c r="E555" s="136">
        <v>40235</v>
      </c>
      <c r="F555">
        <v>35.613999999999997</v>
      </c>
      <c r="G555">
        <v>35.575000000000003</v>
      </c>
      <c r="H555">
        <v>36.387</v>
      </c>
      <c r="I555" s="136">
        <v>40235</v>
      </c>
      <c r="J555">
        <v>40.69</v>
      </c>
      <c r="K555">
        <v>40.6</v>
      </c>
      <c r="L555">
        <v>42.305</v>
      </c>
    </row>
    <row r="556" spans="1:12">
      <c r="A556" s="136">
        <v>40236</v>
      </c>
      <c r="B556">
        <v>2103</v>
      </c>
      <c r="C556">
        <v>2076.5</v>
      </c>
      <c r="D556">
        <v>2135</v>
      </c>
      <c r="E556" s="136">
        <v>40236</v>
      </c>
      <c r="F556">
        <v>35.613999999999997</v>
      </c>
      <c r="G556">
        <v>35.575000000000003</v>
      </c>
      <c r="H556">
        <v>36.387</v>
      </c>
      <c r="I556" s="136">
        <v>40236</v>
      </c>
      <c r="J556">
        <v>40.69</v>
      </c>
      <c r="K556">
        <v>40.6</v>
      </c>
      <c r="L556">
        <v>42.305</v>
      </c>
    </row>
    <row r="557" spans="1:12">
      <c r="A557" s="136">
        <v>40237</v>
      </c>
      <c r="B557">
        <v>2103</v>
      </c>
      <c r="C557">
        <v>2076.5</v>
      </c>
      <c r="D557">
        <v>2135</v>
      </c>
      <c r="E557" s="136">
        <v>40237</v>
      </c>
      <c r="F557">
        <v>35.613999999999997</v>
      </c>
      <c r="G557">
        <v>35.575000000000003</v>
      </c>
      <c r="H557">
        <v>36.387</v>
      </c>
      <c r="I557" s="136">
        <v>40237</v>
      </c>
      <c r="J557">
        <v>40.69</v>
      </c>
      <c r="K557">
        <v>40.6</v>
      </c>
      <c r="L557">
        <v>42.305</v>
      </c>
    </row>
    <row r="558" spans="1:12">
      <c r="A558" s="136">
        <v>40238</v>
      </c>
      <c r="B558">
        <v>2150</v>
      </c>
      <c r="C558">
        <v>2125</v>
      </c>
      <c r="D558">
        <v>2155</v>
      </c>
      <c r="E558" s="136">
        <v>40238</v>
      </c>
      <c r="F558">
        <v>36.817999999999998</v>
      </c>
      <c r="G558">
        <v>36.302</v>
      </c>
      <c r="H558">
        <v>37.094000000000001</v>
      </c>
      <c r="I558" s="136">
        <v>40238</v>
      </c>
      <c r="J558">
        <v>42.03</v>
      </c>
      <c r="K558">
        <v>41.41</v>
      </c>
      <c r="L558">
        <v>42.18</v>
      </c>
    </row>
    <row r="559" spans="1:12">
      <c r="A559" s="136">
        <v>40239</v>
      </c>
      <c r="B559">
        <v>2138</v>
      </c>
      <c r="C559">
        <v>2112</v>
      </c>
      <c r="D559">
        <v>2172</v>
      </c>
      <c r="E559" s="136">
        <v>40239</v>
      </c>
      <c r="F559">
        <v>36.935000000000002</v>
      </c>
      <c r="G559">
        <v>36.597000000000001</v>
      </c>
      <c r="H559">
        <v>37.512999999999998</v>
      </c>
      <c r="I559" s="136">
        <v>40239</v>
      </c>
      <c r="J559">
        <v>41.98</v>
      </c>
      <c r="K559">
        <v>41.361499999999999</v>
      </c>
      <c r="L559">
        <v>42.4</v>
      </c>
    </row>
    <row r="560" spans="1:12">
      <c r="A560" s="136">
        <v>40240</v>
      </c>
      <c r="B560">
        <v>2162</v>
      </c>
      <c r="C560">
        <v>2152.75</v>
      </c>
      <c r="D560">
        <v>2219</v>
      </c>
      <c r="E560" s="136">
        <v>40240</v>
      </c>
      <c r="F560">
        <v>36.942</v>
      </c>
      <c r="G560">
        <v>36.935000000000002</v>
      </c>
      <c r="H560">
        <v>38.061</v>
      </c>
      <c r="I560" s="136">
        <v>40240</v>
      </c>
      <c r="J560">
        <v>41.65</v>
      </c>
      <c r="K560">
        <v>41.34</v>
      </c>
      <c r="L560">
        <v>42.06</v>
      </c>
    </row>
    <row r="561" spans="1:12">
      <c r="A561" s="136">
        <v>40241</v>
      </c>
      <c r="B561">
        <v>2195</v>
      </c>
      <c r="C561">
        <v>2192</v>
      </c>
      <c r="D561">
        <v>2244</v>
      </c>
      <c r="E561" s="136">
        <v>40241</v>
      </c>
      <c r="F561">
        <v>37.594999999999999</v>
      </c>
      <c r="G561">
        <v>37.44</v>
      </c>
      <c r="H561">
        <v>39.031999999999996</v>
      </c>
      <c r="I561" s="136">
        <v>40241</v>
      </c>
      <c r="J561">
        <v>41.91</v>
      </c>
      <c r="K561">
        <v>41.66</v>
      </c>
      <c r="L561">
        <v>42.08</v>
      </c>
    </row>
    <row r="562" spans="1:12">
      <c r="A562" s="136">
        <v>40242</v>
      </c>
      <c r="B562">
        <v>2210</v>
      </c>
      <c r="C562">
        <v>2207</v>
      </c>
      <c r="D562">
        <v>2260</v>
      </c>
      <c r="E562" s="136">
        <v>40242</v>
      </c>
      <c r="F562">
        <v>38.682000000000002</v>
      </c>
      <c r="G562">
        <v>38.604999999999997</v>
      </c>
      <c r="H562">
        <v>39.576000000000001</v>
      </c>
      <c r="I562" s="136">
        <v>40242</v>
      </c>
      <c r="J562">
        <v>42.32</v>
      </c>
      <c r="K562">
        <v>42.19</v>
      </c>
      <c r="L562">
        <v>42.87</v>
      </c>
    </row>
    <row r="563" spans="1:12">
      <c r="A563" s="136">
        <v>40243</v>
      </c>
      <c r="B563">
        <v>2210</v>
      </c>
      <c r="C563">
        <v>2207</v>
      </c>
      <c r="D563">
        <v>2260</v>
      </c>
      <c r="E563" s="136">
        <v>40243</v>
      </c>
      <c r="F563">
        <v>38.682000000000002</v>
      </c>
      <c r="G563">
        <v>38.604999999999997</v>
      </c>
      <c r="H563">
        <v>39.576000000000001</v>
      </c>
      <c r="I563" s="136">
        <v>40243</v>
      </c>
      <c r="J563">
        <v>42.32</v>
      </c>
      <c r="K563">
        <v>42.19</v>
      </c>
      <c r="L563">
        <v>42.87</v>
      </c>
    </row>
    <row r="564" spans="1:12">
      <c r="A564" s="136">
        <v>40244</v>
      </c>
      <c r="B564">
        <v>2210</v>
      </c>
      <c r="C564">
        <v>2207</v>
      </c>
      <c r="D564">
        <v>2260</v>
      </c>
      <c r="E564" s="136">
        <v>40244</v>
      </c>
      <c r="F564">
        <v>38.682000000000002</v>
      </c>
      <c r="G564">
        <v>38.604999999999997</v>
      </c>
      <c r="H564">
        <v>39.576000000000001</v>
      </c>
      <c r="I564" s="136">
        <v>40244</v>
      </c>
      <c r="J564">
        <v>42.32</v>
      </c>
      <c r="K564">
        <v>42.19</v>
      </c>
      <c r="L564">
        <v>42.87</v>
      </c>
    </row>
    <row r="565" spans="1:12">
      <c r="A565" s="136">
        <v>40245</v>
      </c>
      <c r="B565">
        <v>2226</v>
      </c>
      <c r="C565">
        <v>2220</v>
      </c>
      <c r="D565">
        <v>2265</v>
      </c>
      <c r="E565" s="136">
        <v>40245</v>
      </c>
      <c r="F565">
        <v>39.613999999999997</v>
      </c>
      <c r="G565">
        <v>39.304000000000002</v>
      </c>
      <c r="H565">
        <v>39.840000000000003</v>
      </c>
      <c r="I565" s="136">
        <v>40245</v>
      </c>
      <c r="J565">
        <v>42.85</v>
      </c>
      <c r="K565">
        <v>42.47</v>
      </c>
      <c r="L565">
        <v>43.03</v>
      </c>
    </row>
    <row r="566" spans="1:12">
      <c r="A566" s="136">
        <v>40246</v>
      </c>
      <c r="B566">
        <v>2240</v>
      </c>
      <c r="C566">
        <v>2214.5</v>
      </c>
      <c r="D566">
        <v>2259.5</v>
      </c>
      <c r="E566" s="136">
        <v>40246</v>
      </c>
      <c r="F566">
        <v>39.396999999999998</v>
      </c>
      <c r="G566">
        <v>38.954000000000001</v>
      </c>
      <c r="H566">
        <v>40.026000000000003</v>
      </c>
      <c r="I566" s="136">
        <v>40246</v>
      </c>
      <c r="J566">
        <v>42.39</v>
      </c>
      <c r="K566">
        <v>42.05</v>
      </c>
      <c r="L566">
        <v>42.82</v>
      </c>
    </row>
    <row r="567" spans="1:12">
      <c r="A567" s="136">
        <v>40247</v>
      </c>
      <c r="B567">
        <v>2250</v>
      </c>
      <c r="C567">
        <v>2218</v>
      </c>
      <c r="D567">
        <v>2270</v>
      </c>
      <c r="E567" s="136">
        <v>40247</v>
      </c>
      <c r="F567">
        <v>39.770000000000003</v>
      </c>
      <c r="G567">
        <v>39.545000000000002</v>
      </c>
      <c r="H567">
        <v>40.515999999999998</v>
      </c>
      <c r="I567" s="136">
        <v>40247</v>
      </c>
      <c r="J567">
        <v>42.87</v>
      </c>
      <c r="K567">
        <v>42.81</v>
      </c>
      <c r="L567">
        <v>43.49</v>
      </c>
    </row>
    <row r="568" spans="1:12">
      <c r="A568" s="136">
        <v>40248</v>
      </c>
      <c r="B568">
        <v>2220</v>
      </c>
      <c r="C568">
        <v>2204</v>
      </c>
      <c r="D568">
        <v>2240</v>
      </c>
      <c r="E568" s="136">
        <v>40248</v>
      </c>
      <c r="F568">
        <v>40.042000000000002</v>
      </c>
      <c r="G568">
        <v>39.847000000000001</v>
      </c>
      <c r="H568">
        <v>40.732999999999997</v>
      </c>
      <c r="I568" s="136">
        <v>40248</v>
      </c>
      <c r="J568">
        <v>42.91</v>
      </c>
      <c r="K568">
        <v>42.8</v>
      </c>
      <c r="L568">
        <v>43.2</v>
      </c>
    </row>
    <row r="569" spans="1:12">
      <c r="A569" s="136">
        <v>40249</v>
      </c>
      <c r="B569">
        <v>2235</v>
      </c>
      <c r="C569">
        <v>2228.25</v>
      </c>
      <c r="D569">
        <v>2275</v>
      </c>
      <c r="E569" s="136">
        <v>40249</v>
      </c>
      <c r="F569">
        <v>40.741</v>
      </c>
      <c r="G569">
        <v>40.546999999999997</v>
      </c>
      <c r="H569">
        <v>41.844000000000001</v>
      </c>
      <c r="I569" s="136">
        <v>40249</v>
      </c>
      <c r="J569">
        <v>43.34</v>
      </c>
      <c r="K569">
        <v>42.85</v>
      </c>
      <c r="L569">
        <v>43.54</v>
      </c>
    </row>
    <row r="570" spans="1:12">
      <c r="A570" s="136">
        <v>40250</v>
      </c>
      <c r="B570">
        <v>2235</v>
      </c>
      <c r="C570">
        <v>2228.25</v>
      </c>
      <c r="D570">
        <v>2275</v>
      </c>
      <c r="E570" s="136">
        <v>40250</v>
      </c>
      <c r="F570">
        <v>40.741</v>
      </c>
      <c r="G570">
        <v>40.546999999999997</v>
      </c>
      <c r="H570">
        <v>41.844000000000001</v>
      </c>
      <c r="I570" s="136">
        <v>40250</v>
      </c>
      <c r="J570">
        <v>43.34</v>
      </c>
      <c r="K570">
        <v>42.85</v>
      </c>
      <c r="L570">
        <v>43.54</v>
      </c>
    </row>
    <row r="571" spans="1:12">
      <c r="A571" s="136">
        <v>40251</v>
      </c>
      <c r="B571">
        <v>2235</v>
      </c>
      <c r="C571">
        <v>2228.25</v>
      </c>
      <c r="D571">
        <v>2275</v>
      </c>
      <c r="E571" s="136">
        <v>40251</v>
      </c>
      <c r="F571">
        <v>40.741</v>
      </c>
      <c r="G571">
        <v>40.546999999999997</v>
      </c>
      <c r="H571">
        <v>41.844000000000001</v>
      </c>
      <c r="I571" s="136">
        <v>40251</v>
      </c>
      <c r="J571">
        <v>43.34</v>
      </c>
      <c r="K571">
        <v>42.85</v>
      </c>
      <c r="L571">
        <v>43.54</v>
      </c>
    </row>
    <row r="572" spans="1:12">
      <c r="A572" s="136">
        <v>40252</v>
      </c>
      <c r="B572">
        <v>2259</v>
      </c>
      <c r="C572">
        <v>2223</v>
      </c>
      <c r="D572">
        <v>2259</v>
      </c>
      <c r="E572" s="136">
        <v>40252</v>
      </c>
      <c r="F572">
        <v>40.701999999999998</v>
      </c>
      <c r="G572">
        <v>39.521000000000001</v>
      </c>
      <c r="H572">
        <v>41.448</v>
      </c>
      <c r="I572" s="136">
        <v>40252</v>
      </c>
      <c r="J572">
        <v>42.92</v>
      </c>
      <c r="K572">
        <v>42.6</v>
      </c>
      <c r="L572">
        <v>43.21</v>
      </c>
    </row>
    <row r="573" spans="1:12">
      <c r="A573" s="136">
        <v>40253</v>
      </c>
      <c r="B573">
        <v>2225</v>
      </c>
      <c r="C573">
        <v>2225</v>
      </c>
      <c r="D573">
        <v>2268</v>
      </c>
      <c r="E573" s="136">
        <v>40253</v>
      </c>
      <c r="F573">
        <v>41.012999999999998</v>
      </c>
      <c r="G573">
        <v>40.817999999999998</v>
      </c>
      <c r="H573">
        <v>41.945</v>
      </c>
      <c r="I573" s="136">
        <v>40253</v>
      </c>
      <c r="J573">
        <v>43.35</v>
      </c>
      <c r="K573">
        <v>42.69</v>
      </c>
      <c r="L573">
        <v>43.38</v>
      </c>
    </row>
    <row r="574" spans="1:12">
      <c r="A574" s="136">
        <v>40254</v>
      </c>
      <c r="B574">
        <v>2250</v>
      </c>
      <c r="C574">
        <v>2250</v>
      </c>
      <c r="D574">
        <v>2303</v>
      </c>
      <c r="E574" s="136">
        <v>40254</v>
      </c>
      <c r="F574">
        <v>42.177999999999997</v>
      </c>
      <c r="G574">
        <v>41.866999999999997</v>
      </c>
      <c r="H574">
        <v>42.643999999999998</v>
      </c>
      <c r="I574" s="136">
        <v>40254</v>
      </c>
      <c r="J574">
        <v>43.31</v>
      </c>
      <c r="K574">
        <v>43.265000000000001</v>
      </c>
      <c r="L574">
        <v>44.11</v>
      </c>
    </row>
    <row r="575" spans="1:12">
      <c r="A575" s="136">
        <v>40255</v>
      </c>
      <c r="B575">
        <v>2300</v>
      </c>
      <c r="C575">
        <v>2273.5</v>
      </c>
      <c r="D575">
        <v>2300</v>
      </c>
      <c r="E575" s="136">
        <v>40255</v>
      </c>
      <c r="F575">
        <v>42.395000000000003</v>
      </c>
      <c r="G575">
        <v>41.875</v>
      </c>
      <c r="H575">
        <v>42.503999999999998</v>
      </c>
      <c r="I575" s="136">
        <v>40255</v>
      </c>
      <c r="J575">
        <v>43.75</v>
      </c>
      <c r="K575">
        <v>43.15</v>
      </c>
      <c r="L575">
        <v>43.79</v>
      </c>
    </row>
    <row r="576" spans="1:12">
      <c r="A576" s="136">
        <v>40256</v>
      </c>
      <c r="B576">
        <v>2275</v>
      </c>
      <c r="C576">
        <v>2247</v>
      </c>
      <c r="D576">
        <v>2284</v>
      </c>
      <c r="E576" s="136">
        <v>40256</v>
      </c>
      <c r="F576">
        <v>42.201000000000001</v>
      </c>
      <c r="G576">
        <v>41.765999999999998</v>
      </c>
      <c r="H576">
        <v>42.720999999999997</v>
      </c>
      <c r="I576" s="136">
        <v>40256</v>
      </c>
      <c r="J576">
        <v>43.72</v>
      </c>
      <c r="K576">
        <v>43.13</v>
      </c>
      <c r="L576">
        <v>43.89</v>
      </c>
    </row>
    <row r="577" spans="1:12">
      <c r="A577" s="136">
        <v>40257</v>
      </c>
      <c r="B577">
        <v>2275</v>
      </c>
      <c r="C577">
        <v>2247</v>
      </c>
      <c r="D577">
        <v>2284</v>
      </c>
      <c r="E577" s="136">
        <v>40257</v>
      </c>
      <c r="F577">
        <v>42.201000000000001</v>
      </c>
      <c r="G577">
        <v>41.765999999999998</v>
      </c>
      <c r="H577">
        <v>42.720999999999997</v>
      </c>
      <c r="I577" s="136">
        <v>40257</v>
      </c>
      <c r="J577">
        <v>43.72</v>
      </c>
      <c r="K577">
        <v>43.13</v>
      </c>
      <c r="L577">
        <v>43.89</v>
      </c>
    </row>
    <row r="578" spans="1:12">
      <c r="A578" s="136">
        <v>40258</v>
      </c>
      <c r="B578">
        <v>2275</v>
      </c>
      <c r="C578">
        <v>2247</v>
      </c>
      <c r="D578">
        <v>2284</v>
      </c>
      <c r="E578" s="136">
        <v>40258</v>
      </c>
      <c r="F578">
        <v>42.201000000000001</v>
      </c>
      <c r="G578">
        <v>41.765999999999998</v>
      </c>
      <c r="H578">
        <v>42.720999999999997</v>
      </c>
      <c r="I578" s="136">
        <v>40258</v>
      </c>
      <c r="J578">
        <v>43.72</v>
      </c>
      <c r="K578">
        <v>43.13</v>
      </c>
      <c r="L578">
        <v>43.89</v>
      </c>
    </row>
    <row r="579" spans="1:12">
      <c r="A579" s="136">
        <v>40259</v>
      </c>
      <c r="B579">
        <v>2263</v>
      </c>
      <c r="C579">
        <v>2221</v>
      </c>
      <c r="D579">
        <v>2264</v>
      </c>
      <c r="E579" s="136">
        <v>40259</v>
      </c>
      <c r="F579">
        <v>41.323</v>
      </c>
      <c r="G579">
        <v>40.966000000000001</v>
      </c>
      <c r="H579">
        <v>42.1</v>
      </c>
      <c r="I579" s="136">
        <v>40259</v>
      </c>
      <c r="J579">
        <v>43.07</v>
      </c>
      <c r="K579">
        <v>43.04</v>
      </c>
      <c r="L579">
        <v>43.79</v>
      </c>
    </row>
    <row r="580" spans="1:12">
      <c r="A580" s="136">
        <v>40260</v>
      </c>
      <c r="B580">
        <v>2263</v>
      </c>
      <c r="C580">
        <v>2235.25</v>
      </c>
      <c r="D580">
        <v>2279.25</v>
      </c>
      <c r="E580" s="136">
        <v>40260</v>
      </c>
      <c r="F580">
        <v>41.859000000000002</v>
      </c>
      <c r="G580">
        <v>41.82</v>
      </c>
      <c r="H580">
        <v>42.512</v>
      </c>
      <c r="I580" s="136">
        <v>40260</v>
      </c>
      <c r="J580">
        <v>43.85</v>
      </c>
      <c r="K580">
        <v>43.78</v>
      </c>
      <c r="L580">
        <v>44.74</v>
      </c>
    </row>
    <row r="581" spans="1:12">
      <c r="A581" s="136">
        <v>40261</v>
      </c>
      <c r="B581">
        <v>2238</v>
      </c>
      <c r="C581">
        <v>2190</v>
      </c>
      <c r="D581">
        <v>2257</v>
      </c>
      <c r="E581" s="136">
        <v>40261</v>
      </c>
      <c r="F581">
        <v>42.411000000000001</v>
      </c>
      <c r="G581">
        <v>42.037999999999997</v>
      </c>
      <c r="H581">
        <v>43.11</v>
      </c>
      <c r="I581" s="136">
        <v>40261</v>
      </c>
      <c r="J581">
        <v>44.44</v>
      </c>
      <c r="K581">
        <v>44.2</v>
      </c>
      <c r="L581">
        <v>44.97</v>
      </c>
    </row>
    <row r="582" spans="1:12">
      <c r="A582" s="136">
        <v>40262</v>
      </c>
      <c r="B582">
        <v>2190.5</v>
      </c>
      <c r="C582">
        <v>2190.5</v>
      </c>
      <c r="D582">
        <v>2225</v>
      </c>
      <c r="E582" s="136">
        <v>40262</v>
      </c>
      <c r="F582">
        <v>42.83</v>
      </c>
      <c r="G582">
        <v>42.807000000000002</v>
      </c>
      <c r="H582">
        <v>44.600999999999999</v>
      </c>
      <c r="I582" s="136">
        <v>40262</v>
      </c>
      <c r="J582">
        <v>44.98</v>
      </c>
      <c r="K582">
        <v>44.89</v>
      </c>
      <c r="L582">
        <v>46.05</v>
      </c>
    </row>
    <row r="583" spans="1:12">
      <c r="A583" s="136">
        <v>40263</v>
      </c>
      <c r="B583">
        <v>2207</v>
      </c>
      <c r="C583">
        <v>2207</v>
      </c>
      <c r="D583">
        <v>2242</v>
      </c>
      <c r="E583" s="136">
        <v>40263</v>
      </c>
      <c r="F583">
        <v>44.057000000000002</v>
      </c>
      <c r="G583">
        <v>44.057000000000002</v>
      </c>
      <c r="H583">
        <v>45.222999999999999</v>
      </c>
      <c r="I583" s="136">
        <v>40263</v>
      </c>
      <c r="J583">
        <v>45.04</v>
      </c>
      <c r="K583">
        <v>44.795000000000002</v>
      </c>
      <c r="L583">
        <v>45.89</v>
      </c>
    </row>
    <row r="584" spans="1:12">
      <c r="A584" s="136">
        <v>40264</v>
      </c>
      <c r="B584">
        <v>2207</v>
      </c>
      <c r="C584">
        <v>2207</v>
      </c>
      <c r="D584">
        <v>2242</v>
      </c>
      <c r="E584" s="136">
        <v>40264</v>
      </c>
      <c r="F584">
        <v>44.057000000000002</v>
      </c>
      <c r="G584">
        <v>44.057000000000002</v>
      </c>
      <c r="H584">
        <v>45.222999999999999</v>
      </c>
      <c r="I584" s="136">
        <v>40264</v>
      </c>
      <c r="J584">
        <v>45.04</v>
      </c>
      <c r="K584">
        <v>44.795000000000002</v>
      </c>
      <c r="L584">
        <v>45.89</v>
      </c>
    </row>
    <row r="585" spans="1:12">
      <c r="A585" s="136">
        <v>40265</v>
      </c>
      <c r="B585">
        <v>2207</v>
      </c>
      <c r="C585">
        <v>2207</v>
      </c>
      <c r="D585">
        <v>2242</v>
      </c>
      <c r="E585" s="136">
        <v>40265</v>
      </c>
      <c r="F585">
        <v>44.057000000000002</v>
      </c>
      <c r="G585">
        <v>44.057000000000002</v>
      </c>
      <c r="H585">
        <v>45.222999999999999</v>
      </c>
      <c r="I585" s="136">
        <v>40265</v>
      </c>
      <c r="J585">
        <v>45.04</v>
      </c>
      <c r="K585">
        <v>44.795000000000002</v>
      </c>
      <c r="L585">
        <v>45.89</v>
      </c>
    </row>
    <row r="586" spans="1:12">
      <c r="A586" s="136">
        <v>40266</v>
      </c>
      <c r="B586">
        <v>2230</v>
      </c>
      <c r="C586">
        <v>2230</v>
      </c>
      <c r="D586">
        <v>2290</v>
      </c>
      <c r="E586" s="136">
        <v>40266</v>
      </c>
      <c r="F586">
        <v>45.091000000000001</v>
      </c>
      <c r="G586">
        <v>44.392000000000003</v>
      </c>
      <c r="H586">
        <v>45.378</v>
      </c>
      <c r="I586" s="136">
        <v>40266</v>
      </c>
      <c r="J586">
        <v>45.25</v>
      </c>
      <c r="K586">
        <v>44.46</v>
      </c>
      <c r="L586">
        <v>45.38</v>
      </c>
    </row>
    <row r="587" spans="1:12">
      <c r="A587" s="136">
        <v>40267</v>
      </c>
      <c r="B587">
        <v>2285</v>
      </c>
      <c r="C587">
        <v>2275</v>
      </c>
      <c r="D587">
        <v>2314.5</v>
      </c>
      <c r="E587" s="136">
        <v>40267</v>
      </c>
      <c r="F587">
        <v>45.238</v>
      </c>
      <c r="G587">
        <v>44.701999999999998</v>
      </c>
      <c r="H587">
        <v>45.914000000000001</v>
      </c>
      <c r="I587" s="136">
        <v>40267</v>
      </c>
      <c r="J587">
        <v>44.9</v>
      </c>
      <c r="K587">
        <v>44.357500000000002</v>
      </c>
      <c r="L587">
        <v>45.05</v>
      </c>
    </row>
    <row r="588" spans="1:12">
      <c r="A588" s="136">
        <v>40268</v>
      </c>
      <c r="B588">
        <v>2286</v>
      </c>
      <c r="C588">
        <v>2282</v>
      </c>
      <c r="D588">
        <v>2343</v>
      </c>
      <c r="E588" s="136">
        <v>40268</v>
      </c>
      <c r="F588">
        <v>44.826000000000001</v>
      </c>
      <c r="G588">
        <v>43.584000000000003</v>
      </c>
      <c r="H588">
        <v>45.005000000000003</v>
      </c>
      <c r="I588" s="136">
        <v>40268</v>
      </c>
      <c r="J588">
        <v>44.31</v>
      </c>
      <c r="K588">
        <v>44.25</v>
      </c>
      <c r="L588">
        <v>45</v>
      </c>
    </row>
    <row r="589" spans="1:12">
      <c r="A589" s="136">
        <v>40269</v>
      </c>
      <c r="B589">
        <v>2325</v>
      </c>
      <c r="C589">
        <v>2313</v>
      </c>
      <c r="D589">
        <v>2366</v>
      </c>
      <c r="E589" s="136">
        <v>40269</v>
      </c>
      <c r="F589">
        <v>44.445999999999998</v>
      </c>
      <c r="G589">
        <v>44.399000000000001</v>
      </c>
      <c r="H589">
        <v>45.128999999999998</v>
      </c>
      <c r="I589" s="136">
        <v>40269</v>
      </c>
      <c r="J589">
        <v>45.03</v>
      </c>
      <c r="K589">
        <v>44.99</v>
      </c>
      <c r="L589">
        <v>45.31</v>
      </c>
    </row>
    <row r="590" spans="1:12">
      <c r="A590" s="136">
        <v>40270</v>
      </c>
      <c r="B590">
        <v>2325</v>
      </c>
      <c r="C590">
        <v>2313</v>
      </c>
      <c r="D590">
        <v>2366</v>
      </c>
      <c r="E590" s="136">
        <v>40270</v>
      </c>
      <c r="F590">
        <v>44.445999999999998</v>
      </c>
      <c r="G590">
        <v>44.399000000000001</v>
      </c>
      <c r="H590">
        <v>45.128999999999998</v>
      </c>
      <c r="I590" s="136">
        <v>40270</v>
      </c>
      <c r="J590">
        <v>45.03</v>
      </c>
      <c r="K590">
        <v>44.99</v>
      </c>
      <c r="L590">
        <v>45.31</v>
      </c>
    </row>
    <row r="591" spans="1:12">
      <c r="A591" s="136">
        <v>40271</v>
      </c>
      <c r="B591">
        <v>2325</v>
      </c>
      <c r="C591">
        <v>2313</v>
      </c>
      <c r="D591">
        <v>2366</v>
      </c>
      <c r="E591" s="136">
        <v>40271</v>
      </c>
      <c r="F591">
        <v>44.445999999999998</v>
      </c>
      <c r="G591">
        <v>44.399000000000001</v>
      </c>
      <c r="H591">
        <v>45.128999999999998</v>
      </c>
      <c r="I591" s="136">
        <v>40271</v>
      </c>
      <c r="J591">
        <v>45.03</v>
      </c>
      <c r="K591">
        <v>44.99</v>
      </c>
      <c r="L591">
        <v>45.31</v>
      </c>
    </row>
    <row r="592" spans="1:12">
      <c r="A592" s="136">
        <v>40272</v>
      </c>
      <c r="B592">
        <v>2325</v>
      </c>
      <c r="C592">
        <v>2313</v>
      </c>
      <c r="D592">
        <v>2366</v>
      </c>
      <c r="E592" s="136">
        <v>40272</v>
      </c>
      <c r="F592">
        <v>44.445999999999998</v>
      </c>
      <c r="G592">
        <v>44.399000000000001</v>
      </c>
      <c r="H592">
        <v>45.128999999999998</v>
      </c>
      <c r="I592" s="136">
        <v>40272</v>
      </c>
      <c r="J592">
        <v>45.03</v>
      </c>
      <c r="K592">
        <v>44.99</v>
      </c>
      <c r="L592">
        <v>45.31</v>
      </c>
    </row>
    <row r="593" spans="1:12">
      <c r="A593" s="136">
        <v>40273</v>
      </c>
      <c r="B593">
        <v>2325</v>
      </c>
      <c r="C593">
        <v>2313</v>
      </c>
      <c r="D593">
        <v>2366</v>
      </c>
      <c r="E593" s="136">
        <v>40273</v>
      </c>
      <c r="F593">
        <v>44.445999999999998</v>
      </c>
      <c r="G593">
        <v>44.399000000000001</v>
      </c>
      <c r="H593">
        <v>45.128999999999998</v>
      </c>
      <c r="I593" s="136">
        <v>40273</v>
      </c>
      <c r="J593">
        <v>45.28</v>
      </c>
      <c r="K593">
        <v>44.79</v>
      </c>
      <c r="L593">
        <v>45.4</v>
      </c>
    </row>
    <row r="594" spans="1:12">
      <c r="A594" s="136">
        <v>40274</v>
      </c>
      <c r="B594">
        <v>2366</v>
      </c>
      <c r="C594">
        <v>2340</v>
      </c>
      <c r="D594">
        <v>2375</v>
      </c>
      <c r="E594" s="136">
        <v>40274</v>
      </c>
      <c r="F594">
        <v>45.128999999999998</v>
      </c>
      <c r="G594">
        <v>44.476999999999997</v>
      </c>
      <c r="H594">
        <v>45.470999999999997</v>
      </c>
      <c r="I594" s="136">
        <v>40274</v>
      </c>
      <c r="J594">
        <v>45.23</v>
      </c>
      <c r="K594">
        <v>45.15</v>
      </c>
      <c r="L594">
        <v>45.94</v>
      </c>
    </row>
    <row r="595" spans="1:12">
      <c r="A595" s="136">
        <v>40275</v>
      </c>
      <c r="B595">
        <v>2357</v>
      </c>
      <c r="C595">
        <v>2342</v>
      </c>
      <c r="D595">
        <v>2373</v>
      </c>
      <c r="E595" s="136">
        <v>40275</v>
      </c>
      <c r="F595">
        <v>45.075000000000003</v>
      </c>
      <c r="G595">
        <v>44.283000000000001</v>
      </c>
      <c r="H595">
        <v>45.16</v>
      </c>
      <c r="I595" s="136">
        <v>40275</v>
      </c>
      <c r="J595">
        <v>45.83</v>
      </c>
      <c r="K595">
        <v>45.02</v>
      </c>
      <c r="L595">
        <v>46.046700000000001</v>
      </c>
    </row>
    <row r="596" spans="1:12">
      <c r="A596" s="136">
        <v>40276</v>
      </c>
      <c r="B596">
        <v>2350</v>
      </c>
      <c r="C596">
        <v>2319</v>
      </c>
      <c r="D596">
        <v>2365</v>
      </c>
      <c r="E596" s="136">
        <v>40276</v>
      </c>
      <c r="F596">
        <v>44.182000000000002</v>
      </c>
      <c r="G596">
        <v>42.783999999999999</v>
      </c>
      <c r="H596">
        <v>44.305999999999997</v>
      </c>
      <c r="I596" s="136">
        <v>40276</v>
      </c>
      <c r="J596">
        <v>45.16</v>
      </c>
      <c r="K596">
        <v>44.81</v>
      </c>
      <c r="L596">
        <v>45.97</v>
      </c>
    </row>
    <row r="597" spans="1:12">
      <c r="A597" s="136">
        <v>40277</v>
      </c>
      <c r="B597">
        <v>2362</v>
      </c>
      <c r="C597">
        <v>2362</v>
      </c>
      <c r="D597">
        <v>2413</v>
      </c>
      <c r="E597" s="136">
        <v>40277</v>
      </c>
      <c r="F597">
        <v>44.12</v>
      </c>
      <c r="G597">
        <v>44.042000000000002</v>
      </c>
      <c r="H597">
        <v>45.137</v>
      </c>
      <c r="I597" s="136">
        <v>40277</v>
      </c>
      <c r="J597">
        <v>45.88</v>
      </c>
      <c r="K597">
        <v>45.45</v>
      </c>
      <c r="L597">
        <v>46.22</v>
      </c>
    </row>
    <row r="598" spans="1:12">
      <c r="A598" s="136">
        <v>40278</v>
      </c>
      <c r="B598">
        <v>2362</v>
      </c>
      <c r="C598">
        <v>2362</v>
      </c>
      <c r="D598">
        <v>2413</v>
      </c>
      <c r="E598" s="136">
        <v>40278</v>
      </c>
      <c r="F598">
        <v>44.12</v>
      </c>
      <c r="G598">
        <v>44.042000000000002</v>
      </c>
      <c r="H598">
        <v>45.137</v>
      </c>
      <c r="I598" s="136">
        <v>40278</v>
      </c>
      <c r="J598">
        <v>45.88</v>
      </c>
      <c r="K598">
        <v>45.45</v>
      </c>
      <c r="L598">
        <v>46.22</v>
      </c>
    </row>
    <row r="599" spans="1:12">
      <c r="A599" s="136">
        <v>40279</v>
      </c>
      <c r="B599">
        <v>2362</v>
      </c>
      <c r="C599">
        <v>2362</v>
      </c>
      <c r="D599">
        <v>2413</v>
      </c>
      <c r="E599" s="136">
        <v>40279</v>
      </c>
      <c r="F599">
        <v>44.12</v>
      </c>
      <c r="G599">
        <v>44.042000000000002</v>
      </c>
      <c r="H599">
        <v>45.137</v>
      </c>
      <c r="I599" s="136">
        <v>40279</v>
      </c>
      <c r="J599">
        <v>45.88</v>
      </c>
      <c r="K599">
        <v>45.45</v>
      </c>
      <c r="L599">
        <v>46.22</v>
      </c>
    </row>
    <row r="600" spans="1:12">
      <c r="A600" s="136">
        <v>40280</v>
      </c>
      <c r="B600">
        <v>2415</v>
      </c>
      <c r="C600">
        <v>2405</v>
      </c>
      <c r="D600">
        <v>2431</v>
      </c>
      <c r="E600" s="136">
        <v>40280</v>
      </c>
      <c r="F600">
        <v>45.58</v>
      </c>
      <c r="G600">
        <v>45.137</v>
      </c>
      <c r="H600">
        <v>45.953000000000003</v>
      </c>
      <c r="I600" s="136">
        <v>40280</v>
      </c>
      <c r="J600">
        <v>46.03</v>
      </c>
      <c r="K600">
        <v>45.9</v>
      </c>
      <c r="L600">
        <v>46.47</v>
      </c>
    </row>
    <row r="601" spans="1:12">
      <c r="A601" s="136">
        <v>40281</v>
      </c>
      <c r="B601">
        <v>2415</v>
      </c>
      <c r="C601">
        <v>2385</v>
      </c>
      <c r="D601">
        <v>2447</v>
      </c>
      <c r="E601" s="136">
        <v>40281</v>
      </c>
      <c r="F601">
        <v>44.935000000000002</v>
      </c>
      <c r="G601">
        <v>44.625</v>
      </c>
      <c r="H601">
        <v>45.246000000000002</v>
      </c>
      <c r="I601" s="136">
        <v>40281</v>
      </c>
      <c r="J601">
        <v>46.04</v>
      </c>
      <c r="K601">
        <v>45.85</v>
      </c>
      <c r="L601">
        <v>46.38</v>
      </c>
    </row>
    <row r="602" spans="1:12">
      <c r="A602" s="136">
        <v>40282</v>
      </c>
      <c r="B602">
        <v>2445</v>
      </c>
      <c r="C602">
        <v>2440</v>
      </c>
      <c r="D602">
        <v>2471</v>
      </c>
      <c r="E602" s="136">
        <v>40282</v>
      </c>
      <c r="F602">
        <v>45.207000000000001</v>
      </c>
      <c r="G602">
        <v>44.896000000000001</v>
      </c>
      <c r="H602">
        <v>46.558999999999997</v>
      </c>
      <c r="I602" s="136">
        <v>40282</v>
      </c>
      <c r="J602">
        <v>47.4</v>
      </c>
      <c r="K602">
        <v>46.78</v>
      </c>
      <c r="L602">
        <v>47.93</v>
      </c>
    </row>
    <row r="603" spans="1:12">
      <c r="A603" s="136">
        <v>40283</v>
      </c>
      <c r="B603">
        <v>2460</v>
      </c>
      <c r="C603">
        <v>2441.5</v>
      </c>
      <c r="D603">
        <v>2487</v>
      </c>
      <c r="E603" s="136">
        <v>40283</v>
      </c>
      <c r="F603">
        <v>46.527999999999999</v>
      </c>
      <c r="G603">
        <v>45.945</v>
      </c>
      <c r="H603">
        <v>47.031999999999996</v>
      </c>
      <c r="I603" s="136">
        <v>40283</v>
      </c>
      <c r="J603">
        <v>47.65</v>
      </c>
      <c r="K603">
        <v>47.49</v>
      </c>
      <c r="L603">
        <v>48.2</v>
      </c>
    </row>
    <row r="604" spans="1:12">
      <c r="A604" s="136">
        <v>40284</v>
      </c>
      <c r="B604">
        <v>2471</v>
      </c>
      <c r="C604">
        <v>2425</v>
      </c>
      <c r="D604">
        <v>2494</v>
      </c>
      <c r="E604" s="136">
        <v>40284</v>
      </c>
      <c r="F604">
        <v>46.442</v>
      </c>
      <c r="G604">
        <v>42.76</v>
      </c>
      <c r="H604">
        <v>46.604999999999997</v>
      </c>
      <c r="I604" s="136">
        <v>40284</v>
      </c>
      <c r="J604">
        <v>47.67</v>
      </c>
      <c r="K604">
        <v>45.14</v>
      </c>
      <c r="L604">
        <v>47.75</v>
      </c>
    </row>
    <row r="605" spans="1:12">
      <c r="A605" s="136">
        <v>40285</v>
      </c>
      <c r="B605">
        <v>2471</v>
      </c>
      <c r="C605">
        <v>2425</v>
      </c>
      <c r="D605">
        <v>2494</v>
      </c>
      <c r="E605" s="136">
        <v>40285</v>
      </c>
      <c r="F605">
        <v>46.442</v>
      </c>
      <c r="G605">
        <v>42.76</v>
      </c>
      <c r="H605">
        <v>46.604999999999997</v>
      </c>
      <c r="I605" s="136">
        <v>40285</v>
      </c>
      <c r="J605">
        <v>47.67</v>
      </c>
      <c r="K605">
        <v>45.14</v>
      </c>
      <c r="L605">
        <v>47.75</v>
      </c>
    </row>
    <row r="606" spans="1:12">
      <c r="A606" s="136">
        <v>40286</v>
      </c>
      <c r="B606">
        <v>2471</v>
      </c>
      <c r="C606">
        <v>2425</v>
      </c>
      <c r="D606">
        <v>2494</v>
      </c>
      <c r="E606" s="136">
        <v>40286</v>
      </c>
      <c r="F606">
        <v>46.442</v>
      </c>
      <c r="G606">
        <v>42.76</v>
      </c>
      <c r="H606">
        <v>46.604999999999997</v>
      </c>
      <c r="I606" s="136">
        <v>40286</v>
      </c>
      <c r="J606">
        <v>47.67</v>
      </c>
      <c r="K606">
        <v>45.14</v>
      </c>
      <c r="L606">
        <v>47.75</v>
      </c>
    </row>
    <row r="607" spans="1:12">
      <c r="A607" s="136">
        <v>40287</v>
      </c>
      <c r="B607">
        <v>2435.25</v>
      </c>
      <c r="C607">
        <v>2362</v>
      </c>
      <c r="D607">
        <v>2435.25</v>
      </c>
      <c r="E607" s="136">
        <v>40287</v>
      </c>
      <c r="F607">
        <v>42.566000000000003</v>
      </c>
      <c r="G607">
        <v>41.454999999999998</v>
      </c>
      <c r="H607">
        <v>43.311999999999998</v>
      </c>
      <c r="I607" s="136">
        <v>40287</v>
      </c>
      <c r="J607">
        <v>45.23</v>
      </c>
      <c r="K607">
        <v>44.59</v>
      </c>
      <c r="L607">
        <v>45.7</v>
      </c>
    </row>
    <row r="608" spans="1:12">
      <c r="A608" s="136">
        <v>40288</v>
      </c>
      <c r="B608">
        <v>2383</v>
      </c>
      <c r="C608">
        <v>2380</v>
      </c>
      <c r="D608">
        <v>2425</v>
      </c>
      <c r="E608" s="136">
        <v>40288</v>
      </c>
      <c r="F608">
        <v>42.720999999999997</v>
      </c>
      <c r="G608">
        <v>42.621000000000002</v>
      </c>
      <c r="H608">
        <v>43.654000000000003</v>
      </c>
      <c r="I608" s="136">
        <v>40288</v>
      </c>
      <c r="J608">
        <v>45.77</v>
      </c>
      <c r="K608">
        <v>45.56</v>
      </c>
      <c r="L608">
        <v>46.15</v>
      </c>
    </row>
    <row r="609" spans="1:12">
      <c r="A609" s="136">
        <v>40289</v>
      </c>
      <c r="B609">
        <v>2388</v>
      </c>
      <c r="C609">
        <v>2333</v>
      </c>
      <c r="D609">
        <v>2407.75</v>
      </c>
      <c r="E609" s="136">
        <v>40289</v>
      </c>
      <c r="F609">
        <v>43.576000000000001</v>
      </c>
      <c r="G609">
        <v>42.683</v>
      </c>
      <c r="H609">
        <v>43.731000000000002</v>
      </c>
      <c r="I609" s="136">
        <v>40289</v>
      </c>
      <c r="J609">
        <v>46.04</v>
      </c>
      <c r="K609">
        <v>45</v>
      </c>
      <c r="L609">
        <v>46.39</v>
      </c>
    </row>
    <row r="610" spans="1:12">
      <c r="A610" s="136">
        <v>40290</v>
      </c>
      <c r="B610">
        <v>2362</v>
      </c>
      <c r="C610">
        <v>2307</v>
      </c>
      <c r="D610">
        <v>2370</v>
      </c>
      <c r="E610" s="136">
        <v>40290</v>
      </c>
      <c r="F610">
        <v>42.954999999999998</v>
      </c>
      <c r="G610">
        <v>41.610999999999997</v>
      </c>
      <c r="H610">
        <v>43.031999999999996</v>
      </c>
      <c r="I610" s="136">
        <v>40290</v>
      </c>
      <c r="J610">
        <v>44.91</v>
      </c>
      <c r="K610">
        <v>44.03</v>
      </c>
      <c r="L610">
        <v>45.122500000000002</v>
      </c>
    </row>
    <row r="611" spans="1:12">
      <c r="A611" s="136">
        <v>40291</v>
      </c>
      <c r="B611">
        <v>2320</v>
      </c>
      <c r="C611">
        <v>2290</v>
      </c>
      <c r="D611">
        <v>2342.5</v>
      </c>
      <c r="E611" s="136">
        <v>40291</v>
      </c>
      <c r="F611">
        <v>42.1</v>
      </c>
      <c r="G611">
        <v>41.036000000000001</v>
      </c>
      <c r="H611">
        <v>42.177999999999997</v>
      </c>
      <c r="I611" s="136">
        <v>40291</v>
      </c>
      <c r="J611">
        <v>44.73</v>
      </c>
      <c r="K611">
        <v>44.25</v>
      </c>
      <c r="L611">
        <v>45.07</v>
      </c>
    </row>
    <row r="612" spans="1:12">
      <c r="A612" s="136">
        <v>40292</v>
      </c>
      <c r="B612">
        <v>2320</v>
      </c>
      <c r="C612">
        <v>2290</v>
      </c>
      <c r="D612">
        <v>2342.5</v>
      </c>
      <c r="E612" s="136">
        <v>40292</v>
      </c>
      <c r="F612">
        <v>42.1</v>
      </c>
      <c r="G612">
        <v>41.036000000000001</v>
      </c>
      <c r="H612">
        <v>42.177999999999997</v>
      </c>
      <c r="I612" s="136">
        <v>40292</v>
      </c>
      <c r="J612">
        <v>44.73</v>
      </c>
      <c r="K612">
        <v>44.25</v>
      </c>
      <c r="L612">
        <v>45.07</v>
      </c>
    </row>
    <row r="613" spans="1:12">
      <c r="A613" s="136">
        <v>40293</v>
      </c>
      <c r="B613">
        <v>2320</v>
      </c>
      <c r="C613">
        <v>2290</v>
      </c>
      <c r="D613">
        <v>2342.5</v>
      </c>
      <c r="E613" s="136">
        <v>40293</v>
      </c>
      <c r="F613">
        <v>42.1</v>
      </c>
      <c r="G613">
        <v>41.036000000000001</v>
      </c>
      <c r="H613">
        <v>42.177999999999997</v>
      </c>
      <c r="I613" s="136">
        <v>40293</v>
      </c>
      <c r="J613">
        <v>44.73</v>
      </c>
      <c r="K613">
        <v>44.25</v>
      </c>
      <c r="L613">
        <v>45.07</v>
      </c>
    </row>
    <row r="614" spans="1:12">
      <c r="A614" s="136">
        <v>40294</v>
      </c>
      <c r="B614">
        <v>2349.5</v>
      </c>
      <c r="C614">
        <v>2308.5</v>
      </c>
      <c r="D614">
        <v>2360</v>
      </c>
      <c r="E614" s="136">
        <v>40294</v>
      </c>
      <c r="F614">
        <v>42.488</v>
      </c>
      <c r="G614">
        <v>41.991</v>
      </c>
      <c r="H614">
        <v>43.149000000000001</v>
      </c>
      <c r="I614" s="136">
        <v>40294</v>
      </c>
      <c r="J614">
        <v>44.78</v>
      </c>
      <c r="K614">
        <v>43.73</v>
      </c>
      <c r="L614">
        <v>44.81</v>
      </c>
    </row>
    <row r="615" spans="1:12">
      <c r="A615" s="136">
        <v>40295</v>
      </c>
      <c r="B615">
        <v>2314</v>
      </c>
      <c r="C615">
        <v>2135</v>
      </c>
      <c r="D615">
        <v>2314</v>
      </c>
      <c r="E615" s="136">
        <v>40295</v>
      </c>
      <c r="F615">
        <v>43.808999999999997</v>
      </c>
      <c r="G615">
        <v>40.554000000000002</v>
      </c>
      <c r="H615">
        <v>44.197000000000003</v>
      </c>
      <c r="I615" s="136">
        <v>40295</v>
      </c>
      <c r="J615">
        <v>43.48</v>
      </c>
      <c r="K615">
        <v>42.3</v>
      </c>
      <c r="L615">
        <v>44.37</v>
      </c>
    </row>
    <row r="616" spans="1:12">
      <c r="A616" s="136">
        <v>40296</v>
      </c>
      <c r="B616">
        <v>2145</v>
      </c>
      <c r="C616">
        <v>2110</v>
      </c>
      <c r="D616">
        <v>2217</v>
      </c>
      <c r="E616" s="136">
        <v>40296</v>
      </c>
      <c r="F616">
        <v>40.081000000000003</v>
      </c>
      <c r="G616">
        <v>39.335000000000001</v>
      </c>
      <c r="H616">
        <v>41.417000000000002</v>
      </c>
      <c r="I616" s="136">
        <v>40296</v>
      </c>
      <c r="J616">
        <v>42.84</v>
      </c>
      <c r="K616">
        <v>42.78</v>
      </c>
      <c r="L616">
        <v>43.709899999999998</v>
      </c>
    </row>
    <row r="617" spans="1:12">
      <c r="A617" s="136">
        <v>40297</v>
      </c>
      <c r="B617">
        <v>2219</v>
      </c>
      <c r="C617">
        <v>2177.5</v>
      </c>
      <c r="D617">
        <v>2230</v>
      </c>
      <c r="E617" s="136">
        <v>40297</v>
      </c>
      <c r="F617">
        <v>40.817999999999998</v>
      </c>
      <c r="G617">
        <v>40.523000000000003</v>
      </c>
      <c r="H617">
        <v>41.951999999999998</v>
      </c>
      <c r="I617" s="136">
        <v>40297</v>
      </c>
      <c r="J617">
        <v>43.89</v>
      </c>
      <c r="K617">
        <v>43.594999999999999</v>
      </c>
      <c r="L617">
        <v>44.33</v>
      </c>
    </row>
    <row r="618" spans="1:12">
      <c r="A618" s="136">
        <v>40298</v>
      </c>
      <c r="B618">
        <v>2225</v>
      </c>
      <c r="C618">
        <v>2206</v>
      </c>
      <c r="D618">
        <v>2266.5</v>
      </c>
      <c r="E618" s="136">
        <v>40298</v>
      </c>
      <c r="F618">
        <v>41.984000000000002</v>
      </c>
      <c r="G618">
        <v>39.652999999999999</v>
      </c>
      <c r="H618">
        <v>42.231999999999999</v>
      </c>
      <c r="I618" s="136">
        <v>40298</v>
      </c>
      <c r="J618">
        <v>44.02</v>
      </c>
      <c r="K618">
        <v>42.23</v>
      </c>
      <c r="L618">
        <v>44.05</v>
      </c>
    </row>
    <row r="619" spans="1:12">
      <c r="A619" s="136">
        <v>40299</v>
      </c>
      <c r="B619">
        <v>2225</v>
      </c>
      <c r="C619">
        <v>2206</v>
      </c>
      <c r="D619">
        <v>2266.5</v>
      </c>
      <c r="E619" s="136">
        <v>40299</v>
      </c>
      <c r="F619">
        <v>41.984000000000002</v>
      </c>
      <c r="G619">
        <v>39.652999999999999</v>
      </c>
      <c r="H619">
        <v>42.231999999999999</v>
      </c>
      <c r="I619" s="136">
        <v>40299</v>
      </c>
      <c r="J619">
        <v>44.02</v>
      </c>
      <c r="K619">
        <v>42.23</v>
      </c>
      <c r="L619">
        <v>44.05</v>
      </c>
    </row>
    <row r="620" spans="1:12">
      <c r="A620" s="136">
        <v>40300</v>
      </c>
      <c r="B620">
        <v>2225</v>
      </c>
      <c r="C620">
        <v>2206</v>
      </c>
      <c r="D620">
        <v>2266.5</v>
      </c>
      <c r="E620" s="136">
        <v>40300</v>
      </c>
      <c r="F620">
        <v>41.984000000000002</v>
      </c>
      <c r="G620">
        <v>39.652999999999999</v>
      </c>
      <c r="H620">
        <v>42.231999999999999</v>
      </c>
      <c r="I620" s="136">
        <v>40300</v>
      </c>
      <c r="J620">
        <v>44.02</v>
      </c>
      <c r="K620">
        <v>42.23</v>
      </c>
      <c r="L620">
        <v>44.05</v>
      </c>
    </row>
    <row r="621" spans="1:12">
      <c r="A621" s="136">
        <v>40301</v>
      </c>
      <c r="B621">
        <v>2225</v>
      </c>
      <c r="C621">
        <v>2206</v>
      </c>
      <c r="D621">
        <v>2266.5</v>
      </c>
      <c r="E621" s="136">
        <v>40301</v>
      </c>
      <c r="F621">
        <v>40.081000000000003</v>
      </c>
      <c r="G621">
        <v>40.003</v>
      </c>
      <c r="H621">
        <v>41.043999999999997</v>
      </c>
      <c r="I621" s="136">
        <v>40301</v>
      </c>
      <c r="J621">
        <v>42.97</v>
      </c>
      <c r="K621">
        <v>42.89</v>
      </c>
      <c r="L621">
        <v>43.73</v>
      </c>
    </row>
    <row r="622" spans="1:12">
      <c r="A622" s="136">
        <v>40302</v>
      </c>
      <c r="B622">
        <v>2237</v>
      </c>
      <c r="C622">
        <v>2160</v>
      </c>
      <c r="D622">
        <v>2239</v>
      </c>
      <c r="E622" s="136">
        <v>40302</v>
      </c>
      <c r="F622">
        <v>40.997</v>
      </c>
      <c r="G622">
        <v>38.993000000000002</v>
      </c>
      <c r="H622">
        <v>40.997</v>
      </c>
      <c r="I622" s="136">
        <v>40302</v>
      </c>
      <c r="J622">
        <v>42.97</v>
      </c>
      <c r="K622">
        <v>42.25</v>
      </c>
      <c r="L622">
        <v>43.36</v>
      </c>
    </row>
    <row r="623" spans="1:12">
      <c r="A623" s="136">
        <v>40303</v>
      </c>
      <c r="B623">
        <v>2169</v>
      </c>
      <c r="C623">
        <v>2062</v>
      </c>
      <c r="D623">
        <v>2178</v>
      </c>
      <c r="E623" s="136">
        <v>40303</v>
      </c>
      <c r="F623">
        <v>39.304000000000002</v>
      </c>
      <c r="G623">
        <v>37.478000000000002</v>
      </c>
      <c r="H623">
        <v>39.304000000000002</v>
      </c>
      <c r="I623" s="136">
        <v>40303</v>
      </c>
      <c r="J623">
        <v>42.11</v>
      </c>
      <c r="K623">
        <v>41.62</v>
      </c>
      <c r="L623">
        <v>43.37</v>
      </c>
    </row>
    <row r="624" spans="1:12">
      <c r="A624" s="136">
        <v>40304</v>
      </c>
      <c r="B624">
        <v>2120</v>
      </c>
      <c r="C624">
        <v>2060</v>
      </c>
      <c r="D624">
        <v>2137</v>
      </c>
      <c r="E624" s="136">
        <v>40304</v>
      </c>
      <c r="F624">
        <v>38.277999999999999</v>
      </c>
      <c r="G624">
        <v>36.530999999999999</v>
      </c>
      <c r="H624">
        <v>38.930999999999997</v>
      </c>
      <c r="I624" s="136">
        <v>40304</v>
      </c>
      <c r="J624">
        <v>42.63</v>
      </c>
      <c r="K624">
        <v>39.29</v>
      </c>
      <c r="L624">
        <v>42.78</v>
      </c>
    </row>
    <row r="625" spans="1:12">
      <c r="A625" s="136">
        <v>40305</v>
      </c>
      <c r="B625">
        <v>2067</v>
      </c>
      <c r="C625">
        <v>2050</v>
      </c>
      <c r="D625">
        <v>2110</v>
      </c>
      <c r="E625" s="136">
        <v>40305</v>
      </c>
      <c r="F625">
        <v>35.963999999999999</v>
      </c>
      <c r="G625">
        <v>34.954000000000001</v>
      </c>
      <c r="H625">
        <v>37.567999999999998</v>
      </c>
      <c r="I625" s="136">
        <v>40305</v>
      </c>
      <c r="J625">
        <v>41.03</v>
      </c>
      <c r="K625">
        <v>39.78</v>
      </c>
      <c r="L625">
        <v>41.84</v>
      </c>
    </row>
    <row r="626" spans="1:12">
      <c r="A626" s="136">
        <v>40306</v>
      </c>
      <c r="B626">
        <v>2067</v>
      </c>
      <c r="C626">
        <v>2050</v>
      </c>
      <c r="D626">
        <v>2110</v>
      </c>
      <c r="E626" s="136">
        <v>40306</v>
      </c>
      <c r="F626">
        <v>35.963999999999999</v>
      </c>
      <c r="G626">
        <v>34.954000000000001</v>
      </c>
      <c r="H626">
        <v>37.567999999999998</v>
      </c>
      <c r="I626" s="136">
        <v>40306</v>
      </c>
      <c r="J626">
        <v>41.03</v>
      </c>
      <c r="K626">
        <v>39.78</v>
      </c>
      <c r="L626">
        <v>41.84</v>
      </c>
    </row>
    <row r="627" spans="1:12">
      <c r="A627" s="136">
        <v>40307</v>
      </c>
      <c r="B627">
        <v>2067</v>
      </c>
      <c r="C627">
        <v>2050</v>
      </c>
      <c r="D627">
        <v>2110</v>
      </c>
      <c r="E627" s="136">
        <v>40307</v>
      </c>
      <c r="F627">
        <v>35.963999999999999</v>
      </c>
      <c r="G627">
        <v>34.954000000000001</v>
      </c>
      <c r="H627">
        <v>37.567999999999998</v>
      </c>
      <c r="I627" s="136">
        <v>40307</v>
      </c>
      <c r="J627">
        <v>41.03</v>
      </c>
      <c r="K627">
        <v>39.78</v>
      </c>
      <c r="L627">
        <v>41.84</v>
      </c>
    </row>
    <row r="628" spans="1:12">
      <c r="A628" s="136">
        <v>40308</v>
      </c>
      <c r="B628">
        <v>2099</v>
      </c>
      <c r="C628">
        <v>2098</v>
      </c>
      <c r="D628">
        <v>2157</v>
      </c>
      <c r="E628" s="136">
        <v>40308</v>
      </c>
      <c r="F628">
        <v>37.75</v>
      </c>
      <c r="G628">
        <v>37.741999999999997</v>
      </c>
      <c r="H628">
        <v>40.57</v>
      </c>
      <c r="I628" s="136">
        <v>40308</v>
      </c>
      <c r="J628">
        <v>42.32</v>
      </c>
      <c r="K628">
        <v>41.42</v>
      </c>
      <c r="L628">
        <v>43.3</v>
      </c>
    </row>
    <row r="629" spans="1:12">
      <c r="A629" s="136">
        <v>40309</v>
      </c>
      <c r="B629">
        <v>2145</v>
      </c>
      <c r="C629">
        <v>2055</v>
      </c>
      <c r="D629">
        <v>2150</v>
      </c>
      <c r="E629" s="136">
        <v>40309</v>
      </c>
      <c r="F629">
        <v>39.070999999999998</v>
      </c>
      <c r="G629">
        <v>38.472999999999999</v>
      </c>
      <c r="H629">
        <v>39.979999999999997</v>
      </c>
      <c r="I629" s="136">
        <v>40309</v>
      </c>
      <c r="J629">
        <v>41.46</v>
      </c>
      <c r="K629">
        <v>41.15</v>
      </c>
      <c r="L629">
        <v>42.55</v>
      </c>
    </row>
    <row r="630" spans="1:12">
      <c r="A630" s="136">
        <v>40310</v>
      </c>
      <c r="B630">
        <v>2104</v>
      </c>
      <c r="C630">
        <v>2065</v>
      </c>
      <c r="D630">
        <v>2161.5</v>
      </c>
      <c r="E630" s="136">
        <v>40310</v>
      </c>
      <c r="F630">
        <v>39.256999999999998</v>
      </c>
      <c r="G630">
        <v>38.923000000000002</v>
      </c>
      <c r="H630">
        <v>40.85</v>
      </c>
      <c r="I630" s="136">
        <v>40310</v>
      </c>
      <c r="J630">
        <v>41.74</v>
      </c>
      <c r="K630">
        <v>40.81</v>
      </c>
      <c r="L630">
        <v>41.79</v>
      </c>
    </row>
    <row r="631" spans="1:12">
      <c r="A631" s="136">
        <v>40311</v>
      </c>
      <c r="B631">
        <v>2124.25</v>
      </c>
      <c r="C631">
        <v>2116</v>
      </c>
      <c r="D631">
        <v>2180</v>
      </c>
      <c r="E631" s="136">
        <v>40311</v>
      </c>
      <c r="F631">
        <v>40.112000000000002</v>
      </c>
      <c r="G631">
        <v>39.28</v>
      </c>
      <c r="H631">
        <v>40.305999999999997</v>
      </c>
      <c r="I631" s="136">
        <v>40311</v>
      </c>
      <c r="J631">
        <v>41.44</v>
      </c>
      <c r="K631">
        <v>40.78</v>
      </c>
      <c r="L631">
        <v>41.6</v>
      </c>
    </row>
    <row r="632" spans="1:12">
      <c r="A632" s="136">
        <v>40312</v>
      </c>
      <c r="B632">
        <v>2163</v>
      </c>
      <c r="C632">
        <v>2080</v>
      </c>
      <c r="D632">
        <v>2165</v>
      </c>
      <c r="E632" s="136">
        <v>40312</v>
      </c>
      <c r="F632">
        <v>39.11</v>
      </c>
      <c r="G632">
        <v>37.393000000000001</v>
      </c>
      <c r="H632">
        <v>39.234000000000002</v>
      </c>
      <c r="I632" s="136">
        <v>40312</v>
      </c>
      <c r="J632">
        <v>40.1</v>
      </c>
      <c r="K632">
        <v>39.21</v>
      </c>
      <c r="L632">
        <v>40.1</v>
      </c>
    </row>
    <row r="633" spans="1:12">
      <c r="A633" s="136">
        <v>40313</v>
      </c>
      <c r="B633">
        <v>2163</v>
      </c>
      <c r="C633">
        <v>2080</v>
      </c>
      <c r="D633">
        <v>2165</v>
      </c>
      <c r="E633" s="136">
        <v>40313</v>
      </c>
      <c r="F633">
        <v>39.11</v>
      </c>
      <c r="G633">
        <v>37.393000000000001</v>
      </c>
      <c r="H633">
        <v>39.234000000000002</v>
      </c>
      <c r="I633" s="136">
        <v>40313</v>
      </c>
      <c r="J633">
        <v>40.1</v>
      </c>
      <c r="K633">
        <v>39.21</v>
      </c>
      <c r="L633">
        <v>40.1</v>
      </c>
    </row>
    <row r="634" spans="1:12">
      <c r="A634" s="136">
        <v>40314</v>
      </c>
      <c r="B634">
        <v>2163</v>
      </c>
      <c r="C634">
        <v>2080</v>
      </c>
      <c r="D634">
        <v>2165</v>
      </c>
      <c r="E634" s="136">
        <v>40314</v>
      </c>
      <c r="F634">
        <v>39.11</v>
      </c>
      <c r="G634">
        <v>37.393000000000001</v>
      </c>
      <c r="H634">
        <v>39.234000000000002</v>
      </c>
      <c r="I634" s="136">
        <v>40314</v>
      </c>
      <c r="J634">
        <v>40.1</v>
      </c>
      <c r="K634">
        <v>39.21</v>
      </c>
      <c r="L634">
        <v>40.1</v>
      </c>
    </row>
    <row r="635" spans="1:12">
      <c r="A635" s="136">
        <v>40315</v>
      </c>
      <c r="B635">
        <v>2084</v>
      </c>
      <c r="C635">
        <v>1983</v>
      </c>
      <c r="D635">
        <v>2094</v>
      </c>
      <c r="E635" s="136">
        <v>40315</v>
      </c>
      <c r="F635">
        <v>37.055</v>
      </c>
      <c r="G635">
        <v>36.817999999999998</v>
      </c>
      <c r="H635">
        <v>39.28</v>
      </c>
      <c r="I635" s="136">
        <v>40315</v>
      </c>
      <c r="J635">
        <v>39.93</v>
      </c>
      <c r="K635">
        <v>38.770000000000003</v>
      </c>
      <c r="L635">
        <v>40.04</v>
      </c>
    </row>
    <row r="636" spans="1:12">
      <c r="A636" s="136">
        <v>40316</v>
      </c>
      <c r="B636">
        <v>2010</v>
      </c>
      <c r="C636">
        <v>1994.75</v>
      </c>
      <c r="D636">
        <v>2088</v>
      </c>
      <c r="E636" s="136">
        <v>40316</v>
      </c>
      <c r="F636">
        <v>38.838000000000001</v>
      </c>
      <c r="G636">
        <v>38.341000000000001</v>
      </c>
      <c r="H636">
        <v>39.210999999999999</v>
      </c>
      <c r="I636" s="136">
        <v>40316</v>
      </c>
      <c r="J636">
        <v>40.619999999999997</v>
      </c>
      <c r="K636">
        <v>38.549999999999997</v>
      </c>
      <c r="L636">
        <v>40.619999999999997</v>
      </c>
    </row>
    <row r="637" spans="1:12">
      <c r="A637" s="136">
        <v>40317</v>
      </c>
      <c r="B637">
        <v>2030</v>
      </c>
      <c r="C637">
        <v>1984</v>
      </c>
      <c r="D637">
        <v>2033</v>
      </c>
      <c r="E637" s="136">
        <v>40317</v>
      </c>
      <c r="F637">
        <v>37.982999999999997</v>
      </c>
      <c r="G637">
        <v>37.292000000000002</v>
      </c>
      <c r="H637">
        <v>38.488</v>
      </c>
      <c r="I637" s="136">
        <v>40317</v>
      </c>
      <c r="J637">
        <v>38.54</v>
      </c>
      <c r="K637">
        <v>38.520000000000003</v>
      </c>
      <c r="L637">
        <v>39.659999999999997</v>
      </c>
    </row>
    <row r="638" spans="1:12">
      <c r="A638" s="136">
        <v>40318</v>
      </c>
      <c r="B638">
        <v>2015</v>
      </c>
      <c r="C638">
        <v>1950</v>
      </c>
      <c r="D638">
        <v>2036</v>
      </c>
      <c r="E638" s="136">
        <v>40318</v>
      </c>
      <c r="F638">
        <v>37.75</v>
      </c>
      <c r="G638">
        <v>35.944000000000003</v>
      </c>
      <c r="H638">
        <v>38.378999999999998</v>
      </c>
      <c r="I638" s="136">
        <v>40318</v>
      </c>
      <c r="J638">
        <v>38.549999999999997</v>
      </c>
      <c r="K638">
        <v>37.31</v>
      </c>
      <c r="L638">
        <v>39.25</v>
      </c>
    </row>
    <row r="639" spans="1:12">
      <c r="A639" s="136">
        <v>40319</v>
      </c>
      <c r="B639">
        <v>1985</v>
      </c>
      <c r="C639">
        <v>1974</v>
      </c>
      <c r="D639">
        <v>2065</v>
      </c>
      <c r="E639" s="136">
        <v>40319</v>
      </c>
      <c r="F639">
        <v>36.662999999999997</v>
      </c>
      <c r="G639">
        <v>35.843000000000004</v>
      </c>
      <c r="H639">
        <v>37.555999999999997</v>
      </c>
      <c r="I639" s="136">
        <v>40319</v>
      </c>
      <c r="J639">
        <v>37.020000000000003</v>
      </c>
      <c r="K639">
        <v>37.020000000000003</v>
      </c>
      <c r="L639">
        <v>40.159999999999997</v>
      </c>
    </row>
    <row r="640" spans="1:12">
      <c r="A640" s="136">
        <v>40320</v>
      </c>
      <c r="B640">
        <v>1985</v>
      </c>
      <c r="C640">
        <v>1974</v>
      </c>
      <c r="D640">
        <v>2065</v>
      </c>
      <c r="E640" s="136">
        <v>40320</v>
      </c>
      <c r="F640">
        <v>36.662999999999997</v>
      </c>
      <c r="G640">
        <v>35.843000000000004</v>
      </c>
      <c r="H640">
        <v>37.555999999999997</v>
      </c>
      <c r="I640" s="136">
        <v>40320</v>
      </c>
      <c r="J640">
        <v>37.020000000000003</v>
      </c>
      <c r="K640">
        <v>37.020000000000003</v>
      </c>
      <c r="L640">
        <v>40.159999999999997</v>
      </c>
    </row>
    <row r="641" spans="1:12">
      <c r="A641" s="136">
        <v>40321</v>
      </c>
      <c r="B641">
        <v>1985</v>
      </c>
      <c r="C641">
        <v>1974</v>
      </c>
      <c r="D641">
        <v>2065</v>
      </c>
      <c r="E641" s="136">
        <v>40321</v>
      </c>
      <c r="F641">
        <v>36.662999999999997</v>
      </c>
      <c r="G641">
        <v>35.843000000000004</v>
      </c>
      <c r="H641">
        <v>37.555999999999997</v>
      </c>
      <c r="I641" s="136">
        <v>40321</v>
      </c>
      <c r="J641">
        <v>37.020000000000003</v>
      </c>
      <c r="K641">
        <v>37.020000000000003</v>
      </c>
      <c r="L641">
        <v>40.159999999999997</v>
      </c>
    </row>
    <row r="642" spans="1:12">
      <c r="A642" s="136">
        <v>40322</v>
      </c>
      <c r="B642">
        <v>2047</v>
      </c>
      <c r="C642">
        <v>2029.75</v>
      </c>
      <c r="D642">
        <v>2095</v>
      </c>
      <c r="E642" s="136">
        <v>40322</v>
      </c>
      <c r="F642">
        <v>37.828000000000003</v>
      </c>
      <c r="G642">
        <v>36.448999999999998</v>
      </c>
      <c r="H642">
        <v>37.936999999999998</v>
      </c>
      <c r="I642" s="136">
        <v>40322</v>
      </c>
      <c r="J642">
        <v>40.159999999999997</v>
      </c>
      <c r="K642">
        <v>38.5</v>
      </c>
      <c r="L642">
        <v>40.25</v>
      </c>
    </row>
    <row r="643" spans="1:12">
      <c r="A643" s="136">
        <v>40323</v>
      </c>
      <c r="B643">
        <v>2080</v>
      </c>
      <c r="C643">
        <v>1988</v>
      </c>
      <c r="D643">
        <v>2080</v>
      </c>
      <c r="E643" s="136">
        <v>40323</v>
      </c>
      <c r="F643">
        <v>35.649000000000001</v>
      </c>
      <c r="G643">
        <v>35.195</v>
      </c>
      <c r="H643">
        <v>36.344000000000001</v>
      </c>
      <c r="I643" s="136">
        <v>40323</v>
      </c>
      <c r="J643">
        <v>37.67</v>
      </c>
      <c r="K643">
        <v>37.35</v>
      </c>
      <c r="L643">
        <v>39.01</v>
      </c>
    </row>
    <row r="644" spans="1:12">
      <c r="A644" s="136">
        <v>40324</v>
      </c>
      <c r="B644">
        <v>2040</v>
      </c>
      <c r="C644">
        <v>2002</v>
      </c>
      <c r="D644">
        <v>2056</v>
      </c>
      <c r="E644" s="136">
        <v>40324</v>
      </c>
      <c r="F644">
        <v>36.639000000000003</v>
      </c>
      <c r="G644">
        <v>36.340000000000003</v>
      </c>
      <c r="H644">
        <v>37.283999999999999</v>
      </c>
      <c r="I644" s="136">
        <v>40324</v>
      </c>
      <c r="J644">
        <v>39.19</v>
      </c>
      <c r="K644">
        <v>38.47</v>
      </c>
      <c r="L644">
        <v>39.5</v>
      </c>
    </row>
    <row r="645" spans="1:12">
      <c r="A645" s="136">
        <v>40325</v>
      </c>
      <c r="B645">
        <v>2013</v>
      </c>
      <c r="C645">
        <v>2000</v>
      </c>
      <c r="D645">
        <v>2070</v>
      </c>
      <c r="E645" s="136">
        <v>40325</v>
      </c>
      <c r="F645">
        <v>36.896000000000001</v>
      </c>
      <c r="G645">
        <v>36.518999999999998</v>
      </c>
      <c r="H645">
        <v>38.83</v>
      </c>
      <c r="I645" s="136">
        <v>40325</v>
      </c>
      <c r="J645">
        <v>39.58</v>
      </c>
      <c r="K645">
        <v>39.4</v>
      </c>
      <c r="L645">
        <v>40.49</v>
      </c>
    </row>
    <row r="646" spans="1:12">
      <c r="A646" s="136">
        <v>40326</v>
      </c>
      <c r="B646">
        <v>2070</v>
      </c>
      <c r="C646">
        <v>2017</v>
      </c>
      <c r="D646">
        <v>2086</v>
      </c>
      <c r="E646" s="136">
        <v>40326</v>
      </c>
      <c r="F646">
        <v>38.293999999999997</v>
      </c>
      <c r="G646">
        <v>37.408000000000001</v>
      </c>
      <c r="H646">
        <v>38.798999999999999</v>
      </c>
      <c r="I646" s="136">
        <v>40326</v>
      </c>
      <c r="J646">
        <v>40.33</v>
      </c>
      <c r="K646">
        <v>39.36</v>
      </c>
      <c r="L646">
        <v>40.35</v>
      </c>
    </row>
    <row r="647" spans="1:12">
      <c r="A647" s="136">
        <v>40327</v>
      </c>
      <c r="B647">
        <v>2070</v>
      </c>
      <c r="C647">
        <v>2017</v>
      </c>
      <c r="D647">
        <v>2086</v>
      </c>
      <c r="E647" s="136">
        <v>40327</v>
      </c>
      <c r="F647">
        <v>38.293999999999997</v>
      </c>
      <c r="G647">
        <v>37.408000000000001</v>
      </c>
      <c r="H647">
        <v>38.798999999999999</v>
      </c>
      <c r="I647" s="136">
        <v>40327</v>
      </c>
      <c r="J647">
        <v>40.33</v>
      </c>
      <c r="K647">
        <v>39.36</v>
      </c>
      <c r="L647">
        <v>40.35</v>
      </c>
    </row>
    <row r="648" spans="1:12">
      <c r="A648" s="136">
        <v>40328</v>
      </c>
      <c r="B648">
        <v>2070</v>
      </c>
      <c r="C648">
        <v>2017</v>
      </c>
      <c r="D648">
        <v>2086</v>
      </c>
      <c r="E648" s="136">
        <v>40328</v>
      </c>
      <c r="F648">
        <v>38.293999999999997</v>
      </c>
      <c r="G648">
        <v>37.408000000000001</v>
      </c>
      <c r="H648">
        <v>38.798999999999999</v>
      </c>
      <c r="I648" s="136">
        <v>40328</v>
      </c>
      <c r="J648">
        <v>40.33</v>
      </c>
      <c r="K648">
        <v>39.36</v>
      </c>
      <c r="L648">
        <v>40.35</v>
      </c>
    </row>
    <row r="649" spans="1:12">
      <c r="A649" s="136">
        <v>40329</v>
      </c>
      <c r="B649">
        <v>2070</v>
      </c>
      <c r="C649">
        <v>2017</v>
      </c>
      <c r="D649">
        <v>2086</v>
      </c>
      <c r="E649" s="136">
        <v>40329</v>
      </c>
      <c r="F649">
        <v>37.564</v>
      </c>
      <c r="G649">
        <v>37.485999999999997</v>
      </c>
      <c r="H649">
        <v>37.987000000000002</v>
      </c>
      <c r="I649" s="136">
        <v>40329</v>
      </c>
      <c r="J649">
        <v>40.33</v>
      </c>
      <c r="K649">
        <v>39.36</v>
      </c>
      <c r="L649">
        <v>40.35</v>
      </c>
    </row>
    <row r="650" spans="1:12">
      <c r="A650" s="136">
        <v>40330</v>
      </c>
      <c r="B650">
        <v>2031</v>
      </c>
      <c r="C650">
        <v>1977</v>
      </c>
      <c r="D650">
        <v>2036</v>
      </c>
      <c r="E650" s="136">
        <v>40330</v>
      </c>
      <c r="F650">
        <v>37.478000000000002</v>
      </c>
      <c r="G650">
        <v>36.29</v>
      </c>
      <c r="H650">
        <v>37.625999999999998</v>
      </c>
      <c r="I650" s="136">
        <v>40330</v>
      </c>
      <c r="J650">
        <v>39.32</v>
      </c>
      <c r="K650">
        <v>38.5</v>
      </c>
      <c r="L650">
        <v>39.96</v>
      </c>
    </row>
    <row r="651" spans="1:12">
      <c r="A651" s="136">
        <v>40331</v>
      </c>
      <c r="B651">
        <v>1985</v>
      </c>
      <c r="C651">
        <v>1962</v>
      </c>
      <c r="D651">
        <v>1996</v>
      </c>
      <c r="E651" s="136">
        <v>40331</v>
      </c>
      <c r="F651">
        <v>36.817999999999998</v>
      </c>
      <c r="G651">
        <v>36.445</v>
      </c>
      <c r="H651">
        <v>37.423999999999999</v>
      </c>
      <c r="I651" s="136">
        <v>40331</v>
      </c>
      <c r="J651">
        <v>39.17</v>
      </c>
      <c r="K651">
        <v>38.67</v>
      </c>
      <c r="L651">
        <v>39.619999999999997</v>
      </c>
    </row>
    <row r="652" spans="1:12">
      <c r="A652" s="136">
        <v>40332</v>
      </c>
      <c r="B652">
        <v>1995</v>
      </c>
      <c r="C652">
        <v>1930</v>
      </c>
      <c r="D652">
        <v>2022</v>
      </c>
      <c r="E652" s="136">
        <v>40332</v>
      </c>
      <c r="F652">
        <v>38.021999999999998</v>
      </c>
      <c r="G652">
        <v>37.338999999999999</v>
      </c>
      <c r="H652">
        <v>38.231999999999999</v>
      </c>
      <c r="I652" s="136">
        <v>40332</v>
      </c>
      <c r="J652">
        <v>39.86</v>
      </c>
      <c r="K652">
        <v>38.619999999999997</v>
      </c>
      <c r="L652">
        <v>39.94</v>
      </c>
    </row>
    <row r="653" spans="1:12">
      <c r="A653" s="136">
        <v>40333</v>
      </c>
      <c r="B653">
        <v>1959</v>
      </c>
      <c r="C653">
        <v>1880</v>
      </c>
      <c r="D653">
        <v>1997</v>
      </c>
      <c r="E653" s="136">
        <v>40333</v>
      </c>
      <c r="F653">
        <v>37.734999999999999</v>
      </c>
      <c r="G653">
        <v>36.03</v>
      </c>
      <c r="H653">
        <v>38.165999999999997</v>
      </c>
      <c r="I653" s="136">
        <v>40333</v>
      </c>
      <c r="J653">
        <v>38.49</v>
      </c>
      <c r="K653">
        <v>37.5</v>
      </c>
      <c r="L653">
        <v>38.700000000000003</v>
      </c>
    </row>
    <row r="654" spans="1:12">
      <c r="A654" s="136">
        <v>40334</v>
      </c>
      <c r="B654">
        <v>1959</v>
      </c>
      <c r="C654">
        <v>1880</v>
      </c>
      <c r="D654">
        <v>1997</v>
      </c>
      <c r="E654" s="136">
        <v>40334</v>
      </c>
      <c r="F654">
        <v>37.734999999999999</v>
      </c>
      <c r="G654">
        <v>36.03</v>
      </c>
      <c r="H654">
        <v>38.165999999999997</v>
      </c>
      <c r="I654" s="136">
        <v>40334</v>
      </c>
      <c r="J654">
        <v>38.49</v>
      </c>
      <c r="K654">
        <v>37.5</v>
      </c>
      <c r="L654">
        <v>38.700000000000003</v>
      </c>
    </row>
    <row r="655" spans="1:12">
      <c r="A655" s="136">
        <v>40335</v>
      </c>
      <c r="B655">
        <v>1959</v>
      </c>
      <c r="C655">
        <v>1880</v>
      </c>
      <c r="D655">
        <v>1997</v>
      </c>
      <c r="E655" s="136">
        <v>40335</v>
      </c>
      <c r="F655">
        <v>37.734999999999999</v>
      </c>
      <c r="G655">
        <v>36.03</v>
      </c>
      <c r="H655">
        <v>38.165999999999997</v>
      </c>
      <c r="I655" s="136">
        <v>40335</v>
      </c>
      <c r="J655">
        <v>38.49</v>
      </c>
      <c r="K655">
        <v>37.5</v>
      </c>
      <c r="L655">
        <v>38.700000000000003</v>
      </c>
    </row>
    <row r="656" spans="1:12">
      <c r="A656" s="136">
        <v>40336</v>
      </c>
      <c r="B656">
        <v>1880</v>
      </c>
      <c r="C656">
        <v>1828</v>
      </c>
      <c r="D656">
        <v>1887.5</v>
      </c>
      <c r="E656" s="136">
        <v>40336</v>
      </c>
      <c r="F656">
        <v>36.040999999999997</v>
      </c>
      <c r="G656">
        <v>35.567999999999998</v>
      </c>
      <c r="H656">
        <v>36.57</v>
      </c>
      <c r="I656" s="136">
        <v>40336</v>
      </c>
      <c r="J656">
        <v>37.79</v>
      </c>
      <c r="K656">
        <v>36.659999999999997</v>
      </c>
      <c r="L656">
        <v>38.130000000000003</v>
      </c>
    </row>
    <row r="657" spans="1:12">
      <c r="A657" s="136">
        <v>40337</v>
      </c>
      <c r="B657">
        <v>1862</v>
      </c>
      <c r="C657">
        <v>1860</v>
      </c>
      <c r="D657">
        <v>1921</v>
      </c>
      <c r="E657" s="136">
        <v>40337</v>
      </c>
      <c r="F657">
        <v>36.274000000000001</v>
      </c>
      <c r="G657">
        <v>35.341999999999999</v>
      </c>
      <c r="H657">
        <v>36.351999999999997</v>
      </c>
      <c r="I657" s="136">
        <v>40337</v>
      </c>
      <c r="J657">
        <v>36.86</v>
      </c>
      <c r="K657">
        <v>36.549999999999997</v>
      </c>
      <c r="L657">
        <v>37.799999999999997</v>
      </c>
    </row>
    <row r="658" spans="1:12">
      <c r="A658" s="136">
        <v>40338</v>
      </c>
      <c r="B658">
        <v>1919</v>
      </c>
      <c r="C658">
        <v>1905</v>
      </c>
      <c r="D658">
        <v>1955</v>
      </c>
      <c r="E658" s="136">
        <v>40338</v>
      </c>
      <c r="F658">
        <v>36.006</v>
      </c>
      <c r="G658">
        <v>35.591000000000001</v>
      </c>
      <c r="H658">
        <v>36.786999999999999</v>
      </c>
      <c r="I658" s="136">
        <v>40338</v>
      </c>
      <c r="J658">
        <v>38.15</v>
      </c>
      <c r="K658">
        <v>37.01</v>
      </c>
      <c r="L658">
        <v>38.159999999999997</v>
      </c>
    </row>
    <row r="659" spans="1:12">
      <c r="A659" s="136">
        <v>40339</v>
      </c>
      <c r="B659">
        <v>1911</v>
      </c>
      <c r="C659">
        <v>1905</v>
      </c>
      <c r="D659">
        <v>1970</v>
      </c>
      <c r="E659" s="136">
        <v>40339</v>
      </c>
      <c r="F659">
        <v>36.390999999999998</v>
      </c>
      <c r="G659">
        <v>35.341999999999999</v>
      </c>
      <c r="H659">
        <v>37.116999999999997</v>
      </c>
      <c r="I659" s="136">
        <v>40339</v>
      </c>
      <c r="J659">
        <v>37.68</v>
      </c>
      <c r="K659">
        <v>37.409999999999997</v>
      </c>
      <c r="L659">
        <v>38.369999999999997</v>
      </c>
    </row>
    <row r="660" spans="1:12">
      <c r="A660" s="136">
        <v>40340</v>
      </c>
      <c r="B660">
        <v>1947</v>
      </c>
      <c r="C660">
        <v>1925</v>
      </c>
      <c r="D660">
        <v>1974</v>
      </c>
      <c r="E660" s="136">
        <v>40340</v>
      </c>
      <c r="F660">
        <v>37.167999999999999</v>
      </c>
      <c r="G660">
        <v>36.600999999999999</v>
      </c>
      <c r="H660">
        <v>37.738999999999997</v>
      </c>
      <c r="I660" s="136">
        <v>40340</v>
      </c>
      <c r="J660">
        <v>37.79</v>
      </c>
      <c r="K660">
        <v>37.520000000000003</v>
      </c>
      <c r="L660">
        <v>38.17</v>
      </c>
    </row>
    <row r="661" spans="1:12">
      <c r="A661" s="136">
        <v>40341</v>
      </c>
      <c r="B661">
        <v>1947</v>
      </c>
      <c r="C661">
        <v>1925</v>
      </c>
      <c r="D661">
        <v>1974</v>
      </c>
      <c r="E661" s="136">
        <v>40341</v>
      </c>
      <c r="F661">
        <v>37.167999999999999</v>
      </c>
      <c r="G661">
        <v>36.600999999999999</v>
      </c>
      <c r="H661">
        <v>37.738999999999997</v>
      </c>
      <c r="I661" s="136">
        <v>40341</v>
      </c>
      <c r="J661">
        <v>37.79</v>
      </c>
      <c r="K661">
        <v>37.520000000000003</v>
      </c>
      <c r="L661">
        <v>38.17</v>
      </c>
    </row>
    <row r="662" spans="1:12">
      <c r="A662" s="136">
        <v>40342</v>
      </c>
      <c r="B662">
        <v>1947</v>
      </c>
      <c r="C662">
        <v>1925</v>
      </c>
      <c r="D662">
        <v>1974</v>
      </c>
      <c r="E662" s="136">
        <v>40342</v>
      </c>
      <c r="F662">
        <v>37.167999999999999</v>
      </c>
      <c r="G662">
        <v>36.600999999999999</v>
      </c>
      <c r="H662">
        <v>37.738999999999997</v>
      </c>
      <c r="I662" s="136">
        <v>40342</v>
      </c>
      <c r="J662">
        <v>37.79</v>
      </c>
      <c r="K662">
        <v>37.520000000000003</v>
      </c>
      <c r="L662">
        <v>38.17</v>
      </c>
    </row>
    <row r="663" spans="1:12">
      <c r="A663" s="136">
        <v>40343</v>
      </c>
      <c r="B663">
        <v>1951</v>
      </c>
      <c r="C663">
        <v>1946</v>
      </c>
      <c r="D663">
        <v>2000.75</v>
      </c>
      <c r="E663" s="136">
        <v>40343</v>
      </c>
      <c r="F663">
        <v>37.726999999999997</v>
      </c>
      <c r="G663">
        <v>37.345999999999997</v>
      </c>
      <c r="H663">
        <v>38.247</v>
      </c>
      <c r="I663" s="136">
        <v>40343</v>
      </c>
      <c r="J663">
        <v>37.97</v>
      </c>
      <c r="K663">
        <v>37.229999999999997</v>
      </c>
      <c r="L663">
        <v>38.270000000000003</v>
      </c>
    </row>
    <row r="664" spans="1:12">
      <c r="A664" s="136">
        <v>40344</v>
      </c>
      <c r="B664">
        <v>1990</v>
      </c>
      <c r="C664">
        <v>1971</v>
      </c>
      <c r="D664">
        <v>2019</v>
      </c>
      <c r="E664" s="136">
        <v>40344</v>
      </c>
      <c r="F664">
        <v>37.128999999999998</v>
      </c>
      <c r="G664">
        <v>37.051000000000002</v>
      </c>
      <c r="H664">
        <v>38.720999999999997</v>
      </c>
      <c r="I664" s="136">
        <v>40344</v>
      </c>
      <c r="J664">
        <v>37.549999999999997</v>
      </c>
      <c r="K664">
        <v>37.26</v>
      </c>
      <c r="L664">
        <v>38.274999999999999</v>
      </c>
    </row>
    <row r="665" spans="1:12">
      <c r="A665" s="136">
        <v>40345</v>
      </c>
      <c r="B665">
        <v>2015</v>
      </c>
      <c r="C665">
        <v>1979.75</v>
      </c>
      <c r="D665">
        <v>2043</v>
      </c>
      <c r="E665" s="136">
        <v>40345</v>
      </c>
      <c r="F665">
        <v>38.822000000000003</v>
      </c>
      <c r="G665">
        <v>38.286000000000001</v>
      </c>
      <c r="H665">
        <v>38.97</v>
      </c>
      <c r="I665" s="136">
        <v>40345</v>
      </c>
      <c r="J665">
        <v>38.020000000000003</v>
      </c>
      <c r="K665">
        <v>37.99</v>
      </c>
      <c r="L665">
        <v>38.880000000000003</v>
      </c>
    </row>
    <row r="666" spans="1:12">
      <c r="A666" s="136">
        <v>40346</v>
      </c>
      <c r="B666">
        <v>2000</v>
      </c>
      <c r="C666">
        <v>1948.25</v>
      </c>
      <c r="D666">
        <v>2000</v>
      </c>
      <c r="E666" s="136">
        <v>40346</v>
      </c>
      <c r="F666">
        <v>38.838000000000001</v>
      </c>
      <c r="G666">
        <v>38.581000000000003</v>
      </c>
      <c r="H666">
        <v>39.42</v>
      </c>
      <c r="I666" s="136">
        <v>40346</v>
      </c>
      <c r="J666">
        <v>38.6</v>
      </c>
      <c r="K666">
        <v>37.92</v>
      </c>
      <c r="L666">
        <v>38.9</v>
      </c>
    </row>
    <row r="667" spans="1:12">
      <c r="A667" s="136">
        <v>40347</v>
      </c>
      <c r="B667">
        <v>1952</v>
      </c>
      <c r="C667">
        <v>1933</v>
      </c>
      <c r="D667">
        <v>1972</v>
      </c>
      <c r="E667" s="136">
        <v>40347</v>
      </c>
      <c r="F667">
        <v>39.11</v>
      </c>
      <c r="G667">
        <v>38.554000000000002</v>
      </c>
      <c r="H667">
        <v>39.357999999999997</v>
      </c>
      <c r="I667" s="136">
        <v>40347</v>
      </c>
      <c r="J667">
        <v>38.6</v>
      </c>
      <c r="K667">
        <v>38.380000000000003</v>
      </c>
      <c r="L667">
        <v>39.270000000000003</v>
      </c>
    </row>
    <row r="668" spans="1:12">
      <c r="A668" s="136">
        <v>40348</v>
      </c>
      <c r="B668">
        <v>1952</v>
      </c>
      <c r="C668">
        <v>1933</v>
      </c>
      <c r="D668">
        <v>1972</v>
      </c>
      <c r="E668" s="136">
        <v>40348</v>
      </c>
      <c r="F668">
        <v>39.11</v>
      </c>
      <c r="G668">
        <v>38.554000000000002</v>
      </c>
      <c r="H668">
        <v>39.357999999999997</v>
      </c>
      <c r="I668" s="136">
        <v>40348</v>
      </c>
      <c r="J668">
        <v>38.6</v>
      </c>
      <c r="K668">
        <v>38.380000000000003</v>
      </c>
      <c r="L668">
        <v>39.270000000000003</v>
      </c>
    </row>
    <row r="669" spans="1:12">
      <c r="A669" s="136">
        <v>40349</v>
      </c>
      <c r="B669">
        <v>1952</v>
      </c>
      <c r="C669">
        <v>1933</v>
      </c>
      <c r="D669">
        <v>1972</v>
      </c>
      <c r="E669" s="136">
        <v>40349</v>
      </c>
      <c r="F669">
        <v>39.11</v>
      </c>
      <c r="G669">
        <v>38.554000000000002</v>
      </c>
      <c r="H669">
        <v>39.357999999999997</v>
      </c>
      <c r="I669" s="136">
        <v>40349</v>
      </c>
      <c r="J669">
        <v>38.6</v>
      </c>
      <c r="K669">
        <v>38.380000000000003</v>
      </c>
      <c r="L669">
        <v>39.270000000000003</v>
      </c>
    </row>
    <row r="670" spans="1:12">
      <c r="A670" s="136">
        <v>40350</v>
      </c>
      <c r="B670">
        <v>1948</v>
      </c>
      <c r="C670">
        <v>1940</v>
      </c>
      <c r="D670">
        <v>2019</v>
      </c>
      <c r="E670" s="136">
        <v>40350</v>
      </c>
      <c r="F670">
        <v>39.770000000000003</v>
      </c>
      <c r="G670">
        <v>38.884</v>
      </c>
      <c r="H670">
        <v>40.235999999999997</v>
      </c>
      <c r="I670" s="136">
        <v>40350</v>
      </c>
      <c r="J670">
        <v>39.549999999999997</v>
      </c>
      <c r="K670">
        <v>38.659999999999997</v>
      </c>
      <c r="L670">
        <v>39.78</v>
      </c>
    </row>
    <row r="671" spans="1:12">
      <c r="A671" s="136">
        <v>40351</v>
      </c>
      <c r="B671">
        <v>1952</v>
      </c>
      <c r="C671">
        <v>1928</v>
      </c>
      <c r="D671">
        <v>1966</v>
      </c>
      <c r="E671" s="136">
        <v>40351</v>
      </c>
      <c r="F671">
        <v>38.76</v>
      </c>
      <c r="G671">
        <v>38.127000000000002</v>
      </c>
      <c r="H671">
        <v>38.993000000000002</v>
      </c>
      <c r="I671" s="136">
        <v>40351</v>
      </c>
      <c r="J671">
        <v>38.93</v>
      </c>
      <c r="K671">
        <v>38.22</v>
      </c>
      <c r="L671">
        <v>39.58</v>
      </c>
    </row>
    <row r="672" spans="1:12">
      <c r="A672" s="136">
        <v>40352</v>
      </c>
      <c r="B672">
        <v>1950</v>
      </c>
      <c r="C672">
        <v>1931</v>
      </c>
      <c r="D672">
        <v>1970</v>
      </c>
      <c r="E672" s="136">
        <v>40352</v>
      </c>
      <c r="F672">
        <v>38.08</v>
      </c>
      <c r="G672">
        <v>37.015999999999998</v>
      </c>
      <c r="H672">
        <v>38.488</v>
      </c>
      <c r="I672" s="136">
        <v>40352</v>
      </c>
      <c r="J672">
        <v>38.29</v>
      </c>
      <c r="K672">
        <v>38.020000000000003</v>
      </c>
      <c r="L672">
        <v>39.1083</v>
      </c>
    </row>
    <row r="673" spans="1:12">
      <c r="A673" s="136">
        <v>40353</v>
      </c>
      <c r="B673">
        <v>1940.5</v>
      </c>
      <c r="C673">
        <v>1933</v>
      </c>
      <c r="D673">
        <v>1973.5</v>
      </c>
      <c r="E673" s="136">
        <v>40353</v>
      </c>
      <c r="F673">
        <v>38.061</v>
      </c>
      <c r="G673">
        <v>36.83</v>
      </c>
      <c r="H673">
        <v>38.216000000000001</v>
      </c>
      <c r="I673" s="136">
        <v>40353</v>
      </c>
      <c r="J673">
        <v>38.549999999999997</v>
      </c>
      <c r="K673">
        <v>37.42</v>
      </c>
      <c r="L673">
        <v>38.700000000000003</v>
      </c>
    </row>
    <row r="674" spans="1:12">
      <c r="A674" s="136">
        <v>40354</v>
      </c>
      <c r="B674">
        <v>1960</v>
      </c>
      <c r="C674">
        <v>1948.25</v>
      </c>
      <c r="D674">
        <v>2009</v>
      </c>
      <c r="E674" s="136">
        <v>40354</v>
      </c>
      <c r="F674">
        <v>37.244999999999997</v>
      </c>
      <c r="G674">
        <v>36.399000000000001</v>
      </c>
      <c r="H674">
        <v>37.746000000000002</v>
      </c>
      <c r="I674" s="136">
        <v>40354</v>
      </c>
      <c r="J674">
        <v>38.78</v>
      </c>
      <c r="K674">
        <v>38.274999999999999</v>
      </c>
      <c r="L674">
        <v>39.6</v>
      </c>
    </row>
    <row r="675" spans="1:12">
      <c r="A675" s="136">
        <v>40355</v>
      </c>
      <c r="B675">
        <v>1960</v>
      </c>
      <c r="C675">
        <v>1948.25</v>
      </c>
      <c r="D675">
        <v>2009</v>
      </c>
      <c r="E675" s="136">
        <v>40355</v>
      </c>
      <c r="F675">
        <v>37.244999999999997</v>
      </c>
      <c r="G675">
        <v>36.399000000000001</v>
      </c>
      <c r="H675">
        <v>37.746000000000002</v>
      </c>
      <c r="I675" s="136">
        <v>40355</v>
      </c>
      <c r="J675">
        <v>38.78</v>
      </c>
      <c r="K675">
        <v>38.274999999999999</v>
      </c>
      <c r="L675">
        <v>39.6</v>
      </c>
    </row>
    <row r="676" spans="1:12">
      <c r="A676" s="136">
        <v>40356</v>
      </c>
      <c r="B676">
        <v>1960</v>
      </c>
      <c r="C676">
        <v>1948.25</v>
      </c>
      <c r="D676">
        <v>2009</v>
      </c>
      <c r="E676" s="136">
        <v>40356</v>
      </c>
      <c r="F676">
        <v>37.244999999999997</v>
      </c>
      <c r="G676">
        <v>36.399000000000001</v>
      </c>
      <c r="H676">
        <v>37.746000000000002</v>
      </c>
      <c r="I676" s="136">
        <v>40356</v>
      </c>
      <c r="J676">
        <v>38.78</v>
      </c>
      <c r="K676">
        <v>38.274999999999999</v>
      </c>
      <c r="L676">
        <v>39.6</v>
      </c>
    </row>
    <row r="677" spans="1:12">
      <c r="A677" s="136">
        <v>40357</v>
      </c>
      <c r="B677">
        <v>2000</v>
      </c>
      <c r="C677">
        <v>1986.25</v>
      </c>
      <c r="D677">
        <v>2036.5</v>
      </c>
      <c r="E677" s="136">
        <v>40357</v>
      </c>
      <c r="F677">
        <v>36.997</v>
      </c>
      <c r="G677">
        <v>36.662999999999997</v>
      </c>
      <c r="H677">
        <v>37.509</v>
      </c>
      <c r="I677" s="136">
        <v>40357</v>
      </c>
      <c r="J677">
        <v>39.549999999999997</v>
      </c>
      <c r="K677">
        <v>38.47</v>
      </c>
      <c r="L677">
        <v>39.64</v>
      </c>
    </row>
    <row r="678" spans="1:12">
      <c r="A678" s="136">
        <v>40358</v>
      </c>
      <c r="B678">
        <v>2015</v>
      </c>
      <c r="C678">
        <v>1940</v>
      </c>
      <c r="D678">
        <v>2015.25</v>
      </c>
      <c r="E678" s="136">
        <v>40358</v>
      </c>
      <c r="F678">
        <v>36.764000000000003</v>
      </c>
      <c r="G678">
        <v>35.622</v>
      </c>
      <c r="H678">
        <v>36.896000000000001</v>
      </c>
      <c r="I678" s="136">
        <v>40358</v>
      </c>
      <c r="J678">
        <v>37.909999999999997</v>
      </c>
      <c r="K678">
        <v>36.880000000000003</v>
      </c>
      <c r="L678">
        <v>37.909999999999997</v>
      </c>
    </row>
    <row r="679" spans="1:12">
      <c r="A679" s="136">
        <v>40359</v>
      </c>
      <c r="B679">
        <v>1951</v>
      </c>
      <c r="C679">
        <v>1920</v>
      </c>
      <c r="D679">
        <v>1982</v>
      </c>
      <c r="E679" s="136">
        <v>40359</v>
      </c>
      <c r="F679">
        <v>35.808</v>
      </c>
      <c r="G679">
        <v>35.591000000000001</v>
      </c>
      <c r="H679">
        <v>36.841000000000001</v>
      </c>
      <c r="I679" s="136">
        <v>40359</v>
      </c>
      <c r="J679">
        <v>37.020000000000003</v>
      </c>
      <c r="K679">
        <v>36.51</v>
      </c>
      <c r="L679">
        <v>37.49</v>
      </c>
    </row>
    <row r="680" spans="1:12">
      <c r="A680" s="136">
        <v>40360</v>
      </c>
      <c r="B680">
        <v>1961</v>
      </c>
      <c r="C680">
        <v>1921.75</v>
      </c>
      <c r="D680">
        <v>1973.5</v>
      </c>
      <c r="E680" s="136">
        <v>40360</v>
      </c>
      <c r="F680">
        <v>35.886000000000003</v>
      </c>
      <c r="G680">
        <v>34.651000000000003</v>
      </c>
      <c r="H680">
        <v>36.08</v>
      </c>
      <c r="I680" s="136">
        <v>40360</v>
      </c>
      <c r="J680">
        <v>36.54</v>
      </c>
      <c r="K680">
        <v>35.159999999999997</v>
      </c>
      <c r="L680">
        <v>36.69</v>
      </c>
    </row>
    <row r="681" spans="1:12">
      <c r="A681" s="136">
        <v>40361</v>
      </c>
      <c r="B681">
        <v>1948</v>
      </c>
      <c r="C681">
        <v>1934.5</v>
      </c>
      <c r="D681">
        <v>1965</v>
      </c>
      <c r="E681" s="136">
        <v>40361</v>
      </c>
      <c r="F681">
        <v>35.497999999999998</v>
      </c>
      <c r="G681">
        <v>34.76</v>
      </c>
      <c r="H681">
        <v>35.854999999999997</v>
      </c>
      <c r="I681" s="136">
        <v>40361</v>
      </c>
      <c r="J681">
        <v>36.31</v>
      </c>
      <c r="K681">
        <v>35.3399</v>
      </c>
      <c r="L681">
        <v>36.69</v>
      </c>
    </row>
    <row r="682" spans="1:12">
      <c r="A682" s="136">
        <v>40362</v>
      </c>
      <c r="B682">
        <v>1948</v>
      </c>
      <c r="C682">
        <v>1934.5</v>
      </c>
      <c r="D682">
        <v>1965</v>
      </c>
      <c r="E682" s="136">
        <v>40362</v>
      </c>
      <c r="F682">
        <v>35.497999999999998</v>
      </c>
      <c r="G682">
        <v>34.76</v>
      </c>
      <c r="H682">
        <v>35.854999999999997</v>
      </c>
      <c r="I682" s="136">
        <v>40362</v>
      </c>
      <c r="J682">
        <v>36.31</v>
      </c>
      <c r="K682">
        <v>35.3399</v>
      </c>
      <c r="L682">
        <v>36.69</v>
      </c>
    </row>
    <row r="683" spans="1:12">
      <c r="A683" s="136">
        <v>40363</v>
      </c>
      <c r="B683">
        <v>1948</v>
      </c>
      <c r="C683">
        <v>1934.5</v>
      </c>
      <c r="D683">
        <v>1965</v>
      </c>
      <c r="E683" s="136">
        <v>40363</v>
      </c>
      <c r="F683">
        <v>35.497999999999998</v>
      </c>
      <c r="G683">
        <v>34.76</v>
      </c>
      <c r="H683">
        <v>35.854999999999997</v>
      </c>
      <c r="I683" s="136">
        <v>40363</v>
      </c>
      <c r="J683">
        <v>36.31</v>
      </c>
      <c r="K683">
        <v>35.3399</v>
      </c>
      <c r="L683">
        <v>36.69</v>
      </c>
    </row>
    <row r="684" spans="1:12">
      <c r="A684" s="136">
        <v>40364</v>
      </c>
      <c r="B684">
        <v>1940</v>
      </c>
      <c r="C684">
        <v>1931</v>
      </c>
      <c r="D684">
        <v>1957</v>
      </c>
      <c r="E684" s="136">
        <v>40364</v>
      </c>
      <c r="F684">
        <v>35.265000000000001</v>
      </c>
      <c r="G684">
        <v>34.682000000000002</v>
      </c>
      <c r="H684">
        <v>35.341999999999999</v>
      </c>
      <c r="I684" s="136">
        <v>40364</v>
      </c>
      <c r="J684">
        <v>36.31</v>
      </c>
      <c r="K684">
        <v>35.3399</v>
      </c>
      <c r="L684">
        <v>36.69</v>
      </c>
    </row>
    <row r="685" spans="1:12">
      <c r="A685" s="136">
        <v>40365</v>
      </c>
      <c r="B685">
        <v>1935</v>
      </c>
      <c r="C685">
        <v>1935</v>
      </c>
      <c r="D685">
        <v>2007</v>
      </c>
      <c r="E685" s="136">
        <v>40365</v>
      </c>
      <c r="F685">
        <v>34.957999999999998</v>
      </c>
      <c r="G685">
        <v>34.774999999999999</v>
      </c>
      <c r="H685">
        <v>36.01</v>
      </c>
      <c r="I685" s="136">
        <v>40365</v>
      </c>
      <c r="J685">
        <v>36.69</v>
      </c>
      <c r="K685">
        <v>35.86</v>
      </c>
      <c r="L685">
        <v>36.884999999999998</v>
      </c>
    </row>
    <row r="686" spans="1:12">
      <c r="A686" s="136">
        <v>40366</v>
      </c>
      <c r="B686">
        <v>1979</v>
      </c>
      <c r="C686">
        <v>1966.5</v>
      </c>
      <c r="D686">
        <v>2008</v>
      </c>
      <c r="E686" s="136">
        <v>40366</v>
      </c>
      <c r="F686">
        <v>35.287999999999997</v>
      </c>
      <c r="G686">
        <v>34.938000000000002</v>
      </c>
      <c r="H686">
        <v>37.015999999999998</v>
      </c>
      <c r="I686" s="136">
        <v>40366</v>
      </c>
      <c r="J686">
        <v>36.64</v>
      </c>
      <c r="K686">
        <v>36.409999999999997</v>
      </c>
      <c r="L686">
        <v>38.24</v>
      </c>
    </row>
    <row r="687" spans="1:12">
      <c r="A687" s="136">
        <v>40367</v>
      </c>
      <c r="B687">
        <v>2000</v>
      </c>
      <c r="C687">
        <v>1982</v>
      </c>
      <c r="D687">
        <v>2017.1</v>
      </c>
      <c r="E687" s="136">
        <v>40367</v>
      </c>
      <c r="F687">
        <v>37.283999999999999</v>
      </c>
      <c r="G687">
        <v>37.167999999999999</v>
      </c>
      <c r="H687">
        <v>38.332999999999998</v>
      </c>
      <c r="I687" s="136">
        <v>40367</v>
      </c>
      <c r="J687">
        <v>38.78</v>
      </c>
      <c r="K687">
        <v>37.15</v>
      </c>
      <c r="L687">
        <v>38.82</v>
      </c>
    </row>
    <row r="688" spans="1:12">
      <c r="A688" s="136">
        <v>40368</v>
      </c>
      <c r="B688">
        <v>1986</v>
      </c>
      <c r="C688">
        <v>1970.4</v>
      </c>
      <c r="D688">
        <v>2010</v>
      </c>
      <c r="E688" s="136">
        <v>40368</v>
      </c>
      <c r="F688">
        <v>38.332999999999998</v>
      </c>
      <c r="G688">
        <v>37.734999999999999</v>
      </c>
      <c r="H688">
        <v>38.655000000000001</v>
      </c>
      <c r="I688" s="136">
        <v>40368</v>
      </c>
      <c r="J688">
        <v>37.75</v>
      </c>
      <c r="K688">
        <v>37.68</v>
      </c>
      <c r="L688">
        <v>38.89</v>
      </c>
    </row>
    <row r="689" spans="1:12">
      <c r="A689" s="136">
        <v>40369</v>
      </c>
      <c r="B689">
        <v>1986</v>
      </c>
      <c r="C689">
        <v>1970.4</v>
      </c>
      <c r="D689">
        <v>2010</v>
      </c>
      <c r="E689" s="136">
        <v>40369</v>
      </c>
      <c r="F689">
        <v>38.332999999999998</v>
      </c>
      <c r="G689">
        <v>37.734999999999999</v>
      </c>
      <c r="H689">
        <v>38.655000000000001</v>
      </c>
      <c r="I689" s="136">
        <v>40369</v>
      </c>
      <c r="J689">
        <v>37.75</v>
      </c>
      <c r="K689">
        <v>37.68</v>
      </c>
      <c r="L689">
        <v>38.89</v>
      </c>
    </row>
    <row r="690" spans="1:12">
      <c r="A690" s="136">
        <v>40370</v>
      </c>
      <c r="B690">
        <v>1986</v>
      </c>
      <c r="C690">
        <v>1970.4</v>
      </c>
      <c r="D690">
        <v>2010</v>
      </c>
      <c r="E690" s="136">
        <v>40370</v>
      </c>
      <c r="F690">
        <v>38.332999999999998</v>
      </c>
      <c r="G690">
        <v>37.734999999999999</v>
      </c>
      <c r="H690">
        <v>38.655000000000001</v>
      </c>
      <c r="I690" s="136">
        <v>40370</v>
      </c>
      <c r="J690">
        <v>37.75</v>
      </c>
      <c r="K690">
        <v>37.68</v>
      </c>
      <c r="L690">
        <v>38.89</v>
      </c>
    </row>
    <row r="691" spans="1:12">
      <c r="A691" s="136">
        <v>40371</v>
      </c>
      <c r="B691">
        <v>2002</v>
      </c>
      <c r="C691">
        <v>1970</v>
      </c>
      <c r="D691">
        <v>2004.25</v>
      </c>
      <c r="E691" s="136">
        <v>40371</v>
      </c>
      <c r="F691">
        <v>38.243000000000002</v>
      </c>
      <c r="G691">
        <v>37.497999999999998</v>
      </c>
      <c r="H691">
        <v>38.542999999999999</v>
      </c>
      <c r="I691" s="136">
        <v>40371</v>
      </c>
      <c r="J691">
        <v>38.86</v>
      </c>
      <c r="K691">
        <v>38.6</v>
      </c>
      <c r="L691">
        <v>39.340000000000003</v>
      </c>
    </row>
    <row r="692" spans="1:12">
      <c r="A692" s="136">
        <v>40372</v>
      </c>
      <c r="B692">
        <v>1973</v>
      </c>
      <c r="C692">
        <v>1950</v>
      </c>
      <c r="D692">
        <v>2005</v>
      </c>
      <c r="E692" s="136">
        <v>40372</v>
      </c>
      <c r="F692">
        <v>38.119</v>
      </c>
      <c r="G692">
        <v>38.061</v>
      </c>
      <c r="H692">
        <v>39.133000000000003</v>
      </c>
      <c r="I692" s="136">
        <v>40372</v>
      </c>
      <c r="J692">
        <v>39.81</v>
      </c>
      <c r="K692">
        <v>39.74</v>
      </c>
      <c r="L692">
        <v>40.69</v>
      </c>
    </row>
    <row r="693" spans="1:12">
      <c r="A693" s="136">
        <v>40373</v>
      </c>
      <c r="B693">
        <v>1998</v>
      </c>
      <c r="C693">
        <v>1988.75</v>
      </c>
      <c r="D693">
        <v>2025</v>
      </c>
      <c r="E693" s="136">
        <v>40373</v>
      </c>
      <c r="F693">
        <v>39.357999999999997</v>
      </c>
      <c r="G693">
        <v>38.643999999999998</v>
      </c>
      <c r="H693">
        <v>39.459000000000003</v>
      </c>
      <c r="I693" s="136">
        <v>40373</v>
      </c>
      <c r="J693">
        <v>40.15</v>
      </c>
      <c r="K693">
        <v>39.840000000000003</v>
      </c>
      <c r="L693">
        <v>40.380000000000003</v>
      </c>
    </row>
    <row r="694" spans="1:12">
      <c r="A694" s="136">
        <v>40374</v>
      </c>
      <c r="B694">
        <v>1998</v>
      </c>
      <c r="C694">
        <v>1992</v>
      </c>
      <c r="D694">
        <v>2033.75</v>
      </c>
      <c r="E694" s="136">
        <v>40374</v>
      </c>
      <c r="F694">
        <v>38.954000000000001</v>
      </c>
      <c r="G694">
        <v>37.463000000000001</v>
      </c>
      <c r="H694">
        <v>39.063000000000002</v>
      </c>
      <c r="I694" s="136">
        <v>40374</v>
      </c>
      <c r="J694">
        <v>40.72</v>
      </c>
      <c r="K694">
        <v>39.31</v>
      </c>
      <c r="L694">
        <v>40.840000000000003</v>
      </c>
    </row>
    <row r="695" spans="1:12">
      <c r="A695" s="136">
        <v>40375</v>
      </c>
      <c r="B695">
        <v>2012</v>
      </c>
      <c r="C695">
        <v>1974.5</v>
      </c>
      <c r="D695">
        <v>2030</v>
      </c>
      <c r="E695" s="136">
        <v>40375</v>
      </c>
      <c r="F695">
        <v>38.139000000000003</v>
      </c>
      <c r="G695">
        <v>36.658999999999999</v>
      </c>
      <c r="H695">
        <v>38.36</v>
      </c>
      <c r="I695" s="136">
        <v>40375</v>
      </c>
      <c r="J695">
        <v>40.28</v>
      </c>
      <c r="K695">
        <v>38.86</v>
      </c>
      <c r="L695">
        <v>40.35</v>
      </c>
    </row>
    <row r="696" spans="1:12">
      <c r="A696" s="136">
        <v>40376</v>
      </c>
      <c r="B696">
        <v>2012</v>
      </c>
      <c r="C696">
        <v>1974.5</v>
      </c>
      <c r="D696">
        <v>2030</v>
      </c>
      <c r="E696" s="136">
        <v>40376</v>
      </c>
      <c r="F696">
        <v>38.139000000000003</v>
      </c>
      <c r="G696">
        <v>36.658999999999999</v>
      </c>
      <c r="H696">
        <v>38.36</v>
      </c>
      <c r="I696" s="136">
        <v>40376</v>
      </c>
      <c r="J696">
        <v>40.28</v>
      </c>
      <c r="K696">
        <v>38.86</v>
      </c>
      <c r="L696">
        <v>40.35</v>
      </c>
    </row>
    <row r="697" spans="1:12">
      <c r="A697" s="136">
        <v>40377</v>
      </c>
      <c r="B697">
        <v>2012</v>
      </c>
      <c r="C697">
        <v>1974.5</v>
      </c>
      <c r="D697">
        <v>2030</v>
      </c>
      <c r="E697" s="136">
        <v>40377</v>
      </c>
      <c r="F697">
        <v>38.139000000000003</v>
      </c>
      <c r="G697">
        <v>36.658999999999999</v>
      </c>
      <c r="H697">
        <v>38.36</v>
      </c>
      <c r="I697" s="136">
        <v>40377</v>
      </c>
      <c r="J697">
        <v>40.28</v>
      </c>
      <c r="K697">
        <v>38.86</v>
      </c>
      <c r="L697">
        <v>40.35</v>
      </c>
    </row>
    <row r="698" spans="1:12">
      <c r="A698" s="136">
        <v>40378</v>
      </c>
      <c r="B698">
        <v>1975</v>
      </c>
      <c r="C698">
        <v>1962</v>
      </c>
      <c r="D698">
        <v>1992</v>
      </c>
      <c r="E698" s="136">
        <v>40378</v>
      </c>
      <c r="F698">
        <v>37.128999999999998</v>
      </c>
      <c r="G698">
        <v>36.298000000000002</v>
      </c>
      <c r="H698">
        <v>37.207000000000001</v>
      </c>
      <c r="I698" s="136">
        <v>40378</v>
      </c>
      <c r="J698">
        <v>39.03</v>
      </c>
      <c r="K698">
        <v>38.119999999999997</v>
      </c>
      <c r="L698">
        <v>39.36</v>
      </c>
    </row>
    <row r="699" spans="1:12">
      <c r="A699" s="136">
        <v>40379</v>
      </c>
      <c r="B699">
        <v>1968.5</v>
      </c>
      <c r="C699">
        <v>1947.5</v>
      </c>
      <c r="D699">
        <v>1992.5</v>
      </c>
      <c r="E699" s="136">
        <v>40379</v>
      </c>
      <c r="F699">
        <v>36.744</v>
      </c>
      <c r="G699">
        <v>35.808</v>
      </c>
      <c r="H699">
        <v>37.094000000000001</v>
      </c>
      <c r="I699" s="136">
        <v>40379</v>
      </c>
      <c r="J699">
        <v>38.32</v>
      </c>
      <c r="K699">
        <v>38.28</v>
      </c>
      <c r="L699">
        <v>39.64</v>
      </c>
    </row>
    <row r="700" spans="1:12">
      <c r="A700" s="136">
        <v>40380</v>
      </c>
      <c r="B700">
        <v>1983</v>
      </c>
      <c r="C700">
        <v>1969.25</v>
      </c>
      <c r="D700">
        <v>2024</v>
      </c>
      <c r="E700" s="136">
        <v>40380</v>
      </c>
      <c r="F700">
        <v>37.113</v>
      </c>
      <c r="G700">
        <v>36.896000000000001</v>
      </c>
      <c r="H700">
        <v>37.459000000000003</v>
      </c>
      <c r="I700" s="136">
        <v>40380</v>
      </c>
      <c r="J700">
        <v>40.25</v>
      </c>
      <c r="K700">
        <v>38.340000000000003</v>
      </c>
      <c r="L700">
        <v>40.25</v>
      </c>
    </row>
    <row r="701" spans="1:12">
      <c r="A701" s="136">
        <v>40381</v>
      </c>
      <c r="B701">
        <v>1999</v>
      </c>
      <c r="C701">
        <v>1991</v>
      </c>
      <c r="D701">
        <v>2061.75</v>
      </c>
      <c r="E701" s="136">
        <v>40381</v>
      </c>
      <c r="F701">
        <v>36.896000000000001</v>
      </c>
      <c r="G701">
        <v>36.74</v>
      </c>
      <c r="H701">
        <v>38.838000000000001</v>
      </c>
      <c r="I701" s="136">
        <v>40381</v>
      </c>
      <c r="J701">
        <v>38.96</v>
      </c>
      <c r="K701">
        <v>38.729999999999997</v>
      </c>
      <c r="L701">
        <v>39.6</v>
      </c>
    </row>
    <row r="702" spans="1:12">
      <c r="A702" s="136">
        <v>40382</v>
      </c>
      <c r="B702">
        <v>2030</v>
      </c>
      <c r="C702">
        <v>2021</v>
      </c>
      <c r="D702">
        <v>2070</v>
      </c>
      <c r="E702" s="136">
        <v>40382</v>
      </c>
      <c r="F702">
        <v>38.69</v>
      </c>
      <c r="G702">
        <v>37.944000000000003</v>
      </c>
      <c r="H702">
        <v>38.984999999999999</v>
      </c>
      <c r="I702" s="136">
        <v>40382</v>
      </c>
      <c r="J702">
        <v>39.17</v>
      </c>
      <c r="K702">
        <v>38.97</v>
      </c>
      <c r="L702">
        <v>39.96</v>
      </c>
    </row>
    <row r="703" spans="1:12">
      <c r="A703" s="136">
        <v>40383</v>
      </c>
      <c r="B703">
        <v>2030</v>
      </c>
      <c r="C703">
        <v>2021</v>
      </c>
      <c r="D703">
        <v>2070</v>
      </c>
      <c r="E703" s="136">
        <v>40383</v>
      </c>
      <c r="F703">
        <v>38.69</v>
      </c>
      <c r="G703">
        <v>37.944000000000003</v>
      </c>
      <c r="H703">
        <v>38.984999999999999</v>
      </c>
      <c r="I703" s="136">
        <v>40383</v>
      </c>
      <c r="J703">
        <v>39.17</v>
      </c>
      <c r="K703">
        <v>38.97</v>
      </c>
      <c r="L703">
        <v>39.96</v>
      </c>
    </row>
    <row r="704" spans="1:12">
      <c r="A704" s="136">
        <v>40384</v>
      </c>
      <c r="B704">
        <v>2030</v>
      </c>
      <c r="C704">
        <v>2021</v>
      </c>
      <c r="D704">
        <v>2070</v>
      </c>
      <c r="E704" s="136">
        <v>40384</v>
      </c>
      <c r="F704">
        <v>38.69</v>
      </c>
      <c r="G704">
        <v>37.944000000000003</v>
      </c>
      <c r="H704">
        <v>38.984999999999999</v>
      </c>
      <c r="I704" s="136">
        <v>40384</v>
      </c>
      <c r="J704">
        <v>39.17</v>
      </c>
      <c r="K704">
        <v>38.97</v>
      </c>
      <c r="L704">
        <v>39.96</v>
      </c>
    </row>
    <row r="705" spans="1:12">
      <c r="A705" s="136">
        <v>40385</v>
      </c>
      <c r="B705">
        <v>2026</v>
      </c>
      <c r="C705">
        <v>2026</v>
      </c>
      <c r="D705">
        <v>2063</v>
      </c>
      <c r="E705" s="136">
        <v>40385</v>
      </c>
      <c r="F705">
        <v>38.923000000000002</v>
      </c>
      <c r="G705">
        <v>37.502000000000002</v>
      </c>
      <c r="H705">
        <v>39.133000000000003</v>
      </c>
      <c r="I705" s="136">
        <v>40385</v>
      </c>
      <c r="J705">
        <v>39.799999999999997</v>
      </c>
      <c r="K705">
        <v>39.5</v>
      </c>
      <c r="L705">
        <v>40.36</v>
      </c>
    </row>
    <row r="706" spans="1:12">
      <c r="A706" s="136">
        <v>40386</v>
      </c>
      <c r="B706">
        <v>2060</v>
      </c>
      <c r="C706">
        <v>2044</v>
      </c>
      <c r="D706">
        <v>2074</v>
      </c>
      <c r="E706" s="136">
        <v>40386</v>
      </c>
      <c r="F706">
        <v>38.954000000000001</v>
      </c>
      <c r="G706">
        <v>38.720999999999997</v>
      </c>
      <c r="H706">
        <v>41.851999999999997</v>
      </c>
      <c r="I706" s="136">
        <v>40386</v>
      </c>
      <c r="J706">
        <v>40.74</v>
      </c>
      <c r="K706">
        <v>40.61</v>
      </c>
      <c r="L706">
        <v>41.24</v>
      </c>
    </row>
    <row r="707" spans="1:12">
      <c r="A707" s="136">
        <v>40387</v>
      </c>
      <c r="B707">
        <v>2056</v>
      </c>
      <c r="C707">
        <v>2054</v>
      </c>
      <c r="D707">
        <v>2086</v>
      </c>
      <c r="E707" s="136">
        <v>40387</v>
      </c>
      <c r="F707">
        <v>40.856999999999999</v>
      </c>
      <c r="G707">
        <v>40.856999999999999</v>
      </c>
      <c r="H707">
        <v>41.712000000000003</v>
      </c>
      <c r="I707" s="136">
        <v>40387</v>
      </c>
      <c r="J707">
        <v>40.44</v>
      </c>
      <c r="K707">
        <v>40.15</v>
      </c>
      <c r="L707">
        <v>40.9</v>
      </c>
    </row>
    <row r="708" spans="1:12">
      <c r="A708" s="136">
        <v>40388</v>
      </c>
      <c r="B708">
        <v>2070</v>
      </c>
      <c r="C708">
        <v>2058</v>
      </c>
      <c r="D708">
        <v>2113</v>
      </c>
      <c r="E708" s="136">
        <v>40388</v>
      </c>
      <c r="F708">
        <v>41.246000000000002</v>
      </c>
      <c r="G708">
        <v>41.075000000000003</v>
      </c>
      <c r="H708">
        <v>42.216999999999999</v>
      </c>
      <c r="I708" s="136">
        <v>40388</v>
      </c>
      <c r="J708">
        <v>40.71</v>
      </c>
      <c r="K708">
        <v>39.909999999999997</v>
      </c>
      <c r="L708">
        <v>40.83</v>
      </c>
    </row>
    <row r="709" spans="1:12">
      <c r="A709" s="136">
        <v>40389</v>
      </c>
      <c r="B709">
        <v>2092</v>
      </c>
      <c r="C709">
        <v>2086</v>
      </c>
      <c r="D709">
        <v>2175.25</v>
      </c>
      <c r="E709" s="136">
        <v>40389</v>
      </c>
      <c r="F709">
        <v>41.323</v>
      </c>
      <c r="G709">
        <v>41.043999999999997</v>
      </c>
      <c r="H709">
        <v>41.945</v>
      </c>
      <c r="I709" s="136">
        <v>40389</v>
      </c>
      <c r="J709">
        <v>39.72</v>
      </c>
      <c r="K709">
        <v>39.72</v>
      </c>
      <c r="L709">
        <v>40.69</v>
      </c>
    </row>
    <row r="710" spans="1:12">
      <c r="A710" s="136">
        <v>40390</v>
      </c>
      <c r="B710">
        <v>2092</v>
      </c>
      <c r="C710">
        <v>2086</v>
      </c>
      <c r="D710">
        <v>2175.25</v>
      </c>
      <c r="E710" s="136">
        <v>40390</v>
      </c>
      <c r="F710">
        <v>41.323</v>
      </c>
      <c r="G710">
        <v>41.043999999999997</v>
      </c>
      <c r="H710">
        <v>41.945</v>
      </c>
      <c r="I710" s="136">
        <v>40390</v>
      </c>
      <c r="J710">
        <v>39.72</v>
      </c>
      <c r="K710">
        <v>39.72</v>
      </c>
      <c r="L710">
        <v>40.69</v>
      </c>
    </row>
    <row r="711" spans="1:12">
      <c r="A711" s="136">
        <v>40391</v>
      </c>
      <c r="B711">
        <v>2092</v>
      </c>
      <c r="C711">
        <v>2086</v>
      </c>
      <c r="D711">
        <v>2175.25</v>
      </c>
      <c r="E711" s="136">
        <v>40391</v>
      </c>
      <c r="F711">
        <v>41.323</v>
      </c>
      <c r="G711">
        <v>41.043999999999997</v>
      </c>
      <c r="H711">
        <v>41.945</v>
      </c>
      <c r="I711" s="136">
        <v>40391</v>
      </c>
      <c r="J711">
        <v>39.72</v>
      </c>
      <c r="K711">
        <v>39.72</v>
      </c>
      <c r="L711">
        <v>40.69</v>
      </c>
    </row>
    <row r="712" spans="1:12">
      <c r="A712" s="136">
        <v>40392</v>
      </c>
      <c r="B712">
        <v>2165</v>
      </c>
      <c r="C712">
        <v>2156.25</v>
      </c>
      <c r="D712">
        <v>2236</v>
      </c>
      <c r="E712" s="136">
        <v>40392</v>
      </c>
      <c r="F712">
        <v>41.945</v>
      </c>
      <c r="G712">
        <v>41.789000000000001</v>
      </c>
      <c r="H712">
        <v>42.798999999999999</v>
      </c>
      <c r="I712" s="136">
        <v>40392</v>
      </c>
      <c r="J712">
        <v>40.98</v>
      </c>
      <c r="K712">
        <v>40.729999999999997</v>
      </c>
      <c r="L712">
        <v>41.7</v>
      </c>
    </row>
    <row r="713" spans="1:12">
      <c r="A713" s="136">
        <v>40393</v>
      </c>
      <c r="B713">
        <v>2228</v>
      </c>
      <c r="C713">
        <v>2192</v>
      </c>
      <c r="D713">
        <v>2229.75</v>
      </c>
      <c r="E713" s="136">
        <v>40393</v>
      </c>
      <c r="F713">
        <v>42.954999999999998</v>
      </c>
      <c r="G713">
        <v>42.418999999999997</v>
      </c>
      <c r="H713">
        <v>43.506</v>
      </c>
      <c r="I713" s="136">
        <v>40393</v>
      </c>
      <c r="J713">
        <v>41.5</v>
      </c>
      <c r="K713">
        <v>40.869999999999997</v>
      </c>
      <c r="L713">
        <v>41.65</v>
      </c>
    </row>
    <row r="714" spans="1:12">
      <c r="A714" s="136">
        <v>40394</v>
      </c>
      <c r="B714">
        <v>2195</v>
      </c>
      <c r="C714">
        <v>2190.75</v>
      </c>
      <c r="D714">
        <v>2249</v>
      </c>
      <c r="E714" s="136">
        <v>40394</v>
      </c>
      <c r="F714">
        <v>42.915999999999997</v>
      </c>
      <c r="G714">
        <v>42.542999999999999</v>
      </c>
      <c r="H714">
        <v>43.716000000000001</v>
      </c>
      <c r="I714" s="136">
        <v>40394</v>
      </c>
      <c r="J714">
        <v>41.22</v>
      </c>
      <c r="K714">
        <v>40.86</v>
      </c>
      <c r="L714">
        <v>41.405000000000001</v>
      </c>
    </row>
    <row r="715" spans="1:12">
      <c r="A715" s="136">
        <v>40395</v>
      </c>
      <c r="B715">
        <v>2225</v>
      </c>
      <c r="C715">
        <v>2190</v>
      </c>
      <c r="D715">
        <v>2240</v>
      </c>
      <c r="E715" s="136">
        <v>40395</v>
      </c>
      <c r="F715">
        <v>43.241999999999997</v>
      </c>
      <c r="G715">
        <v>42.978000000000002</v>
      </c>
      <c r="H715">
        <v>43.887</v>
      </c>
      <c r="I715" s="136">
        <v>40395</v>
      </c>
      <c r="J715">
        <v>40.97</v>
      </c>
      <c r="K715">
        <v>40.94</v>
      </c>
      <c r="L715">
        <v>41.43</v>
      </c>
    </row>
    <row r="716" spans="1:12">
      <c r="A716" s="136">
        <v>40396</v>
      </c>
      <c r="B716">
        <v>2195</v>
      </c>
      <c r="C716">
        <v>2183</v>
      </c>
      <c r="D716">
        <v>2229</v>
      </c>
      <c r="E716" s="136">
        <v>40396</v>
      </c>
      <c r="F716">
        <v>43.677</v>
      </c>
      <c r="G716">
        <v>42.332999999999998</v>
      </c>
      <c r="H716">
        <v>43.933</v>
      </c>
      <c r="I716" s="136">
        <v>40396</v>
      </c>
      <c r="J716">
        <v>40.74</v>
      </c>
      <c r="K716">
        <v>39.97</v>
      </c>
      <c r="L716">
        <v>40.950000000000003</v>
      </c>
    </row>
    <row r="717" spans="1:12">
      <c r="A717" s="136">
        <v>40397</v>
      </c>
      <c r="B717">
        <v>2195</v>
      </c>
      <c r="C717">
        <v>2183</v>
      </c>
      <c r="D717">
        <v>2229</v>
      </c>
      <c r="E717" s="136">
        <v>40397</v>
      </c>
      <c r="F717">
        <v>43.677</v>
      </c>
      <c r="G717">
        <v>42.332999999999998</v>
      </c>
      <c r="H717">
        <v>43.933</v>
      </c>
      <c r="I717" s="136">
        <v>40397</v>
      </c>
      <c r="J717">
        <v>40.74</v>
      </c>
      <c r="K717">
        <v>39.97</v>
      </c>
      <c r="L717">
        <v>40.950000000000003</v>
      </c>
    </row>
    <row r="718" spans="1:12">
      <c r="A718" s="136">
        <v>40398</v>
      </c>
      <c r="B718">
        <v>2195</v>
      </c>
      <c r="C718">
        <v>2183</v>
      </c>
      <c r="D718">
        <v>2229</v>
      </c>
      <c r="E718" s="136">
        <v>40398</v>
      </c>
      <c r="F718">
        <v>43.677</v>
      </c>
      <c r="G718">
        <v>42.332999999999998</v>
      </c>
      <c r="H718">
        <v>43.933</v>
      </c>
      <c r="I718" s="136">
        <v>40398</v>
      </c>
      <c r="J718">
        <v>40.74</v>
      </c>
      <c r="K718">
        <v>39.97</v>
      </c>
      <c r="L718">
        <v>40.950000000000003</v>
      </c>
    </row>
    <row r="719" spans="1:12">
      <c r="A719" s="136">
        <v>40399</v>
      </c>
      <c r="B719">
        <v>2200</v>
      </c>
      <c r="C719">
        <v>2175</v>
      </c>
      <c r="D719">
        <v>2219.75</v>
      </c>
      <c r="E719" s="136">
        <v>40399</v>
      </c>
      <c r="F719">
        <v>43.497999999999998</v>
      </c>
      <c r="G719">
        <v>43.295999999999999</v>
      </c>
      <c r="H719">
        <v>43.777999999999999</v>
      </c>
      <c r="I719" s="136">
        <v>40399</v>
      </c>
      <c r="J719">
        <v>40.549999999999997</v>
      </c>
      <c r="K719">
        <v>39.659999999999997</v>
      </c>
      <c r="L719">
        <v>40.558199999999999</v>
      </c>
    </row>
    <row r="720" spans="1:12">
      <c r="A720" s="136">
        <v>40400</v>
      </c>
      <c r="B720">
        <v>2180</v>
      </c>
      <c r="C720">
        <v>2145</v>
      </c>
      <c r="D720">
        <v>2187</v>
      </c>
      <c r="E720" s="136">
        <v>40400</v>
      </c>
      <c r="F720">
        <v>43.459000000000003</v>
      </c>
      <c r="G720">
        <v>42.457000000000001</v>
      </c>
      <c r="H720">
        <v>43.576000000000001</v>
      </c>
      <c r="I720" s="136">
        <v>40400</v>
      </c>
      <c r="J720">
        <v>39.67</v>
      </c>
      <c r="K720">
        <v>39.159999999999997</v>
      </c>
      <c r="L720">
        <v>39.729999999999997</v>
      </c>
    </row>
    <row r="721" spans="1:12">
      <c r="A721" s="136">
        <v>40401</v>
      </c>
      <c r="B721">
        <v>2171</v>
      </c>
      <c r="C721">
        <v>2134.75</v>
      </c>
      <c r="D721">
        <v>2178</v>
      </c>
      <c r="E721" s="136">
        <v>40401</v>
      </c>
      <c r="F721">
        <v>42.021999999999998</v>
      </c>
      <c r="G721">
        <v>41.478999999999999</v>
      </c>
      <c r="H721">
        <v>42.512</v>
      </c>
      <c r="I721" s="136">
        <v>40401</v>
      </c>
      <c r="J721">
        <v>38.65</v>
      </c>
      <c r="K721">
        <v>37.75</v>
      </c>
      <c r="L721">
        <v>38.78</v>
      </c>
    </row>
    <row r="722" spans="1:12">
      <c r="A722" s="136">
        <v>40402</v>
      </c>
      <c r="B722">
        <v>2142</v>
      </c>
      <c r="C722">
        <v>2131</v>
      </c>
      <c r="D722">
        <v>2176</v>
      </c>
      <c r="E722" s="136">
        <v>40402</v>
      </c>
      <c r="F722">
        <v>41.401000000000003</v>
      </c>
      <c r="G722">
        <v>40.484000000000002</v>
      </c>
      <c r="H722">
        <v>41.540999999999997</v>
      </c>
      <c r="I722" s="136">
        <v>40402</v>
      </c>
      <c r="J722">
        <v>37.36</v>
      </c>
      <c r="K722">
        <v>37.22</v>
      </c>
      <c r="L722">
        <v>37.991</v>
      </c>
    </row>
    <row r="723" spans="1:12">
      <c r="A723" s="136">
        <v>40403</v>
      </c>
      <c r="B723">
        <v>2152</v>
      </c>
      <c r="C723">
        <v>2106</v>
      </c>
      <c r="D723">
        <v>2176.75</v>
      </c>
      <c r="E723" s="136">
        <v>40403</v>
      </c>
      <c r="F723">
        <v>41.338999999999999</v>
      </c>
      <c r="G723">
        <v>40.585000000000001</v>
      </c>
      <c r="H723">
        <v>41.866999999999997</v>
      </c>
      <c r="I723" s="136">
        <v>40403</v>
      </c>
      <c r="J723">
        <v>37.799999999999997</v>
      </c>
      <c r="K723">
        <v>37.5</v>
      </c>
      <c r="L723">
        <v>38.04</v>
      </c>
    </row>
    <row r="724" spans="1:12">
      <c r="A724" s="136">
        <v>40404</v>
      </c>
      <c r="B724">
        <v>2152</v>
      </c>
      <c r="C724">
        <v>2106</v>
      </c>
      <c r="D724">
        <v>2176.75</v>
      </c>
      <c r="E724" s="136">
        <v>40404</v>
      </c>
      <c r="F724">
        <v>41.338999999999999</v>
      </c>
      <c r="G724">
        <v>40.585000000000001</v>
      </c>
      <c r="H724">
        <v>41.866999999999997</v>
      </c>
      <c r="I724" s="136">
        <v>40404</v>
      </c>
      <c r="J724">
        <v>37.799999999999997</v>
      </c>
      <c r="K724">
        <v>37.5</v>
      </c>
      <c r="L724">
        <v>38.04</v>
      </c>
    </row>
    <row r="725" spans="1:12">
      <c r="A725" s="136">
        <v>40405</v>
      </c>
      <c r="B725">
        <v>2152</v>
      </c>
      <c r="C725">
        <v>2106</v>
      </c>
      <c r="D725">
        <v>2176.75</v>
      </c>
      <c r="E725" s="136">
        <v>40405</v>
      </c>
      <c r="F725">
        <v>41.338999999999999</v>
      </c>
      <c r="G725">
        <v>40.585000000000001</v>
      </c>
      <c r="H725">
        <v>41.866999999999997</v>
      </c>
      <c r="I725" s="136">
        <v>40405</v>
      </c>
      <c r="J725">
        <v>37.799999999999997</v>
      </c>
      <c r="K725">
        <v>37.5</v>
      </c>
      <c r="L725">
        <v>38.04</v>
      </c>
    </row>
    <row r="726" spans="1:12">
      <c r="A726" s="136">
        <v>40406</v>
      </c>
      <c r="B726">
        <v>2119</v>
      </c>
      <c r="C726">
        <v>2105</v>
      </c>
      <c r="D726">
        <v>2138</v>
      </c>
      <c r="E726" s="136">
        <v>40406</v>
      </c>
      <c r="F726">
        <v>41.167999999999999</v>
      </c>
      <c r="G726">
        <v>40.081000000000003</v>
      </c>
      <c r="H726">
        <v>41.432000000000002</v>
      </c>
      <c r="I726" s="136">
        <v>40406</v>
      </c>
      <c r="J726">
        <v>37.32</v>
      </c>
      <c r="K726">
        <v>37.28</v>
      </c>
      <c r="L726">
        <v>37.82</v>
      </c>
    </row>
    <row r="727" spans="1:12">
      <c r="A727" s="136">
        <v>40407</v>
      </c>
      <c r="B727">
        <v>2120</v>
      </c>
      <c r="C727">
        <v>2120</v>
      </c>
      <c r="D727">
        <v>2173</v>
      </c>
      <c r="E727" s="136">
        <v>40407</v>
      </c>
      <c r="F727">
        <v>40.71</v>
      </c>
      <c r="G727">
        <v>40.399000000000001</v>
      </c>
      <c r="H727">
        <v>41.384999999999998</v>
      </c>
      <c r="I727" s="136">
        <v>40407</v>
      </c>
      <c r="J727">
        <v>37.97</v>
      </c>
      <c r="K727">
        <v>37.4</v>
      </c>
      <c r="L727">
        <v>38.07</v>
      </c>
    </row>
    <row r="728" spans="1:12">
      <c r="A728" s="136">
        <v>40408</v>
      </c>
      <c r="B728">
        <v>2143</v>
      </c>
      <c r="C728">
        <v>2091</v>
      </c>
      <c r="D728">
        <v>2149</v>
      </c>
      <c r="E728" s="136">
        <v>40408</v>
      </c>
      <c r="F728">
        <v>41.167999999999999</v>
      </c>
      <c r="G728">
        <v>40.5</v>
      </c>
      <c r="H728">
        <v>41.207000000000001</v>
      </c>
      <c r="I728" s="136">
        <v>40408</v>
      </c>
      <c r="J728">
        <v>37.39</v>
      </c>
      <c r="K728">
        <v>37.39</v>
      </c>
      <c r="L728">
        <v>38.19</v>
      </c>
    </row>
    <row r="729" spans="1:12">
      <c r="A729" s="136">
        <v>40409</v>
      </c>
      <c r="B729">
        <v>2125</v>
      </c>
      <c r="C729">
        <v>2058</v>
      </c>
      <c r="D729">
        <v>2131.5</v>
      </c>
      <c r="E729" s="136">
        <v>40409</v>
      </c>
      <c r="F729">
        <v>40.896000000000001</v>
      </c>
      <c r="G729">
        <v>39.536999999999999</v>
      </c>
      <c r="H729">
        <v>41.043999999999997</v>
      </c>
      <c r="I729" s="136">
        <v>40409</v>
      </c>
      <c r="J729">
        <v>37.659999999999997</v>
      </c>
      <c r="K729">
        <v>37</v>
      </c>
      <c r="L729">
        <v>37.97</v>
      </c>
    </row>
    <row r="730" spans="1:12">
      <c r="A730" s="136">
        <v>40410</v>
      </c>
      <c r="B730">
        <v>2078</v>
      </c>
      <c r="C730">
        <v>2015</v>
      </c>
      <c r="D730">
        <v>2085</v>
      </c>
      <c r="E730" s="136">
        <v>40410</v>
      </c>
      <c r="F730">
        <v>39.536999999999999</v>
      </c>
      <c r="G730">
        <v>39.024000000000001</v>
      </c>
      <c r="H730">
        <v>40.15</v>
      </c>
      <c r="I730" s="136">
        <v>40410</v>
      </c>
      <c r="J730">
        <v>37.11</v>
      </c>
      <c r="K730">
        <v>36.81</v>
      </c>
      <c r="L730">
        <v>37.36</v>
      </c>
    </row>
    <row r="731" spans="1:12">
      <c r="A731" s="136">
        <v>40411</v>
      </c>
      <c r="B731">
        <v>2078</v>
      </c>
      <c r="C731">
        <v>2015</v>
      </c>
      <c r="D731">
        <v>2085</v>
      </c>
      <c r="E731" s="136">
        <v>40411</v>
      </c>
      <c r="F731">
        <v>39.536999999999999</v>
      </c>
      <c r="G731">
        <v>39.024000000000001</v>
      </c>
      <c r="H731">
        <v>40.15</v>
      </c>
      <c r="I731" s="136">
        <v>40411</v>
      </c>
      <c r="J731">
        <v>37.11</v>
      </c>
      <c r="K731">
        <v>36.81</v>
      </c>
      <c r="L731">
        <v>37.36</v>
      </c>
    </row>
    <row r="732" spans="1:12">
      <c r="A732" s="136">
        <v>40412</v>
      </c>
      <c r="B732">
        <v>2078</v>
      </c>
      <c r="C732">
        <v>2015</v>
      </c>
      <c r="D732">
        <v>2085</v>
      </c>
      <c r="E732" s="136">
        <v>40412</v>
      </c>
      <c r="F732">
        <v>39.536999999999999</v>
      </c>
      <c r="G732">
        <v>39.024000000000001</v>
      </c>
      <c r="H732">
        <v>40.15</v>
      </c>
      <c r="I732" s="136">
        <v>40412</v>
      </c>
      <c r="J732">
        <v>37.11</v>
      </c>
      <c r="K732">
        <v>36.81</v>
      </c>
      <c r="L732">
        <v>37.36</v>
      </c>
    </row>
    <row r="733" spans="1:12">
      <c r="A733" s="136">
        <v>40413</v>
      </c>
      <c r="B733">
        <v>2049</v>
      </c>
      <c r="C733">
        <v>2032.25</v>
      </c>
      <c r="D733">
        <v>2071.25</v>
      </c>
      <c r="E733" s="136">
        <v>40413</v>
      </c>
      <c r="F733">
        <v>39.692</v>
      </c>
      <c r="G733">
        <v>39.374000000000002</v>
      </c>
      <c r="H733">
        <v>40.298000000000002</v>
      </c>
      <c r="I733" s="136">
        <v>40413</v>
      </c>
      <c r="J733">
        <v>37.21</v>
      </c>
      <c r="K733">
        <v>36.840000000000003</v>
      </c>
      <c r="L733">
        <v>37.409999999999997</v>
      </c>
    </row>
    <row r="734" spans="1:12">
      <c r="A734" s="136">
        <v>40414</v>
      </c>
      <c r="B734">
        <v>2044</v>
      </c>
      <c r="C734">
        <v>2010</v>
      </c>
      <c r="D734">
        <v>2048</v>
      </c>
      <c r="E734" s="136">
        <v>40414</v>
      </c>
      <c r="F734">
        <v>39.381</v>
      </c>
      <c r="G734">
        <v>38.566000000000003</v>
      </c>
      <c r="H734">
        <v>39.613999999999997</v>
      </c>
      <c r="I734" s="136">
        <v>40414</v>
      </c>
      <c r="J734">
        <v>36.590000000000003</v>
      </c>
      <c r="K734">
        <v>35.92</v>
      </c>
      <c r="L734">
        <v>36.695</v>
      </c>
    </row>
    <row r="735" spans="1:12">
      <c r="A735" s="136">
        <v>40415</v>
      </c>
      <c r="B735">
        <v>2025.75</v>
      </c>
      <c r="C735">
        <v>1982.25</v>
      </c>
      <c r="D735">
        <v>2037.75</v>
      </c>
      <c r="E735" s="136">
        <v>40415</v>
      </c>
      <c r="F735">
        <v>38.838000000000001</v>
      </c>
      <c r="G735">
        <v>38.131</v>
      </c>
      <c r="H735">
        <v>39.661000000000001</v>
      </c>
      <c r="I735" s="136">
        <v>40415</v>
      </c>
      <c r="J735">
        <v>35.950000000000003</v>
      </c>
      <c r="K735">
        <v>35.67</v>
      </c>
      <c r="L735">
        <v>36.44</v>
      </c>
    </row>
    <row r="736" spans="1:12">
      <c r="A736" s="136">
        <v>40416</v>
      </c>
      <c r="B736">
        <v>2003</v>
      </c>
      <c r="C736">
        <v>2003</v>
      </c>
      <c r="D736">
        <v>2043.75</v>
      </c>
      <c r="E736" s="136">
        <v>40416</v>
      </c>
      <c r="F736">
        <v>39.186999999999998</v>
      </c>
      <c r="G736">
        <v>38.619999999999997</v>
      </c>
      <c r="H736">
        <v>39.225999999999999</v>
      </c>
      <c r="I736" s="136">
        <v>40416</v>
      </c>
      <c r="J736">
        <v>36.36</v>
      </c>
      <c r="K736">
        <v>35.619999999999997</v>
      </c>
      <c r="L736">
        <v>36.619999999999997</v>
      </c>
    </row>
    <row r="737" spans="1:12">
      <c r="A737" s="136">
        <v>40417</v>
      </c>
      <c r="B737">
        <v>2028</v>
      </c>
      <c r="C737">
        <v>2006</v>
      </c>
      <c r="D737">
        <v>2062</v>
      </c>
      <c r="E737" s="136">
        <v>40417</v>
      </c>
      <c r="F737">
        <v>38.612000000000002</v>
      </c>
      <c r="G737">
        <v>38.069000000000003</v>
      </c>
      <c r="H737">
        <v>38.962000000000003</v>
      </c>
      <c r="I737" s="136">
        <v>40417</v>
      </c>
      <c r="J737">
        <v>35.869999999999997</v>
      </c>
      <c r="K737">
        <v>35.549999999999997</v>
      </c>
      <c r="L737">
        <v>36.69</v>
      </c>
    </row>
    <row r="738" spans="1:12">
      <c r="A738" s="136">
        <v>40418</v>
      </c>
      <c r="B738">
        <v>2028</v>
      </c>
      <c r="C738">
        <v>2006</v>
      </c>
      <c r="D738">
        <v>2062</v>
      </c>
      <c r="E738" s="136">
        <v>40418</v>
      </c>
      <c r="F738">
        <v>38.612000000000002</v>
      </c>
      <c r="G738">
        <v>38.069000000000003</v>
      </c>
      <c r="H738">
        <v>38.962000000000003</v>
      </c>
      <c r="I738" s="136">
        <v>40418</v>
      </c>
      <c r="J738">
        <v>35.869999999999997</v>
      </c>
      <c r="K738">
        <v>35.549999999999997</v>
      </c>
      <c r="L738">
        <v>36.69</v>
      </c>
    </row>
    <row r="739" spans="1:12">
      <c r="A739" s="136">
        <v>40419</v>
      </c>
      <c r="B739">
        <v>2028</v>
      </c>
      <c r="C739">
        <v>2006</v>
      </c>
      <c r="D739">
        <v>2062</v>
      </c>
      <c r="E739" s="136">
        <v>40419</v>
      </c>
      <c r="F739">
        <v>38.612000000000002</v>
      </c>
      <c r="G739">
        <v>38.069000000000003</v>
      </c>
      <c r="H739">
        <v>38.962000000000003</v>
      </c>
      <c r="I739" s="136">
        <v>40419</v>
      </c>
      <c r="J739">
        <v>35.869999999999997</v>
      </c>
      <c r="K739">
        <v>35.549999999999997</v>
      </c>
      <c r="L739">
        <v>36.69</v>
      </c>
    </row>
    <row r="740" spans="1:12">
      <c r="A740" s="136">
        <v>40420</v>
      </c>
      <c r="B740">
        <v>2028</v>
      </c>
      <c r="C740">
        <v>2006</v>
      </c>
      <c r="D740">
        <v>2062</v>
      </c>
      <c r="E740" s="136">
        <v>40420</v>
      </c>
      <c r="F740">
        <v>39.225999999999999</v>
      </c>
      <c r="G740">
        <v>38.503999999999998</v>
      </c>
      <c r="H740">
        <v>39.326999999999998</v>
      </c>
      <c r="I740" s="136">
        <v>40420</v>
      </c>
      <c r="J740">
        <v>36.4</v>
      </c>
      <c r="K740">
        <v>35.83</v>
      </c>
      <c r="L740">
        <v>36.6</v>
      </c>
    </row>
    <row r="741" spans="1:12">
      <c r="A741" s="136">
        <v>40421</v>
      </c>
      <c r="B741">
        <v>2056</v>
      </c>
      <c r="C741">
        <v>2035</v>
      </c>
      <c r="D741">
        <v>2077</v>
      </c>
      <c r="E741" s="136">
        <v>40421</v>
      </c>
      <c r="F741">
        <v>38.293999999999997</v>
      </c>
      <c r="G741">
        <v>37.805</v>
      </c>
      <c r="H741">
        <v>38.725000000000001</v>
      </c>
      <c r="I741" s="136">
        <v>40421</v>
      </c>
      <c r="J741">
        <v>35.94</v>
      </c>
      <c r="K741">
        <v>35.729999999999997</v>
      </c>
      <c r="L741">
        <v>36.64</v>
      </c>
    </row>
    <row r="742" spans="1:12">
      <c r="A742" s="136">
        <v>40422</v>
      </c>
      <c r="B742">
        <v>2048</v>
      </c>
      <c r="C742">
        <v>2048</v>
      </c>
      <c r="D742">
        <v>2111</v>
      </c>
      <c r="E742" s="136">
        <v>40422</v>
      </c>
      <c r="F742">
        <v>38.838000000000001</v>
      </c>
      <c r="G742">
        <v>37.805</v>
      </c>
      <c r="H742">
        <v>39.661000000000001</v>
      </c>
      <c r="I742" s="136">
        <v>40422</v>
      </c>
      <c r="J742">
        <v>36.74</v>
      </c>
      <c r="K742">
        <v>36.659999999999997</v>
      </c>
      <c r="L742">
        <v>37.799999999999997</v>
      </c>
    </row>
    <row r="743" spans="1:12">
      <c r="A743" s="136">
        <v>40423</v>
      </c>
      <c r="B743">
        <v>2102.5</v>
      </c>
      <c r="C743">
        <v>2093</v>
      </c>
      <c r="D743">
        <v>2148</v>
      </c>
      <c r="E743" s="136">
        <v>40423</v>
      </c>
      <c r="F743">
        <v>39.497999999999998</v>
      </c>
      <c r="G743">
        <v>38.146000000000001</v>
      </c>
      <c r="H743">
        <v>39.613999999999997</v>
      </c>
      <c r="I743" s="136">
        <v>40423</v>
      </c>
      <c r="J743">
        <v>37.840000000000003</v>
      </c>
      <c r="K743">
        <v>37.49</v>
      </c>
      <c r="L743">
        <v>38.200000000000003</v>
      </c>
    </row>
    <row r="744" spans="1:12">
      <c r="A744" s="136">
        <v>40424</v>
      </c>
      <c r="B744">
        <v>2143.25</v>
      </c>
      <c r="C744">
        <v>2136</v>
      </c>
      <c r="D744">
        <v>2176.75</v>
      </c>
      <c r="E744" s="136">
        <v>40424</v>
      </c>
      <c r="F744">
        <v>38.566000000000003</v>
      </c>
      <c r="G744">
        <v>38.073</v>
      </c>
      <c r="H744">
        <v>39.009</v>
      </c>
      <c r="I744" s="136">
        <v>40424</v>
      </c>
      <c r="J744">
        <v>38.47</v>
      </c>
      <c r="K744">
        <v>38.47</v>
      </c>
      <c r="L744">
        <v>39.17</v>
      </c>
    </row>
    <row r="745" spans="1:12">
      <c r="A745" s="136">
        <v>40425</v>
      </c>
      <c r="B745">
        <v>2143.25</v>
      </c>
      <c r="C745">
        <v>2136</v>
      </c>
      <c r="D745">
        <v>2176.75</v>
      </c>
      <c r="E745" s="136">
        <v>40425</v>
      </c>
      <c r="F745">
        <v>38.566000000000003</v>
      </c>
      <c r="G745">
        <v>38.073</v>
      </c>
      <c r="H745">
        <v>39.009</v>
      </c>
      <c r="I745" s="136">
        <v>40425</v>
      </c>
      <c r="J745">
        <v>38.47</v>
      </c>
      <c r="K745">
        <v>38.47</v>
      </c>
      <c r="L745">
        <v>39.17</v>
      </c>
    </row>
    <row r="746" spans="1:12">
      <c r="A746" s="136">
        <v>40426</v>
      </c>
      <c r="B746">
        <v>2143.25</v>
      </c>
      <c r="C746">
        <v>2136</v>
      </c>
      <c r="D746">
        <v>2176.75</v>
      </c>
      <c r="E746" s="136">
        <v>40426</v>
      </c>
      <c r="F746">
        <v>38.566000000000003</v>
      </c>
      <c r="G746">
        <v>38.073</v>
      </c>
      <c r="H746">
        <v>39.009</v>
      </c>
      <c r="I746" s="136">
        <v>40426</v>
      </c>
      <c r="J746">
        <v>38.47</v>
      </c>
      <c r="K746">
        <v>38.47</v>
      </c>
      <c r="L746">
        <v>39.17</v>
      </c>
    </row>
    <row r="747" spans="1:12">
      <c r="A747" s="136">
        <v>40427</v>
      </c>
      <c r="B747">
        <v>2155</v>
      </c>
      <c r="C747">
        <v>2154.75</v>
      </c>
      <c r="D747">
        <v>2204.75</v>
      </c>
      <c r="E747" s="136">
        <v>40427</v>
      </c>
      <c r="F747">
        <v>39.148000000000003</v>
      </c>
      <c r="G747">
        <v>38.838000000000001</v>
      </c>
      <c r="H747">
        <v>39.225999999999999</v>
      </c>
      <c r="I747" s="136">
        <v>40427</v>
      </c>
      <c r="J747">
        <v>38.47</v>
      </c>
      <c r="K747">
        <v>38.47</v>
      </c>
      <c r="L747">
        <v>39.17</v>
      </c>
    </row>
    <row r="748" spans="1:12">
      <c r="A748" s="136">
        <v>40428</v>
      </c>
      <c r="B748">
        <v>2192</v>
      </c>
      <c r="C748">
        <v>2126</v>
      </c>
      <c r="D748">
        <v>2194.5</v>
      </c>
      <c r="E748" s="136">
        <v>40428</v>
      </c>
      <c r="F748">
        <v>38.798999999999999</v>
      </c>
      <c r="G748">
        <v>37.991</v>
      </c>
      <c r="H748">
        <v>38.814</v>
      </c>
      <c r="I748" s="136">
        <v>40428</v>
      </c>
      <c r="J748">
        <v>38.729999999999997</v>
      </c>
      <c r="K748">
        <v>38.22</v>
      </c>
      <c r="L748">
        <v>38.840000000000003</v>
      </c>
    </row>
    <row r="749" spans="1:12">
      <c r="A749" s="136">
        <v>40429</v>
      </c>
      <c r="B749">
        <v>2154</v>
      </c>
      <c r="C749">
        <v>2141</v>
      </c>
      <c r="D749">
        <v>2181</v>
      </c>
      <c r="E749" s="136">
        <v>40429</v>
      </c>
      <c r="F749">
        <v>38.139000000000003</v>
      </c>
      <c r="G749">
        <v>37.137</v>
      </c>
      <c r="H749">
        <v>38.271000000000001</v>
      </c>
      <c r="I749" s="136">
        <v>40429</v>
      </c>
      <c r="J749">
        <v>38.340000000000003</v>
      </c>
      <c r="K749">
        <v>38.340000000000003</v>
      </c>
      <c r="L749">
        <v>39.43</v>
      </c>
    </row>
    <row r="750" spans="1:12">
      <c r="A750" s="136">
        <v>40430</v>
      </c>
      <c r="B750">
        <v>2157</v>
      </c>
      <c r="C750">
        <v>2099</v>
      </c>
      <c r="D750">
        <v>2160</v>
      </c>
      <c r="E750" s="136">
        <v>40430</v>
      </c>
      <c r="F750">
        <v>37.75</v>
      </c>
      <c r="G750">
        <v>36.460999999999999</v>
      </c>
      <c r="H750">
        <v>39.04</v>
      </c>
      <c r="I750" s="136">
        <v>40430</v>
      </c>
      <c r="J750">
        <v>39.93</v>
      </c>
      <c r="K750">
        <v>39.119999999999997</v>
      </c>
      <c r="L750">
        <v>40.32</v>
      </c>
    </row>
    <row r="751" spans="1:12">
      <c r="A751" s="136">
        <v>40431</v>
      </c>
      <c r="B751">
        <v>2115</v>
      </c>
      <c r="C751">
        <v>2094</v>
      </c>
      <c r="D751">
        <v>2135</v>
      </c>
      <c r="E751" s="136">
        <v>40431</v>
      </c>
      <c r="F751">
        <v>37.423999999999999</v>
      </c>
      <c r="G751">
        <v>36.631999999999998</v>
      </c>
      <c r="H751">
        <v>37.423999999999999</v>
      </c>
      <c r="I751" s="136">
        <v>40431</v>
      </c>
      <c r="J751">
        <v>39.92</v>
      </c>
      <c r="K751">
        <v>39.67</v>
      </c>
      <c r="L751">
        <v>40.25</v>
      </c>
    </row>
    <row r="752" spans="1:12">
      <c r="A752" s="136">
        <v>40432</v>
      </c>
      <c r="B752">
        <v>2115</v>
      </c>
      <c r="C752">
        <v>2094</v>
      </c>
      <c r="D752">
        <v>2135</v>
      </c>
      <c r="E752" s="136">
        <v>40432</v>
      </c>
      <c r="F752">
        <v>37.423999999999999</v>
      </c>
      <c r="G752">
        <v>36.631999999999998</v>
      </c>
      <c r="H752">
        <v>37.423999999999999</v>
      </c>
      <c r="I752" s="136">
        <v>40432</v>
      </c>
      <c r="J752">
        <v>39.92</v>
      </c>
      <c r="K752">
        <v>39.67</v>
      </c>
      <c r="L752">
        <v>40.25</v>
      </c>
    </row>
    <row r="753" spans="1:12">
      <c r="A753" s="136">
        <v>40433</v>
      </c>
      <c r="B753">
        <v>2115</v>
      </c>
      <c r="C753">
        <v>2094</v>
      </c>
      <c r="D753">
        <v>2135</v>
      </c>
      <c r="E753" s="136">
        <v>40433</v>
      </c>
      <c r="F753">
        <v>37.423999999999999</v>
      </c>
      <c r="G753">
        <v>36.631999999999998</v>
      </c>
      <c r="H753">
        <v>37.423999999999999</v>
      </c>
      <c r="I753" s="136">
        <v>40433</v>
      </c>
      <c r="J753">
        <v>39.92</v>
      </c>
      <c r="K753">
        <v>39.67</v>
      </c>
      <c r="L753">
        <v>40.25</v>
      </c>
    </row>
    <row r="754" spans="1:12">
      <c r="A754" s="136">
        <v>40434</v>
      </c>
      <c r="B754">
        <v>2112</v>
      </c>
      <c r="C754">
        <v>2112</v>
      </c>
      <c r="D754">
        <v>2159.5</v>
      </c>
      <c r="E754" s="136">
        <v>40434</v>
      </c>
      <c r="F754">
        <v>37.283999999999999</v>
      </c>
      <c r="G754">
        <v>36.655000000000001</v>
      </c>
      <c r="H754">
        <v>37.881999999999998</v>
      </c>
      <c r="I754" s="136">
        <v>40434</v>
      </c>
      <c r="J754">
        <v>40.64</v>
      </c>
      <c r="K754">
        <v>40.64</v>
      </c>
      <c r="L754">
        <v>41.47</v>
      </c>
    </row>
    <row r="755" spans="1:12">
      <c r="A755" s="136">
        <v>40435</v>
      </c>
      <c r="B755">
        <v>2137</v>
      </c>
      <c r="C755">
        <v>2118</v>
      </c>
      <c r="D755">
        <v>2170</v>
      </c>
      <c r="E755" s="136">
        <v>40435</v>
      </c>
      <c r="F755">
        <v>37.548000000000002</v>
      </c>
      <c r="G755">
        <v>37.548000000000002</v>
      </c>
      <c r="H755">
        <v>38.351999999999997</v>
      </c>
      <c r="I755" s="136">
        <v>40435</v>
      </c>
      <c r="J755">
        <v>40.97</v>
      </c>
      <c r="K755">
        <v>40.46</v>
      </c>
      <c r="L755">
        <v>41.23</v>
      </c>
    </row>
    <row r="756" spans="1:12">
      <c r="A756" s="136">
        <v>40436</v>
      </c>
      <c r="B756">
        <v>2150</v>
      </c>
      <c r="C756">
        <v>2133.5</v>
      </c>
      <c r="D756">
        <v>2160</v>
      </c>
      <c r="E756" s="136">
        <v>40436</v>
      </c>
      <c r="F756">
        <v>38.255000000000003</v>
      </c>
      <c r="G756">
        <v>37.292000000000002</v>
      </c>
      <c r="H756">
        <v>38.255000000000003</v>
      </c>
      <c r="I756" s="136">
        <v>40436</v>
      </c>
      <c r="J756">
        <v>40.51</v>
      </c>
      <c r="K756">
        <v>40.340000000000003</v>
      </c>
      <c r="L756">
        <v>41.14</v>
      </c>
    </row>
    <row r="757" spans="1:12">
      <c r="A757" s="136">
        <v>40437</v>
      </c>
      <c r="B757">
        <v>2155</v>
      </c>
      <c r="C757">
        <v>2138</v>
      </c>
      <c r="D757">
        <v>2185</v>
      </c>
      <c r="E757" s="136">
        <v>40437</v>
      </c>
      <c r="F757">
        <v>37.594999999999999</v>
      </c>
      <c r="G757">
        <v>36.177</v>
      </c>
      <c r="H757">
        <v>37.673000000000002</v>
      </c>
      <c r="I757" s="136">
        <v>40437</v>
      </c>
      <c r="J757">
        <v>40.72</v>
      </c>
      <c r="K757">
        <v>40.549999999999997</v>
      </c>
      <c r="L757">
        <v>41.1</v>
      </c>
    </row>
    <row r="758" spans="1:12">
      <c r="A758" s="136">
        <v>40438</v>
      </c>
      <c r="B758">
        <v>2163.5</v>
      </c>
      <c r="C758">
        <v>2156.25</v>
      </c>
      <c r="D758">
        <v>2214</v>
      </c>
      <c r="E758" s="136">
        <v>40438</v>
      </c>
      <c r="F758">
        <v>36.973999999999997</v>
      </c>
      <c r="G758">
        <v>35.801000000000002</v>
      </c>
      <c r="H758">
        <v>37.090000000000003</v>
      </c>
      <c r="I758" s="136">
        <v>40438</v>
      </c>
      <c r="J758">
        <v>41.03</v>
      </c>
      <c r="K758">
        <v>39.99</v>
      </c>
      <c r="L758">
        <v>41.08</v>
      </c>
    </row>
    <row r="759" spans="1:12">
      <c r="A759" s="136">
        <v>40439</v>
      </c>
      <c r="B759">
        <v>2163.5</v>
      </c>
      <c r="C759">
        <v>2156.25</v>
      </c>
      <c r="D759">
        <v>2214</v>
      </c>
      <c r="E759" s="136">
        <v>40439</v>
      </c>
      <c r="F759">
        <v>36.973999999999997</v>
      </c>
      <c r="G759">
        <v>35.801000000000002</v>
      </c>
      <c r="H759">
        <v>37.090000000000003</v>
      </c>
      <c r="I759" s="136">
        <v>40439</v>
      </c>
      <c r="J759">
        <v>41.03</v>
      </c>
      <c r="K759">
        <v>39.99</v>
      </c>
      <c r="L759">
        <v>41.08</v>
      </c>
    </row>
    <row r="760" spans="1:12">
      <c r="A760" s="136">
        <v>40440</v>
      </c>
      <c r="B760">
        <v>2163.5</v>
      </c>
      <c r="C760">
        <v>2156.25</v>
      </c>
      <c r="D760">
        <v>2214</v>
      </c>
      <c r="E760" s="136">
        <v>40440</v>
      </c>
      <c r="F760">
        <v>36.973999999999997</v>
      </c>
      <c r="G760">
        <v>35.801000000000002</v>
      </c>
      <c r="H760">
        <v>37.090000000000003</v>
      </c>
      <c r="I760" s="136">
        <v>40440</v>
      </c>
      <c r="J760">
        <v>41.03</v>
      </c>
      <c r="K760">
        <v>39.99</v>
      </c>
      <c r="L760">
        <v>41.08</v>
      </c>
    </row>
    <row r="761" spans="1:12">
      <c r="A761" s="136">
        <v>40441</v>
      </c>
      <c r="B761">
        <v>2180</v>
      </c>
      <c r="C761">
        <v>2180</v>
      </c>
      <c r="D761">
        <v>2223</v>
      </c>
      <c r="E761" s="136">
        <v>40441</v>
      </c>
      <c r="F761">
        <v>36.158000000000001</v>
      </c>
      <c r="G761">
        <v>35.49</v>
      </c>
      <c r="H761">
        <v>36.593000000000004</v>
      </c>
      <c r="I761" s="136">
        <v>40441</v>
      </c>
      <c r="J761">
        <v>40.24</v>
      </c>
      <c r="K761">
        <v>40.03</v>
      </c>
      <c r="L761">
        <v>41.31</v>
      </c>
    </row>
    <row r="762" spans="1:12">
      <c r="A762" s="136">
        <v>40442</v>
      </c>
      <c r="B762">
        <v>2201</v>
      </c>
      <c r="C762">
        <v>2170</v>
      </c>
      <c r="D762">
        <v>2217.5</v>
      </c>
      <c r="E762" s="136">
        <v>40442</v>
      </c>
      <c r="F762">
        <v>36.469000000000001</v>
      </c>
      <c r="G762">
        <v>34.76</v>
      </c>
      <c r="H762">
        <v>36.856999999999999</v>
      </c>
      <c r="I762" s="136">
        <v>40442</v>
      </c>
      <c r="J762">
        <v>41.31</v>
      </c>
      <c r="K762">
        <v>40.47</v>
      </c>
      <c r="L762">
        <v>41.5</v>
      </c>
    </row>
    <row r="763" spans="1:12">
      <c r="A763" s="136">
        <v>40443</v>
      </c>
      <c r="B763">
        <v>2176</v>
      </c>
      <c r="C763">
        <v>2176</v>
      </c>
      <c r="D763">
        <v>2239</v>
      </c>
      <c r="E763" s="136">
        <v>40443</v>
      </c>
      <c r="F763">
        <v>35.625</v>
      </c>
      <c r="G763">
        <v>34.753</v>
      </c>
      <c r="H763">
        <v>35.881</v>
      </c>
      <c r="I763" s="136">
        <v>40443</v>
      </c>
      <c r="J763">
        <v>40.43</v>
      </c>
      <c r="K763">
        <v>39.75</v>
      </c>
      <c r="L763">
        <v>40.840000000000003</v>
      </c>
    </row>
    <row r="764" spans="1:12">
      <c r="A764" s="136">
        <v>40444</v>
      </c>
      <c r="B764">
        <v>2235</v>
      </c>
      <c r="C764">
        <v>2235</v>
      </c>
      <c r="D764">
        <v>2300</v>
      </c>
      <c r="E764" s="136">
        <v>40444</v>
      </c>
      <c r="F764">
        <v>35.411999999999999</v>
      </c>
      <c r="G764">
        <v>34.598999999999997</v>
      </c>
      <c r="H764">
        <v>35.454999999999998</v>
      </c>
      <c r="I764" s="136">
        <v>40444</v>
      </c>
      <c r="J764">
        <v>39.630000000000003</v>
      </c>
      <c r="K764">
        <v>38.99</v>
      </c>
      <c r="L764">
        <v>39.700000000000003</v>
      </c>
    </row>
    <row r="765" spans="1:12">
      <c r="A765" s="136">
        <v>40445</v>
      </c>
      <c r="B765">
        <v>2280.5</v>
      </c>
      <c r="C765">
        <v>2280</v>
      </c>
      <c r="D765">
        <v>2336.25</v>
      </c>
      <c r="E765" s="136">
        <v>40445</v>
      </c>
      <c r="F765">
        <v>34.902000000000001</v>
      </c>
      <c r="G765">
        <v>34.113999999999997</v>
      </c>
      <c r="H765">
        <v>35.051000000000002</v>
      </c>
      <c r="I765" s="136">
        <v>40445</v>
      </c>
      <c r="J765">
        <v>39.51</v>
      </c>
      <c r="K765">
        <v>39.299999999999997</v>
      </c>
      <c r="L765">
        <v>39.799999999999997</v>
      </c>
    </row>
    <row r="766" spans="1:12">
      <c r="A766" s="136">
        <v>40446</v>
      </c>
      <c r="B766">
        <v>2280.5</v>
      </c>
      <c r="C766">
        <v>2280</v>
      </c>
      <c r="D766">
        <v>2336.25</v>
      </c>
      <c r="E766" s="136">
        <v>40446</v>
      </c>
      <c r="F766">
        <v>34.902000000000001</v>
      </c>
      <c r="G766">
        <v>34.113999999999997</v>
      </c>
      <c r="H766">
        <v>35.051000000000002</v>
      </c>
      <c r="I766" s="136">
        <v>40446</v>
      </c>
      <c r="J766">
        <v>39.51</v>
      </c>
      <c r="K766">
        <v>39.299999999999997</v>
      </c>
      <c r="L766">
        <v>39.799999999999997</v>
      </c>
    </row>
    <row r="767" spans="1:12">
      <c r="A767" s="136">
        <v>40447</v>
      </c>
      <c r="B767">
        <v>2280.5</v>
      </c>
      <c r="C767">
        <v>2280</v>
      </c>
      <c r="D767">
        <v>2336.25</v>
      </c>
      <c r="E767" s="136">
        <v>40447</v>
      </c>
      <c r="F767">
        <v>34.902000000000001</v>
      </c>
      <c r="G767">
        <v>34.113999999999997</v>
      </c>
      <c r="H767">
        <v>35.051000000000002</v>
      </c>
      <c r="I767" s="136">
        <v>40447</v>
      </c>
      <c r="J767">
        <v>39.51</v>
      </c>
      <c r="K767">
        <v>39.299999999999997</v>
      </c>
      <c r="L767">
        <v>39.799999999999997</v>
      </c>
    </row>
    <row r="768" spans="1:12">
      <c r="A768" s="136">
        <v>40448</v>
      </c>
      <c r="B768">
        <v>2315</v>
      </c>
      <c r="C768">
        <v>2282</v>
      </c>
      <c r="D768">
        <v>2325</v>
      </c>
      <c r="E768" s="136">
        <v>40448</v>
      </c>
      <c r="F768">
        <v>35.305999999999997</v>
      </c>
      <c r="G768">
        <v>34.868000000000002</v>
      </c>
      <c r="H768">
        <v>35.692999999999998</v>
      </c>
      <c r="I768" s="136">
        <v>40448</v>
      </c>
      <c r="J768">
        <v>39.54</v>
      </c>
      <c r="K768">
        <v>39.01</v>
      </c>
      <c r="L768">
        <v>39.67</v>
      </c>
    </row>
    <row r="769" spans="1:12">
      <c r="A769" s="136">
        <v>40449</v>
      </c>
      <c r="B769">
        <v>2284</v>
      </c>
      <c r="C769">
        <v>2262.75</v>
      </c>
      <c r="D769">
        <v>2323</v>
      </c>
      <c r="E769" s="136">
        <v>40449</v>
      </c>
      <c r="F769">
        <v>35.029000000000003</v>
      </c>
      <c r="G769">
        <v>34.003999999999998</v>
      </c>
      <c r="H769">
        <v>35.029000000000003</v>
      </c>
      <c r="I769" s="136">
        <v>40449</v>
      </c>
      <c r="J769">
        <v>39.36</v>
      </c>
      <c r="K769">
        <v>38.61</v>
      </c>
      <c r="L769">
        <v>39.4</v>
      </c>
    </row>
    <row r="770" spans="1:12">
      <c r="A770" s="136">
        <v>40450</v>
      </c>
      <c r="B770">
        <v>2305.25</v>
      </c>
      <c r="C770">
        <v>2304</v>
      </c>
      <c r="D770">
        <v>2342.5</v>
      </c>
      <c r="E770" s="136">
        <v>40450</v>
      </c>
      <c r="F770">
        <v>34.365000000000002</v>
      </c>
      <c r="G770">
        <v>33.122</v>
      </c>
      <c r="H770">
        <v>34.454999999999998</v>
      </c>
      <c r="I770" s="136">
        <v>40450</v>
      </c>
      <c r="J770">
        <v>38.79</v>
      </c>
      <c r="K770">
        <v>38.06</v>
      </c>
      <c r="L770">
        <v>38.880000000000003</v>
      </c>
    </row>
    <row r="771" spans="1:12">
      <c r="A771" s="136">
        <v>40451</v>
      </c>
      <c r="B771">
        <v>2334</v>
      </c>
      <c r="C771">
        <v>2319</v>
      </c>
      <c r="D771">
        <v>2354</v>
      </c>
      <c r="E771" s="136">
        <v>40451</v>
      </c>
      <c r="F771">
        <v>33.369</v>
      </c>
      <c r="G771">
        <v>32.951999999999998</v>
      </c>
      <c r="H771">
        <v>34.735999999999997</v>
      </c>
      <c r="I771" s="136">
        <v>40451</v>
      </c>
      <c r="J771">
        <v>38.49</v>
      </c>
      <c r="K771">
        <v>37.96</v>
      </c>
      <c r="L771">
        <v>38.950000000000003</v>
      </c>
    </row>
    <row r="772" spans="1:12">
      <c r="A772" s="136">
        <v>40452</v>
      </c>
      <c r="B772">
        <v>2337</v>
      </c>
      <c r="C772">
        <v>2273.5</v>
      </c>
      <c r="D772">
        <v>2387</v>
      </c>
      <c r="E772" s="136">
        <v>40452</v>
      </c>
      <c r="F772">
        <v>34.433</v>
      </c>
      <c r="G772">
        <v>33.752000000000002</v>
      </c>
      <c r="H772">
        <v>34.781999999999996</v>
      </c>
      <c r="I772" s="136">
        <v>40452</v>
      </c>
      <c r="J772">
        <v>38.340000000000003</v>
      </c>
      <c r="K772">
        <v>38.29</v>
      </c>
      <c r="L772">
        <v>39.090000000000003</v>
      </c>
    </row>
    <row r="773" spans="1:12">
      <c r="A773" s="136">
        <v>40453</v>
      </c>
      <c r="B773">
        <v>2337</v>
      </c>
      <c r="C773">
        <v>2273.5</v>
      </c>
      <c r="D773">
        <v>2387</v>
      </c>
      <c r="E773" s="136">
        <v>40453</v>
      </c>
      <c r="F773">
        <v>34.433</v>
      </c>
      <c r="G773">
        <v>33.752000000000002</v>
      </c>
      <c r="H773">
        <v>34.781999999999996</v>
      </c>
      <c r="I773" s="136">
        <v>40453</v>
      </c>
      <c r="J773">
        <v>38.340000000000003</v>
      </c>
      <c r="K773">
        <v>38.29</v>
      </c>
      <c r="L773">
        <v>39.090000000000003</v>
      </c>
    </row>
    <row r="774" spans="1:12">
      <c r="A774" s="136">
        <v>40454</v>
      </c>
      <c r="B774">
        <v>2337</v>
      </c>
      <c r="C774">
        <v>2273.5</v>
      </c>
      <c r="D774">
        <v>2387</v>
      </c>
      <c r="E774" s="136">
        <v>40454</v>
      </c>
      <c r="F774">
        <v>34.433</v>
      </c>
      <c r="G774">
        <v>33.752000000000002</v>
      </c>
      <c r="H774">
        <v>34.781999999999996</v>
      </c>
      <c r="I774" s="136">
        <v>40454</v>
      </c>
      <c r="J774">
        <v>38.340000000000003</v>
      </c>
      <c r="K774">
        <v>38.29</v>
      </c>
      <c r="L774">
        <v>39.090000000000003</v>
      </c>
    </row>
    <row r="775" spans="1:12">
      <c r="A775" s="136">
        <v>40455</v>
      </c>
      <c r="B775">
        <v>2355</v>
      </c>
      <c r="C775">
        <v>2336.5</v>
      </c>
      <c r="D775">
        <v>2370.25</v>
      </c>
      <c r="E775" s="136">
        <v>40455</v>
      </c>
      <c r="F775">
        <v>34.390999999999998</v>
      </c>
      <c r="G775">
        <v>33.585999999999999</v>
      </c>
      <c r="H775">
        <v>34.390999999999998</v>
      </c>
      <c r="I775" s="136">
        <v>40455</v>
      </c>
      <c r="J775">
        <v>38.979999999999997</v>
      </c>
      <c r="K775">
        <v>38.71</v>
      </c>
      <c r="L775">
        <v>39.54</v>
      </c>
    </row>
    <row r="776" spans="1:12">
      <c r="A776" s="136">
        <v>40456</v>
      </c>
      <c r="B776">
        <v>2355</v>
      </c>
      <c r="C776">
        <v>2334</v>
      </c>
      <c r="D776">
        <v>2388.75</v>
      </c>
      <c r="E776" s="136">
        <v>40456</v>
      </c>
      <c r="F776">
        <v>33.927</v>
      </c>
      <c r="G776">
        <v>33.603000000000002</v>
      </c>
      <c r="H776">
        <v>34.902000000000001</v>
      </c>
      <c r="I776" s="136">
        <v>40456</v>
      </c>
      <c r="J776">
        <v>39.36</v>
      </c>
      <c r="K776">
        <v>39.07</v>
      </c>
      <c r="L776">
        <v>39.82</v>
      </c>
    </row>
    <row r="777" spans="1:12">
      <c r="A777" s="136">
        <v>40457</v>
      </c>
      <c r="B777">
        <v>2381</v>
      </c>
      <c r="C777">
        <v>2345.25</v>
      </c>
      <c r="D777">
        <v>2400.5</v>
      </c>
      <c r="E777" s="136">
        <v>40457</v>
      </c>
      <c r="F777">
        <v>35.200000000000003</v>
      </c>
      <c r="G777">
        <v>34.902000000000001</v>
      </c>
      <c r="H777">
        <v>35.566000000000003</v>
      </c>
      <c r="I777" s="136">
        <v>40457</v>
      </c>
      <c r="J777">
        <v>39.56</v>
      </c>
      <c r="K777">
        <v>39.42</v>
      </c>
      <c r="L777">
        <v>40.07</v>
      </c>
    </row>
    <row r="778" spans="1:12">
      <c r="A778" s="136">
        <v>40458</v>
      </c>
      <c r="B778">
        <v>2364</v>
      </c>
      <c r="C778">
        <v>2318</v>
      </c>
      <c r="D778">
        <v>2390</v>
      </c>
      <c r="E778" s="136">
        <v>40458</v>
      </c>
      <c r="F778">
        <v>35.003999999999998</v>
      </c>
      <c r="G778">
        <v>34.582000000000001</v>
      </c>
      <c r="H778">
        <v>35.390999999999998</v>
      </c>
      <c r="I778" s="136">
        <v>40458</v>
      </c>
      <c r="J778">
        <v>40.11</v>
      </c>
      <c r="K778">
        <v>39.200000000000003</v>
      </c>
      <c r="L778">
        <v>40.32</v>
      </c>
    </row>
    <row r="779" spans="1:12">
      <c r="A779" s="136">
        <v>40459</v>
      </c>
      <c r="B779">
        <v>2338</v>
      </c>
      <c r="C779">
        <v>2324.25</v>
      </c>
      <c r="D779">
        <v>2423</v>
      </c>
      <c r="E779" s="136">
        <v>40459</v>
      </c>
      <c r="F779">
        <v>34.781999999999996</v>
      </c>
      <c r="G779">
        <v>34.262999999999998</v>
      </c>
      <c r="H779">
        <v>34.902000000000001</v>
      </c>
      <c r="I779" s="136">
        <v>40459</v>
      </c>
      <c r="J779">
        <v>39.67</v>
      </c>
      <c r="K779">
        <v>39.130000000000003</v>
      </c>
      <c r="L779">
        <v>39.78</v>
      </c>
    </row>
    <row r="780" spans="1:12">
      <c r="A780" s="136">
        <v>40460</v>
      </c>
      <c r="B780">
        <v>2338</v>
      </c>
      <c r="C780">
        <v>2324.25</v>
      </c>
      <c r="D780">
        <v>2423</v>
      </c>
      <c r="E780" s="136">
        <v>40460</v>
      </c>
      <c r="F780">
        <v>34.781999999999996</v>
      </c>
      <c r="G780">
        <v>34.262999999999998</v>
      </c>
      <c r="H780">
        <v>34.902000000000001</v>
      </c>
      <c r="I780" s="136">
        <v>40460</v>
      </c>
      <c r="J780">
        <v>39.67</v>
      </c>
      <c r="K780">
        <v>39.130000000000003</v>
      </c>
      <c r="L780">
        <v>39.78</v>
      </c>
    </row>
    <row r="781" spans="1:12">
      <c r="A781" s="136">
        <v>40461</v>
      </c>
      <c r="B781">
        <v>2338</v>
      </c>
      <c r="C781">
        <v>2324.25</v>
      </c>
      <c r="D781">
        <v>2423</v>
      </c>
      <c r="E781" s="136">
        <v>40461</v>
      </c>
      <c r="F781">
        <v>34.781999999999996</v>
      </c>
      <c r="G781">
        <v>34.262999999999998</v>
      </c>
      <c r="H781">
        <v>34.902000000000001</v>
      </c>
      <c r="I781" s="136">
        <v>40461</v>
      </c>
      <c r="J781">
        <v>39.67</v>
      </c>
      <c r="K781">
        <v>39.130000000000003</v>
      </c>
      <c r="L781">
        <v>39.78</v>
      </c>
    </row>
    <row r="782" spans="1:12">
      <c r="A782" s="136">
        <v>40462</v>
      </c>
      <c r="B782">
        <v>2425</v>
      </c>
      <c r="C782">
        <v>2394.5</v>
      </c>
      <c r="D782">
        <v>2438</v>
      </c>
      <c r="E782" s="136">
        <v>40462</v>
      </c>
      <c r="F782">
        <v>34.859000000000002</v>
      </c>
      <c r="G782">
        <v>34.177999999999997</v>
      </c>
      <c r="H782">
        <v>34.884999999999998</v>
      </c>
      <c r="I782" s="136">
        <v>40462</v>
      </c>
      <c r="J782">
        <v>39.520000000000003</v>
      </c>
      <c r="K782">
        <v>39.4</v>
      </c>
      <c r="L782">
        <v>39.909999999999997</v>
      </c>
    </row>
    <row r="783" spans="1:12">
      <c r="A783" s="136">
        <v>40463</v>
      </c>
      <c r="B783">
        <v>2395</v>
      </c>
      <c r="C783">
        <v>2374.25</v>
      </c>
      <c r="D783">
        <v>2445</v>
      </c>
      <c r="E783" s="136">
        <v>40463</v>
      </c>
      <c r="F783">
        <v>34.093000000000004</v>
      </c>
      <c r="G783">
        <v>33.927</v>
      </c>
      <c r="H783">
        <v>34.493000000000002</v>
      </c>
      <c r="I783" s="136">
        <v>40463</v>
      </c>
      <c r="J783">
        <v>39.47</v>
      </c>
      <c r="K783">
        <v>39.47</v>
      </c>
      <c r="L783">
        <v>40.49</v>
      </c>
    </row>
    <row r="784" spans="1:12">
      <c r="A784" s="136">
        <v>40464</v>
      </c>
      <c r="B784">
        <v>2432</v>
      </c>
      <c r="C784">
        <v>2405</v>
      </c>
      <c r="D784">
        <v>2447</v>
      </c>
      <c r="E784" s="136">
        <v>40464</v>
      </c>
      <c r="F784">
        <v>34.238</v>
      </c>
      <c r="G784">
        <v>34.220999999999997</v>
      </c>
      <c r="H784">
        <v>35.625</v>
      </c>
      <c r="I784" s="136">
        <v>40464</v>
      </c>
      <c r="J784">
        <v>40.659999999999997</v>
      </c>
      <c r="K784">
        <v>39.58</v>
      </c>
      <c r="L784">
        <v>40.72</v>
      </c>
    </row>
    <row r="785" spans="1:12">
      <c r="A785" s="136">
        <v>40465</v>
      </c>
      <c r="B785">
        <v>2421</v>
      </c>
      <c r="C785">
        <v>2393</v>
      </c>
      <c r="D785">
        <v>2459</v>
      </c>
      <c r="E785" s="136">
        <v>40465</v>
      </c>
      <c r="F785">
        <v>35.753</v>
      </c>
      <c r="G785">
        <v>34.761000000000003</v>
      </c>
      <c r="H785">
        <v>35.94</v>
      </c>
      <c r="I785" s="136">
        <v>40465</v>
      </c>
      <c r="J785">
        <v>39.25</v>
      </c>
      <c r="K785">
        <v>38.1</v>
      </c>
      <c r="L785">
        <v>39.380000000000003</v>
      </c>
    </row>
    <row r="786" spans="1:12">
      <c r="A786" s="136">
        <v>40466</v>
      </c>
      <c r="B786">
        <v>2406</v>
      </c>
      <c r="C786">
        <v>2373.75</v>
      </c>
      <c r="D786">
        <v>2427</v>
      </c>
      <c r="E786" s="136">
        <v>40466</v>
      </c>
      <c r="F786">
        <v>35.113999999999997</v>
      </c>
      <c r="G786">
        <v>34.049999999999997</v>
      </c>
      <c r="H786">
        <v>35.156999999999996</v>
      </c>
      <c r="I786" s="136">
        <v>40466</v>
      </c>
      <c r="J786">
        <v>38.869999999999997</v>
      </c>
      <c r="K786">
        <v>36.54</v>
      </c>
      <c r="L786">
        <v>38.94</v>
      </c>
    </row>
    <row r="787" spans="1:12">
      <c r="A787" s="136">
        <v>40467</v>
      </c>
      <c r="B787">
        <v>2406</v>
      </c>
      <c r="C787">
        <v>2373.75</v>
      </c>
      <c r="D787">
        <v>2427</v>
      </c>
      <c r="E787" s="136">
        <v>40467</v>
      </c>
      <c r="F787">
        <v>35.113999999999997</v>
      </c>
      <c r="G787">
        <v>34.049999999999997</v>
      </c>
      <c r="H787">
        <v>35.156999999999996</v>
      </c>
      <c r="I787" s="136">
        <v>40467</v>
      </c>
      <c r="J787">
        <v>38.869999999999997</v>
      </c>
      <c r="K787">
        <v>36.54</v>
      </c>
      <c r="L787">
        <v>38.94</v>
      </c>
    </row>
    <row r="788" spans="1:12">
      <c r="A788" s="136">
        <v>40468</v>
      </c>
      <c r="B788">
        <v>2406</v>
      </c>
      <c r="C788">
        <v>2373.75</v>
      </c>
      <c r="D788">
        <v>2427</v>
      </c>
      <c r="E788" s="136">
        <v>40468</v>
      </c>
      <c r="F788">
        <v>35.113999999999997</v>
      </c>
      <c r="G788">
        <v>34.049999999999997</v>
      </c>
      <c r="H788">
        <v>35.156999999999996</v>
      </c>
      <c r="I788" s="136">
        <v>40468</v>
      </c>
      <c r="J788">
        <v>38.869999999999997</v>
      </c>
      <c r="K788">
        <v>36.54</v>
      </c>
      <c r="L788">
        <v>38.94</v>
      </c>
    </row>
    <row r="789" spans="1:12">
      <c r="A789" s="136">
        <v>40469</v>
      </c>
      <c r="B789">
        <v>2392.25</v>
      </c>
      <c r="C789">
        <v>2357.5</v>
      </c>
      <c r="D789">
        <v>2418.25</v>
      </c>
      <c r="E789" s="136">
        <v>40469</v>
      </c>
      <c r="F789">
        <v>34.902000000000001</v>
      </c>
      <c r="G789">
        <v>34.536000000000001</v>
      </c>
      <c r="H789">
        <v>35.479999999999997</v>
      </c>
      <c r="I789" s="136">
        <v>40469</v>
      </c>
      <c r="J789">
        <v>37.15</v>
      </c>
      <c r="K789">
        <v>37.01</v>
      </c>
      <c r="L789">
        <v>38.26</v>
      </c>
    </row>
    <row r="790" spans="1:12">
      <c r="A790" s="136">
        <v>40470</v>
      </c>
      <c r="B790">
        <v>2414</v>
      </c>
      <c r="C790">
        <v>2335</v>
      </c>
      <c r="D790">
        <v>2431</v>
      </c>
      <c r="E790" s="136">
        <v>40470</v>
      </c>
      <c r="F790">
        <v>35.54</v>
      </c>
      <c r="G790">
        <v>35.383000000000003</v>
      </c>
      <c r="H790">
        <v>36.545000000000002</v>
      </c>
      <c r="I790" s="136">
        <v>40470</v>
      </c>
      <c r="J790">
        <v>37.9</v>
      </c>
      <c r="K790">
        <v>37.5</v>
      </c>
      <c r="L790">
        <v>38.65</v>
      </c>
    </row>
    <row r="791" spans="1:12">
      <c r="A791" s="136">
        <v>40471</v>
      </c>
      <c r="B791">
        <v>2340.5</v>
      </c>
      <c r="C791">
        <v>2330</v>
      </c>
      <c r="D791">
        <v>2375</v>
      </c>
      <c r="E791" s="136">
        <v>40471</v>
      </c>
      <c r="F791">
        <v>35.863999999999997</v>
      </c>
      <c r="G791">
        <v>35.54</v>
      </c>
      <c r="H791">
        <v>36.438000000000002</v>
      </c>
      <c r="I791" s="136">
        <v>40471</v>
      </c>
      <c r="J791">
        <v>38</v>
      </c>
      <c r="K791">
        <v>37.46</v>
      </c>
      <c r="L791">
        <v>38.299999999999997</v>
      </c>
    </row>
    <row r="792" spans="1:12">
      <c r="A792" s="136">
        <v>40472</v>
      </c>
      <c r="B792">
        <v>2363</v>
      </c>
      <c r="C792">
        <v>2342</v>
      </c>
      <c r="D792">
        <v>2401</v>
      </c>
      <c r="E792" s="136">
        <v>40472</v>
      </c>
      <c r="F792">
        <v>35.884999999999998</v>
      </c>
      <c r="G792">
        <v>35.54</v>
      </c>
      <c r="H792">
        <v>36.302</v>
      </c>
      <c r="I792" s="136">
        <v>40472</v>
      </c>
      <c r="J792">
        <v>38.19</v>
      </c>
      <c r="K792">
        <v>36.21</v>
      </c>
      <c r="L792">
        <v>38.4</v>
      </c>
    </row>
    <row r="793" spans="1:12">
      <c r="A793" s="136">
        <v>40473</v>
      </c>
      <c r="B793">
        <v>2350</v>
      </c>
      <c r="C793">
        <v>2340</v>
      </c>
      <c r="D793">
        <v>2384</v>
      </c>
      <c r="E793" s="136">
        <v>40473</v>
      </c>
      <c r="F793">
        <v>35.795000000000002</v>
      </c>
      <c r="G793">
        <v>35.463000000000001</v>
      </c>
      <c r="H793">
        <v>35.923000000000002</v>
      </c>
      <c r="I793" s="136">
        <v>40473</v>
      </c>
      <c r="J793">
        <v>37.5</v>
      </c>
      <c r="K793">
        <v>37.32</v>
      </c>
      <c r="L793">
        <v>37.784999999999997</v>
      </c>
    </row>
    <row r="794" spans="1:12">
      <c r="A794" s="136">
        <v>40474</v>
      </c>
      <c r="B794">
        <v>2350</v>
      </c>
      <c r="C794">
        <v>2340</v>
      </c>
      <c r="D794">
        <v>2384</v>
      </c>
      <c r="E794" s="136">
        <v>40474</v>
      </c>
      <c r="F794">
        <v>35.795000000000002</v>
      </c>
      <c r="G794">
        <v>35.463000000000001</v>
      </c>
      <c r="H794">
        <v>35.923000000000002</v>
      </c>
      <c r="I794" s="136">
        <v>40474</v>
      </c>
      <c r="J794">
        <v>37.5</v>
      </c>
      <c r="K794">
        <v>37.32</v>
      </c>
      <c r="L794">
        <v>37.784999999999997</v>
      </c>
    </row>
    <row r="795" spans="1:12">
      <c r="A795" s="136">
        <v>40475</v>
      </c>
      <c r="B795">
        <v>2350</v>
      </c>
      <c r="C795">
        <v>2340</v>
      </c>
      <c r="D795">
        <v>2384</v>
      </c>
      <c r="E795" s="136">
        <v>40475</v>
      </c>
      <c r="F795">
        <v>35.795000000000002</v>
      </c>
      <c r="G795">
        <v>35.463000000000001</v>
      </c>
      <c r="H795">
        <v>35.923000000000002</v>
      </c>
      <c r="I795" s="136">
        <v>40475</v>
      </c>
      <c r="J795">
        <v>37.5</v>
      </c>
      <c r="K795">
        <v>37.32</v>
      </c>
      <c r="L795">
        <v>37.784999999999997</v>
      </c>
    </row>
    <row r="796" spans="1:12">
      <c r="A796" s="136">
        <v>40476</v>
      </c>
      <c r="B796">
        <v>2362</v>
      </c>
      <c r="C796">
        <v>2361.75</v>
      </c>
      <c r="D796">
        <v>2415</v>
      </c>
      <c r="E796" s="136">
        <v>40476</v>
      </c>
      <c r="F796">
        <v>36.238</v>
      </c>
      <c r="G796">
        <v>35.515000000000001</v>
      </c>
      <c r="H796">
        <v>36.390999999999998</v>
      </c>
      <c r="I796" s="136">
        <v>40476</v>
      </c>
      <c r="J796">
        <v>37.97</v>
      </c>
      <c r="K796">
        <v>37</v>
      </c>
      <c r="L796">
        <v>38.07</v>
      </c>
    </row>
    <row r="797" spans="1:12">
      <c r="A797" s="136">
        <v>40477</v>
      </c>
      <c r="B797">
        <v>2373</v>
      </c>
      <c r="C797">
        <v>2351</v>
      </c>
      <c r="D797">
        <v>2392</v>
      </c>
      <c r="E797" s="136">
        <v>40477</v>
      </c>
      <c r="F797">
        <v>35.57</v>
      </c>
      <c r="G797">
        <v>34.557000000000002</v>
      </c>
      <c r="H797">
        <v>35.582999999999998</v>
      </c>
      <c r="I797" s="136">
        <v>40477</v>
      </c>
      <c r="J797">
        <v>36.979999999999997</v>
      </c>
      <c r="K797">
        <v>36.78</v>
      </c>
      <c r="L797">
        <v>37.26</v>
      </c>
    </row>
    <row r="798" spans="1:12">
      <c r="A798" s="136">
        <v>40478</v>
      </c>
      <c r="B798">
        <v>2381</v>
      </c>
      <c r="C798">
        <v>2315</v>
      </c>
      <c r="D798">
        <v>2392</v>
      </c>
      <c r="E798" s="136">
        <v>40478</v>
      </c>
      <c r="F798">
        <v>35.003999999999998</v>
      </c>
      <c r="G798">
        <v>34.987000000000002</v>
      </c>
      <c r="H798">
        <v>35.905999999999999</v>
      </c>
      <c r="I798" s="136">
        <v>40478</v>
      </c>
      <c r="J798">
        <v>37.06</v>
      </c>
      <c r="K798">
        <v>37</v>
      </c>
      <c r="L798">
        <v>37.630000000000003</v>
      </c>
    </row>
    <row r="799" spans="1:12">
      <c r="A799" s="136">
        <v>40479</v>
      </c>
      <c r="B799">
        <v>2325</v>
      </c>
      <c r="C799">
        <v>2315</v>
      </c>
      <c r="D799">
        <v>2357</v>
      </c>
      <c r="E799" s="136">
        <v>40479</v>
      </c>
      <c r="F799">
        <v>35.628999999999998</v>
      </c>
      <c r="G799">
        <v>35.241999999999997</v>
      </c>
      <c r="H799">
        <v>35.804000000000002</v>
      </c>
      <c r="I799" s="136">
        <v>40479</v>
      </c>
      <c r="J799">
        <v>37.700000000000003</v>
      </c>
      <c r="K799">
        <v>37.33</v>
      </c>
      <c r="L799">
        <v>37.96</v>
      </c>
    </row>
    <row r="800" spans="1:12">
      <c r="A800" s="136">
        <v>40480</v>
      </c>
      <c r="B800">
        <v>2335</v>
      </c>
      <c r="C800">
        <v>2305</v>
      </c>
      <c r="D800">
        <v>2358</v>
      </c>
      <c r="E800" s="136">
        <v>40480</v>
      </c>
      <c r="F800">
        <v>35.356999999999999</v>
      </c>
      <c r="G800">
        <v>34.944000000000003</v>
      </c>
      <c r="H800">
        <v>35.642000000000003</v>
      </c>
      <c r="I800" s="136">
        <v>40480</v>
      </c>
      <c r="J800">
        <v>37.450000000000003</v>
      </c>
      <c r="K800">
        <v>37.32</v>
      </c>
      <c r="L800">
        <v>37.74</v>
      </c>
    </row>
    <row r="801" spans="1:12">
      <c r="A801" s="136">
        <v>40481</v>
      </c>
      <c r="B801">
        <v>2335</v>
      </c>
      <c r="C801">
        <v>2305</v>
      </c>
      <c r="D801">
        <v>2358</v>
      </c>
      <c r="E801" s="136">
        <v>40481</v>
      </c>
      <c r="F801">
        <v>35.356999999999999</v>
      </c>
      <c r="G801">
        <v>34.944000000000003</v>
      </c>
      <c r="H801">
        <v>35.642000000000003</v>
      </c>
      <c r="I801" s="136">
        <v>40481</v>
      </c>
      <c r="J801">
        <v>37.450000000000003</v>
      </c>
      <c r="K801">
        <v>37.32</v>
      </c>
      <c r="L801">
        <v>37.74</v>
      </c>
    </row>
    <row r="802" spans="1:12">
      <c r="A802" s="136">
        <v>40482</v>
      </c>
      <c r="B802">
        <v>2335</v>
      </c>
      <c r="C802">
        <v>2305</v>
      </c>
      <c r="D802">
        <v>2358</v>
      </c>
      <c r="E802" s="136">
        <v>40482</v>
      </c>
      <c r="F802">
        <v>35.356999999999999</v>
      </c>
      <c r="G802">
        <v>34.944000000000003</v>
      </c>
      <c r="H802">
        <v>35.642000000000003</v>
      </c>
      <c r="I802" s="136">
        <v>40482</v>
      </c>
      <c r="J802">
        <v>37.450000000000003</v>
      </c>
      <c r="K802">
        <v>37.32</v>
      </c>
      <c r="L802">
        <v>37.74</v>
      </c>
    </row>
    <row r="803" spans="1:12">
      <c r="A803" s="136">
        <v>40483</v>
      </c>
      <c r="B803">
        <v>2360</v>
      </c>
      <c r="C803">
        <v>2356</v>
      </c>
      <c r="D803">
        <v>2404</v>
      </c>
      <c r="E803" s="136">
        <v>40483</v>
      </c>
      <c r="F803">
        <v>35.587000000000003</v>
      </c>
      <c r="G803">
        <v>34.637999999999998</v>
      </c>
      <c r="H803">
        <v>35.753</v>
      </c>
      <c r="I803" s="136">
        <v>40483</v>
      </c>
      <c r="J803">
        <v>37.61</v>
      </c>
      <c r="K803">
        <v>37.1</v>
      </c>
      <c r="L803">
        <v>38</v>
      </c>
    </row>
    <row r="804" spans="1:12">
      <c r="A804" s="136">
        <v>40484</v>
      </c>
      <c r="B804">
        <v>2370</v>
      </c>
      <c r="C804">
        <v>2370</v>
      </c>
      <c r="D804">
        <v>2440</v>
      </c>
      <c r="E804" s="136">
        <v>40484</v>
      </c>
      <c r="F804">
        <v>34.850999999999999</v>
      </c>
      <c r="G804">
        <v>34.625</v>
      </c>
      <c r="H804">
        <v>35.207999999999998</v>
      </c>
      <c r="I804" s="136">
        <v>40484</v>
      </c>
      <c r="J804">
        <v>37.53</v>
      </c>
      <c r="K804">
        <v>36.83</v>
      </c>
      <c r="L804">
        <v>37.57</v>
      </c>
    </row>
    <row r="805" spans="1:12">
      <c r="A805" s="136">
        <v>40485</v>
      </c>
      <c r="B805">
        <v>2436</v>
      </c>
      <c r="C805">
        <v>2404.25</v>
      </c>
      <c r="D805">
        <v>2449</v>
      </c>
      <c r="E805" s="136">
        <v>40485</v>
      </c>
      <c r="F805">
        <v>35.045999999999999</v>
      </c>
      <c r="G805">
        <v>34.262999999999998</v>
      </c>
      <c r="H805">
        <v>35.212000000000003</v>
      </c>
      <c r="I805" s="136">
        <v>40485</v>
      </c>
      <c r="J805">
        <v>36.979999999999997</v>
      </c>
      <c r="K805">
        <v>36.96</v>
      </c>
      <c r="L805">
        <v>37.83</v>
      </c>
    </row>
    <row r="806" spans="1:12">
      <c r="A806" s="136">
        <v>40486</v>
      </c>
      <c r="B806">
        <v>2431</v>
      </c>
      <c r="C806">
        <v>2430</v>
      </c>
      <c r="D806">
        <v>2492</v>
      </c>
      <c r="E806" s="136">
        <v>40486</v>
      </c>
      <c r="F806">
        <v>34.747999999999998</v>
      </c>
      <c r="G806">
        <v>34.747999999999998</v>
      </c>
      <c r="H806">
        <v>35.502000000000002</v>
      </c>
      <c r="I806" s="136">
        <v>40486</v>
      </c>
      <c r="J806">
        <v>38.14</v>
      </c>
      <c r="K806">
        <v>37.86</v>
      </c>
      <c r="L806">
        <v>39.85</v>
      </c>
    </row>
    <row r="807" spans="1:12">
      <c r="A807" s="136">
        <v>40487</v>
      </c>
      <c r="B807">
        <v>2459</v>
      </c>
      <c r="C807">
        <v>2438.5</v>
      </c>
      <c r="D807">
        <v>2488</v>
      </c>
      <c r="E807" s="136">
        <v>40487</v>
      </c>
      <c r="F807">
        <v>35.353000000000002</v>
      </c>
      <c r="G807">
        <v>35.165999999999997</v>
      </c>
      <c r="H807">
        <v>36.143999999999998</v>
      </c>
      <c r="I807" s="136">
        <v>40487</v>
      </c>
      <c r="J807">
        <v>39.89</v>
      </c>
      <c r="K807">
        <v>39.78</v>
      </c>
      <c r="L807">
        <v>41.34</v>
      </c>
    </row>
    <row r="808" spans="1:12">
      <c r="A808" s="136">
        <v>40488</v>
      </c>
      <c r="B808">
        <v>2459</v>
      </c>
      <c r="C808">
        <v>2438.5</v>
      </c>
      <c r="D808">
        <v>2488</v>
      </c>
      <c r="E808" s="136">
        <v>40488</v>
      </c>
      <c r="F808">
        <v>35.353000000000002</v>
      </c>
      <c r="G808">
        <v>35.165999999999997</v>
      </c>
      <c r="H808">
        <v>36.143999999999998</v>
      </c>
      <c r="I808" s="136">
        <v>40488</v>
      </c>
      <c r="J808">
        <v>39.89</v>
      </c>
      <c r="K808">
        <v>39.78</v>
      </c>
      <c r="L808">
        <v>41.34</v>
      </c>
    </row>
    <row r="809" spans="1:12">
      <c r="A809" s="136">
        <v>40489</v>
      </c>
      <c r="B809">
        <v>2459</v>
      </c>
      <c r="C809">
        <v>2438.5</v>
      </c>
      <c r="D809">
        <v>2488</v>
      </c>
      <c r="E809" s="136">
        <v>40489</v>
      </c>
      <c r="F809">
        <v>35.353000000000002</v>
      </c>
      <c r="G809">
        <v>35.165999999999997</v>
      </c>
      <c r="H809">
        <v>36.143999999999998</v>
      </c>
      <c r="I809" s="136">
        <v>40489</v>
      </c>
      <c r="J809">
        <v>39.89</v>
      </c>
      <c r="K809">
        <v>39.78</v>
      </c>
      <c r="L809">
        <v>41.34</v>
      </c>
    </row>
    <row r="810" spans="1:12">
      <c r="A810" s="136">
        <v>40490</v>
      </c>
      <c r="B810">
        <v>2454.75</v>
      </c>
      <c r="C810">
        <v>2420</v>
      </c>
      <c r="D810">
        <v>2461</v>
      </c>
      <c r="E810" s="136">
        <v>40490</v>
      </c>
      <c r="F810">
        <v>35.390999999999998</v>
      </c>
      <c r="G810">
        <v>35.390999999999998</v>
      </c>
      <c r="H810">
        <v>36.033999999999999</v>
      </c>
      <c r="I810" s="136">
        <v>40490</v>
      </c>
      <c r="J810">
        <v>40.86</v>
      </c>
      <c r="K810">
        <v>40.21</v>
      </c>
      <c r="L810">
        <v>41.2</v>
      </c>
    </row>
    <row r="811" spans="1:12">
      <c r="A811" s="136">
        <v>40491</v>
      </c>
      <c r="B811">
        <v>2425</v>
      </c>
      <c r="C811">
        <v>2422</v>
      </c>
      <c r="D811">
        <v>2479</v>
      </c>
      <c r="E811" s="136">
        <v>40491</v>
      </c>
      <c r="F811">
        <v>35.445999999999998</v>
      </c>
      <c r="G811">
        <v>35.326999999999998</v>
      </c>
      <c r="H811">
        <v>35.94</v>
      </c>
      <c r="I811" s="136">
        <v>40491</v>
      </c>
      <c r="J811">
        <v>40.43</v>
      </c>
      <c r="K811">
        <v>39.729999999999997</v>
      </c>
      <c r="L811">
        <v>40.680100000000003</v>
      </c>
    </row>
    <row r="812" spans="1:12">
      <c r="A812" s="136">
        <v>40492</v>
      </c>
      <c r="B812">
        <v>2458</v>
      </c>
      <c r="C812">
        <v>2416</v>
      </c>
      <c r="D812">
        <v>2467</v>
      </c>
      <c r="E812" s="136">
        <v>40492</v>
      </c>
      <c r="F812">
        <v>35.468000000000004</v>
      </c>
      <c r="G812">
        <v>34.459000000000003</v>
      </c>
      <c r="H812">
        <v>35.582999999999998</v>
      </c>
      <c r="I812" s="136">
        <v>40492</v>
      </c>
      <c r="J812">
        <v>39.869999999999997</v>
      </c>
      <c r="K812">
        <v>39.590000000000003</v>
      </c>
      <c r="L812">
        <v>40.64</v>
      </c>
    </row>
    <row r="813" spans="1:12">
      <c r="A813" s="136">
        <v>40493</v>
      </c>
      <c r="B813">
        <v>2443</v>
      </c>
      <c r="C813">
        <v>2435</v>
      </c>
      <c r="D813">
        <v>2500</v>
      </c>
      <c r="E813" s="136">
        <v>40493</v>
      </c>
      <c r="F813">
        <v>35.055</v>
      </c>
      <c r="G813">
        <v>34.143999999999998</v>
      </c>
      <c r="H813">
        <v>35.241999999999997</v>
      </c>
      <c r="I813" s="136">
        <v>40493</v>
      </c>
      <c r="J813">
        <v>40.270000000000003</v>
      </c>
      <c r="K813">
        <v>39.85</v>
      </c>
      <c r="L813">
        <v>40.44</v>
      </c>
    </row>
    <row r="814" spans="1:12">
      <c r="A814" s="136">
        <v>40494</v>
      </c>
      <c r="B814">
        <v>2455</v>
      </c>
      <c r="C814">
        <v>2374</v>
      </c>
      <c r="D814">
        <v>2463</v>
      </c>
      <c r="E814" s="136">
        <v>40494</v>
      </c>
      <c r="F814">
        <v>34.049999999999997</v>
      </c>
      <c r="G814">
        <v>33.408000000000001</v>
      </c>
      <c r="H814">
        <v>34.808</v>
      </c>
      <c r="I814" s="136">
        <v>40494</v>
      </c>
      <c r="J814">
        <v>39.86</v>
      </c>
      <c r="K814">
        <v>39.380000000000003</v>
      </c>
      <c r="L814">
        <v>40.26</v>
      </c>
    </row>
    <row r="815" spans="1:12">
      <c r="A815" s="136">
        <v>40495</v>
      </c>
      <c r="B815">
        <v>2455</v>
      </c>
      <c r="C815">
        <v>2374</v>
      </c>
      <c r="D815">
        <v>2463</v>
      </c>
      <c r="E815" s="136">
        <v>40495</v>
      </c>
      <c r="F815">
        <v>34.049999999999997</v>
      </c>
      <c r="G815">
        <v>33.408000000000001</v>
      </c>
      <c r="H815">
        <v>34.808</v>
      </c>
      <c r="I815" s="136">
        <v>40495</v>
      </c>
      <c r="J815">
        <v>39.86</v>
      </c>
      <c r="K815">
        <v>39.380000000000003</v>
      </c>
      <c r="L815">
        <v>40.26</v>
      </c>
    </row>
    <row r="816" spans="1:12">
      <c r="A816" s="136">
        <v>40496</v>
      </c>
      <c r="B816">
        <v>2455</v>
      </c>
      <c r="C816">
        <v>2374</v>
      </c>
      <c r="D816">
        <v>2463</v>
      </c>
      <c r="E816" s="136">
        <v>40496</v>
      </c>
      <c r="F816">
        <v>34.049999999999997</v>
      </c>
      <c r="G816">
        <v>33.408000000000001</v>
      </c>
      <c r="H816">
        <v>34.808</v>
      </c>
      <c r="I816" s="136">
        <v>40496</v>
      </c>
      <c r="J816">
        <v>39.86</v>
      </c>
      <c r="K816">
        <v>39.380000000000003</v>
      </c>
      <c r="L816">
        <v>40.26</v>
      </c>
    </row>
    <row r="817" spans="1:12">
      <c r="A817" s="136">
        <v>40497</v>
      </c>
      <c r="B817">
        <v>2394.5</v>
      </c>
      <c r="C817">
        <v>2354</v>
      </c>
      <c r="D817">
        <v>2406</v>
      </c>
      <c r="E817" s="136">
        <v>40497</v>
      </c>
      <c r="F817">
        <v>34.518999999999998</v>
      </c>
      <c r="G817">
        <v>34.08</v>
      </c>
      <c r="H817">
        <v>34.902000000000001</v>
      </c>
      <c r="I817" s="136">
        <v>40497</v>
      </c>
      <c r="J817">
        <v>39.82</v>
      </c>
      <c r="K817">
        <v>39.71</v>
      </c>
      <c r="L817">
        <v>40.64</v>
      </c>
    </row>
    <row r="818" spans="1:12">
      <c r="A818" s="136">
        <v>40498</v>
      </c>
      <c r="B818">
        <v>2399</v>
      </c>
      <c r="C818">
        <v>2216</v>
      </c>
      <c r="D818">
        <v>2400</v>
      </c>
      <c r="E818" s="136">
        <v>40498</v>
      </c>
      <c r="F818">
        <v>34.305999999999997</v>
      </c>
      <c r="G818">
        <v>33.994999999999997</v>
      </c>
      <c r="H818">
        <v>34.859000000000002</v>
      </c>
      <c r="I818" s="136">
        <v>40498</v>
      </c>
      <c r="J818">
        <v>39.74</v>
      </c>
      <c r="K818">
        <v>39.04</v>
      </c>
      <c r="L818">
        <v>39.97</v>
      </c>
    </row>
    <row r="819" spans="1:12">
      <c r="A819" s="136">
        <v>40499</v>
      </c>
      <c r="B819">
        <v>2249</v>
      </c>
      <c r="C819">
        <v>2185</v>
      </c>
      <c r="D819">
        <v>2315</v>
      </c>
      <c r="E819" s="136">
        <v>40499</v>
      </c>
      <c r="F819">
        <v>34.093000000000004</v>
      </c>
      <c r="G819">
        <v>33.965000000000003</v>
      </c>
      <c r="H819">
        <v>34.765000000000001</v>
      </c>
      <c r="I819" s="136">
        <v>40499</v>
      </c>
      <c r="J819">
        <v>39.58</v>
      </c>
      <c r="K819">
        <v>38.979999999999997</v>
      </c>
      <c r="L819">
        <v>39.68</v>
      </c>
    </row>
    <row r="820" spans="1:12">
      <c r="A820" s="136">
        <v>40500</v>
      </c>
      <c r="B820">
        <v>2285</v>
      </c>
      <c r="C820">
        <v>2281</v>
      </c>
      <c r="D820">
        <v>2314</v>
      </c>
      <c r="E820" s="136">
        <v>40500</v>
      </c>
      <c r="F820">
        <v>35.045999999999999</v>
      </c>
      <c r="G820">
        <v>34.774000000000001</v>
      </c>
      <c r="H820">
        <v>35.216999999999999</v>
      </c>
      <c r="I820" s="136">
        <v>40500</v>
      </c>
      <c r="J820">
        <v>39.57</v>
      </c>
      <c r="K820">
        <v>39.36</v>
      </c>
      <c r="L820">
        <v>40</v>
      </c>
    </row>
    <row r="821" spans="1:12">
      <c r="A821" s="136">
        <v>40501</v>
      </c>
      <c r="B821">
        <v>2315</v>
      </c>
      <c r="C821">
        <v>2259.8000000000002</v>
      </c>
      <c r="D821">
        <v>2331</v>
      </c>
      <c r="E821" s="136">
        <v>40501</v>
      </c>
      <c r="F821">
        <v>35.113999999999997</v>
      </c>
      <c r="G821">
        <v>34.161000000000001</v>
      </c>
      <c r="H821">
        <v>35.113999999999997</v>
      </c>
      <c r="I821" s="136">
        <v>40501</v>
      </c>
      <c r="J821">
        <v>39.409999999999997</v>
      </c>
      <c r="K821">
        <v>39.26</v>
      </c>
      <c r="L821">
        <v>39.64</v>
      </c>
    </row>
    <row r="822" spans="1:12">
      <c r="A822" s="136">
        <v>40502</v>
      </c>
      <c r="B822">
        <v>2315</v>
      </c>
      <c r="C822">
        <v>2259.8000000000002</v>
      </c>
      <c r="D822">
        <v>2331</v>
      </c>
      <c r="E822" s="136">
        <v>40502</v>
      </c>
      <c r="F822">
        <v>35.113999999999997</v>
      </c>
      <c r="G822">
        <v>34.161000000000001</v>
      </c>
      <c r="H822">
        <v>35.113999999999997</v>
      </c>
      <c r="I822" s="136">
        <v>40502</v>
      </c>
      <c r="J822">
        <v>39.409999999999997</v>
      </c>
      <c r="K822">
        <v>39.26</v>
      </c>
      <c r="L822">
        <v>39.64</v>
      </c>
    </row>
    <row r="823" spans="1:12">
      <c r="A823" s="136">
        <v>40503</v>
      </c>
      <c r="B823">
        <v>2315</v>
      </c>
      <c r="C823">
        <v>2259.8000000000002</v>
      </c>
      <c r="D823">
        <v>2331</v>
      </c>
      <c r="E823" s="136">
        <v>40503</v>
      </c>
      <c r="F823">
        <v>35.113999999999997</v>
      </c>
      <c r="G823">
        <v>34.161000000000001</v>
      </c>
      <c r="H823">
        <v>35.113999999999997</v>
      </c>
      <c r="I823" s="136">
        <v>40503</v>
      </c>
      <c r="J823">
        <v>39.409999999999997</v>
      </c>
      <c r="K823">
        <v>39.26</v>
      </c>
      <c r="L823">
        <v>39.64</v>
      </c>
    </row>
    <row r="824" spans="1:12">
      <c r="A824" s="136">
        <v>40504</v>
      </c>
      <c r="B824">
        <v>2281</v>
      </c>
      <c r="C824">
        <v>2270</v>
      </c>
      <c r="D824">
        <v>2308</v>
      </c>
      <c r="E824" s="136">
        <v>40504</v>
      </c>
      <c r="F824">
        <v>34.859000000000002</v>
      </c>
      <c r="G824">
        <v>33.667000000000002</v>
      </c>
      <c r="H824">
        <v>34.893000000000001</v>
      </c>
      <c r="I824" s="136">
        <v>40504</v>
      </c>
      <c r="J824">
        <v>39.06</v>
      </c>
      <c r="K824">
        <v>38.21</v>
      </c>
      <c r="L824">
        <v>39.1</v>
      </c>
    </row>
    <row r="825" spans="1:12">
      <c r="A825" s="136">
        <v>40505</v>
      </c>
      <c r="B825">
        <v>2291</v>
      </c>
      <c r="C825">
        <v>2249</v>
      </c>
      <c r="D825">
        <v>2296.25</v>
      </c>
      <c r="E825" s="136">
        <v>40505</v>
      </c>
      <c r="F825">
        <v>33.619999999999997</v>
      </c>
      <c r="G825">
        <v>32.985999999999997</v>
      </c>
      <c r="H825">
        <v>33.935000000000002</v>
      </c>
      <c r="I825" s="136">
        <v>40505</v>
      </c>
      <c r="J825">
        <v>38.01</v>
      </c>
      <c r="K825">
        <v>37.6</v>
      </c>
      <c r="L825">
        <v>38.22</v>
      </c>
    </row>
    <row r="826" spans="1:12">
      <c r="A826" s="136">
        <v>40506</v>
      </c>
      <c r="B826">
        <v>2265</v>
      </c>
      <c r="C826">
        <v>2257</v>
      </c>
      <c r="D826">
        <v>2296</v>
      </c>
      <c r="E826" s="136">
        <v>40506</v>
      </c>
      <c r="F826">
        <v>33.292999999999999</v>
      </c>
      <c r="G826">
        <v>32.22</v>
      </c>
      <c r="H826">
        <v>33.429000000000002</v>
      </c>
      <c r="I826" s="136">
        <v>40506</v>
      </c>
      <c r="J826">
        <v>37.83</v>
      </c>
      <c r="K826">
        <v>37.590000000000003</v>
      </c>
      <c r="L826">
        <v>38.24</v>
      </c>
    </row>
    <row r="827" spans="1:12">
      <c r="A827" s="136">
        <v>40507</v>
      </c>
      <c r="B827">
        <v>2270</v>
      </c>
      <c r="C827">
        <v>2257</v>
      </c>
      <c r="D827">
        <v>2292.75</v>
      </c>
      <c r="E827" s="136">
        <v>40507</v>
      </c>
      <c r="F827">
        <v>33.369</v>
      </c>
      <c r="G827">
        <v>32.582000000000001</v>
      </c>
      <c r="H827">
        <v>33.411999999999999</v>
      </c>
      <c r="I827" s="136">
        <v>40507</v>
      </c>
      <c r="J827">
        <v>37.83</v>
      </c>
      <c r="K827">
        <v>37.590000000000003</v>
      </c>
      <c r="L827">
        <v>38.24</v>
      </c>
    </row>
    <row r="828" spans="1:12">
      <c r="A828" s="136">
        <v>40508</v>
      </c>
      <c r="B828">
        <v>2288</v>
      </c>
      <c r="C828">
        <v>2257</v>
      </c>
      <c r="D828">
        <v>2288</v>
      </c>
      <c r="E828" s="136">
        <v>40508</v>
      </c>
      <c r="F828">
        <v>32.944000000000003</v>
      </c>
      <c r="G828">
        <v>31.981999999999999</v>
      </c>
      <c r="H828">
        <v>33.198999999999998</v>
      </c>
      <c r="I828" s="136">
        <v>40508</v>
      </c>
      <c r="J828">
        <v>37.71</v>
      </c>
      <c r="K828">
        <v>37.5</v>
      </c>
      <c r="L828">
        <v>37.979999999999997</v>
      </c>
    </row>
    <row r="829" spans="1:12">
      <c r="A829" s="136">
        <v>40509</v>
      </c>
      <c r="B829">
        <v>2288</v>
      </c>
      <c r="C829">
        <v>2257</v>
      </c>
      <c r="D829">
        <v>2288</v>
      </c>
      <c r="E829" s="136">
        <v>40509</v>
      </c>
      <c r="F829">
        <v>32.944000000000003</v>
      </c>
      <c r="G829">
        <v>31.981999999999999</v>
      </c>
      <c r="H829">
        <v>33.198999999999998</v>
      </c>
      <c r="I829" s="136">
        <v>40509</v>
      </c>
      <c r="J829">
        <v>37.71</v>
      </c>
      <c r="K829">
        <v>37.5</v>
      </c>
      <c r="L829">
        <v>37.979999999999997</v>
      </c>
    </row>
    <row r="830" spans="1:12">
      <c r="A830" s="136">
        <v>40510</v>
      </c>
      <c r="B830">
        <v>2288</v>
      </c>
      <c r="C830">
        <v>2257</v>
      </c>
      <c r="D830">
        <v>2288</v>
      </c>
      <c r="E830" s="136">
        <v>40510</v>
      </c>
      <c r="F830">
        <v>32.944000000000003</v>
      </c>
      <c r="G830">
        <v>31.981999999999999</v>
      </c>
      <c r="H830">
        <v>33.198999999999998</v>
      </c>
      <c r="I830" s="136">
        <v>40510</v>
      </c>
      <c r="J830">
        <v>37.71</v>
      </c>
      <c r="K830">
        <v>37.5</v>
      </c>
      <c r="L830">
        <v>37.979999999999997</v>
      </c>
    </row>
    <row r="831" spans="1:12">
      <c r="A831" s="136">
        <v>40511</v>
      </c>
      <c r="B831">
        <v>2270.25</v>
      </c>
      <c r="C831">
        <v>2250</v>
      </c>
      <c r="D831">
        <v>2295</v>
      </c>
      <c r="E831" s="136">
        <v>40511</v>
      </c>
      <c r="F831">
        <v>32.808</v>
      </c>
      <c r="G831">
        <v>31.071000000000002</v>
      </c>
      <c r="H831">
        <v>33.198999999999998</v>
      </c>
      <c r="I831" s="136">
        <v>40511</v>
      </c>
      <c r="J831">
        <v>37.47</v>
      </c>
      <c r="K831">
        <v>37.11</v>
      </c>
      <c r="L831">
        <v>38.090000000000003</v>
      </c>
    </row>
    <row r="832" spans="1:12">
      <c r="A832" s="136">
        <v>40512</v>
      </c>
      <c r="B832">
        <v>2280</v>
      </c>
      <c r="C832">
        <v>2261</v>
      </c>
      <c r="D832">
        <v>2295</v>
      </c>
      <c r="E832" s="136">
        <v>40512</v>
      </c>
      <c r="F832">
        <v>31.667000000000002</v>
      </c>
      <c r="G832">
        <v>30.581</v>
      </c>
      <c r="H832">
        <v>31.939</v>
      </c>
      <c r="I832" s="136">
        <v>40512</v>
      </c>
      <c r="J832">
        <v>37.49</v>
      </c>
      <c r="K832">
        <v>37.24</v>
      </c>
      <c r="L832">
        <v>37.79</v>
      </c>
    </row>
    <row r="833" spans="1:12">
      <c r="A833" s="136">
        <v>40513</v>
      </c>
      <c r="B833">
        <v>2285</v>
      </c>
      <c r="C833">
        <v>2278</v>
      </c>
      <c r="D833">
        <v>2369.75</v>
      </c>
      <c r="E833" s="136">
        <v>40513</v>
      </c>
      <c r="F833">
        <v>31.629000000000001</v>
      </c>
      <c r="G833">
        <v>31.428000000000001</v>
      </c>
      <c r="H833">
        <v>32.423999999999999</v>
      </c>
      <c r="I833" s="136">
        <v>40513</v>
      </c>
      <c r="J833">
        <v>37.950000000000003</v>
      </c>
      <c r="K833">
        <v>37.65</v>
      </c>
      <c r="L833">
        <v>38.19</v>
      </c>
    </row>
    <row r="834" spans="1:12">
      <c r="A834" s="136">
        <v>40514</v>
      </c>
      <c r="B834">
        <v>2355</v>
      </c>
      <c r="C834">
        <v>2313</v>
      </c>
      <c r="D834">
        <v>2387.5</v>
      </c>
      <c r="E834" s="136">
        <v>40514</v>
      </c>
      <c r="F834">
        <v>32.603000000000002</v>
      </c>
      <c r="G834">
        <v>31.922000000000001</v>
      </c>
      <c r="H834">
        <v>33.173999999999999</v>
      </c>
      <c r="I834" s="136">
        <v>40514</v>
      </c>
      <c r="J834">
        <v>38.43</v>
      </c>
      <c r="K834">
        <v>38.33</v>
      </c>
      <c r="L834">
        <v>39.380000000000003</v>
      </c>
    </row>
    <row r="835" spans="1:12">
      <c r="A835" s="136">
        <v>40515</v>
      </c>
      <c r="B835">
        <v>2358</v>
      </c>
      <c r="C835">
        <v>2300.25</v>
      </c>
      <c r="D835">
        <v>2372</v>
      </c>
      <c r="E835" s="136">
        <v>40515</v>
      </c>
      <c r="F835">
        <v>33.326999999999998</v>
      </c>
      <c r="G835">
        <v>32.654000000000003</v>
      </c>
      <c r="H835">
        <v>33.326999999999998</v>
      </c>
      <c r="I835" s="136">
        <v>40515</v>
      </c>
      <c r="J835">
        <v>39.07</v>
      </c>
      <c r="K835">
        <v>38.700000000000003</v>
      </c>
      <c r="L835">
        <v>39.67</v>
      </c>
    </row>
    <row r="836" spans="1:12">
      <c r="A836" s="136">
        <v>40516</v>
      </c>
      <c r="B836">
        <v>2358</v>
      </c>
      <c r="C836">
        <v>2300.25</v>
      </c>
      <c r="D836">
        <v>2372</v>
      </c>
      <c r="E836" s="136">
        <v>40516</v>
      </c>
      <c r="F836">
        <v>33.326999999999998</v>
      </c>
      <c r="G836">
        <v>32.654000000000003</v>
      </c>
      <c r="H836">
        <v>33.326999999999998</v>
      </c>
      <c r="I836" s="136">
        <v>40516</v>
      </c>
      <c r="J836">
        <v>39.07</v>
      </c>
      <c r="K836">
        <v>38.700000000000003</v>
      </c>
      <c r="L836">
        <v>39.67</v>
      </c>
    </row>
    <row r="837" spans="1:12">
      <c r="A837" s="136">
        <v>40517</v>
      </c>
      <c r="B837">
        <v>2358</v>
      </c>
      <c r="C837">
        <v>2300.25</v>
      </c>
      <c r="D837">
        <v>2372</v>
      </c>
      <c r="E837" s="136">
        <v>40517</v>
      </c>
      <c r="F837">
        <v>33.326999999999998</v>
      </c>
      <c r="G837">
        <v>32.654000000000003</v>
      </c>
      <c r="H837">
        <v>33.326999999999998</v>
      </c>
      <c r="I837" s="136">
        <v>40517</v>
      </c>
      <c r="J837">
        <v>39.07</v>
      </c>
      <c r="K837">
        <v>38.700000000000003</v>
      </c>
      <c r="L837">
        <v>39.67</v>
      </c>
    </row>
    <row r="838" spans="1:12">
      <c r="A838" s="136">
        <v>40518</v>
      </c>
      <c r="B838">
        <v>2332</v>
      </c>
      <c r="C838">
        <v>2296</v>
      </c>
      <c r="D838">
        <v>2346</v>
      </c>
      <c r="E838" s="136">
        <v>40518</v>
      </c>
      <c r="F838">
        <v>33.360999999999997</v>
      </c>
      <c r="G838">
        <v>32.296999999999997</v>
      </c>
      <c r="H838">
        <v>33.369</v>
      </c>
      <c r="I838" s="136">
        <v>40518</v>
      </c>
      <c r="J838">
        <v>39.479999999999997</v>
      </c>
      <c r="K838">
        <v>39.299999999999997</v>
      </c>
      <c r="L838">
        <v>40.049999999999997</v>
      </c>
    </row>
    <row r="839" spans="1:12">
      <c r="A839" s="136">
        <v>40519</v>
      </c>
      <c r="B839">
        <v>2319</v>
      </c>
      <c r="C839">
        <v>2298</v>
      </c>
      <c r="D839">
        <v>2361.25</v>
      </c>
      <c r="E839" s="136">
        <v>40519</v>
      </c>
      <c r="F839">
        <v>32.606999999999999</v>
      </c>
      <c r="G839">
        <v>32.006999999999998</v>
      </c>
      <c r="H839">
        <v>32.752000000000002</v>
      </c>
      <c r="I839" s="136">
        <v>40519</v>
      </c>
      <c r="J839">
        <v>40.35</v>
      </c>
      <c r="K839">
        <v>39.24</v>
      </c>
      <c r="L839">
        <v>40.46</v>
      </c>
    </row>
    <row r="840" spans="1:12">
      <c r="A840" s="136">
        <v>40520</v>
      </c>
      <c r="B840">
        <v>2299</v>
      </c>
      <c r="C840">
        <v>2253</v>
      </c>
      <c r="D840">
        <v>2375</v>
      </c>
      <c r="E840" s="136">
        <v>40520</v>
      </c>
      <c r="F840">
        <v>32.25</v>
      </c>
      <c r="G840">
        <v>32.091999999999999</v>
      </c>
      <c r="H840">
        <v>32.991</v>
      </c>
      <c r="I840" s="136">
        <v>40520</v>
      </c>
      <c r="J840">
        <v>39.36</v>
      </c>
      <c r="K840">
        <v>39.06</v>
      </c>
      <c r="L840">
        <v>40.33</v>
      </c>
    </row>
    <row r="841" spans="1:12">
      <c r="A841" s="136">
        <v>40521</v>
      </c>
      <c r="B841">
        <v>2372</v>
      </c>
      <c r="C841">
        <v>2323</v>
      </c>
      <c r="D841">
        <v>2408</v>
      </c>
      <c r="E841" s="136">
        <v>40521</v>
      </c>
      <c r="F841">
        <v>33.173999999999999</v>
      </c>
      <c r="G841">
        <v>33.020000000000003</v>
      </c>
      <c r="H841">
        <v>33.880000000000003</v>
      </c>
      <c r="I841" s="136">
        <v>40521</v>
      </c>
      <c r="J841">
        <v>40.67</v>
      </c>
      <c r="K841">
        <v>40.57</v>
      </c>
      <c r="L841">
        <v>41.1</v>
      </c>
    </row>
    <row r="842" spans="1:12">
      <c r="A842" s="136">
        <v>40522</v>
      </c>
      <c r="B842">
        <v>2331</v>
      </c>
      <c r="C842">
        <v>2302</v>
      </c>
      <c r="D842">
        <v>2359</v>
      </c>
      <c r="E842" s="136">
        <v>40522</v>
      </c>
      <c r="F842">
        <v>33.777999999999999</v>
      </c>
      <c r="G842">
        <v>33.436999999999998</v>
      </c>
      <c r="H842">
        <v>33.957000000000001</v>
      </c>
      <c r="I842" s="136">
        <v>40522</v>
      </c>
      <c r="J842">
        <v>40.89</v>
      </c>
      <c r="K842">
        <v>40.770000000000003</v>
      </c>
      <c r="L842">
        <v>41.5</v>
      </c>
    </row>
    <row r="843" spans="1:12">
      <c r="A843" s="136">
        <v>40523</v>
      </c>
      <c r="B843">
        <v>2331</v>
      </c>
      <c r="C843">
        <v>2302</v>
      </c>
      <c r="D843">
        <v>2359</v>
      </c>
      <c r="E843" s="136">
        <v>40523</v>
      </c>
      <c r="F843">
        <v>33.777999999999999</v>
      </c>
      <c r="G843">
        <v>33.436999999999998</v>
      </c>
      <c r="H843">
        <v>33.957000000000001</v>
      </c>
      <c r="I843" s="136">
        <v>40523</v>
      </c>
      <c r="J843">
        <v>40.89</v>
      </c>
      <c r="K843">
        <v>40.770000000000003</v>
      </c>
      <c r="L843">
        <v>41.5</v>
      </c>
    </row>
    <row r="844" spans="1:12">
      <c r="A844" s="136">
        <v>40524</v>
      </c>
      <c r="B844">
        <v>2331</v>
      </c>
      <c r="C844">
        <v>2302</v>
      </c>
      <c r="D844">
        <v>2359</v>
      </c>
      <c r="E844" s="136">
        <v>40524</v>
      </c>
      <c r="F844">
        <v>33.777999999999999</v>
      </c>
      <c r="G844">
        <v>33.436999999999998</v>
      </c>
      <c r="H844">
        <v>33.957000000000001</v>
      </c>
      <c r="I844" s="136">
        <v>40524</v>
      </c>
      <c r="J844">
        <v>40.89</v>
      </c>
      <c r="K844">
        <v>40.770000000000003</v>
      </c>
      <c r="L844">
        <v>41.5</v>
      </c>
    </row>
    <row r="845" spans="1:12">
      <c r="A845" s="136">
        <v>40525</v>
      </c>
      <c r="B845">
        <v>2318</v>
      </c>
      <c r="C845">
        <v>2316</v>
      </c>
      <c r="D845">
        <v>2349</v>
      </c>
      <c r="E845" s="136">
        <v>40525</v>
      </c>
      <c r="F845">
        <v>33.965000000000003</v>
      </c>
      <c r="G845">
        <v>33.965000000000003</v>
      </c>
      <c r="H845">
        <v>34.374000000000002</v>
      </c>
      <c r="I845" s="136">
        <v>40525</v>
      </c>
      <c r="J845">
        <v>41.57</v>
      </c>
      <c r="K845">
        <v>41.16</v>
      </c>
      <c r="L845">
        <v>41.99</v>
      </c>
    </row>
    <row r="846" spans="1:12">
      <c r="A846" s="136">
        <v>40526</v>
      </c>
      <c r="B846">
        <v>2340</v>
      </c>
      <c r="C846">
        <v>2331</v>
      </c>
      <c r="D846">
        <v>2373</v>
      </c>
      <c r="E846" s="136">
        <v>40526</v>
      </c>
      <c r="F846">
        <v>34.076000000000001</v>
      </c>
      <c r="G846">
        <v>33.768999999999998</v>
      </c>
      <c r="H846">
        <v>34.399000000000001</v>
      </c>
      <c r="I846" s="136">
        <v>40526</v>
      </c>
      <c r="J846">
        <v>41.44</v>
      </c>
      <c r="K846">
        <v>40.47</v>
      </c>
      <c r="L846">
        <v>41.5</v>
      </c>
    </row>
    <row r="847" spans="1:12">
      <c r="A847" s="136">
        <v>40527</v>
      </c>
      <c r="B847">
        <v>2366</v>
      </c>
      <c r="C847">
        <v>2314.75</v>
      </c>
      <c r="D847">
        <v>2374</v>
      </c>
      <c r="E847" s="136">
        <v>40527</v>
      </c>
      <c r="F847">
        <v>33.999000000000002</v>
      </c>
      <c r="G847">
        <v>33.365000000000002</v>
      </c>
      <c r="H847">
        <v>34.049999999999997</v>
      </c>
      <c r="I847" s="136">
        <v>40527</v>
      </c>
      <c r="J847">
        <v>40.729999999999997</v>
      </c>
      <c r="K847">
        <v>40.06</v>
      </c>
      <c r="L847">
        <v>41</v>
      </c>
    </row>
    <row r="848" spans="1:12">
      <c r="A848" s="136">
        <v>40528</v>
      </c>
      <c r="B848">
        <v>2316</v>
      </c>
      <c r="C848">
        <v>2295</v>
      </c>
      <c r="D848">
        <v>2337.75</v>
      </c>
      <c r="E848" s="136">
        <v>40528</v>
      </c>
      <c r="F848">
        <v>33.340000000000003</v>
      </c>
      <c r="G848">
        <v>33.237000000000002</v>
      </c>
      <c r="H848">
        <v>34.003999999999998</v>
      </c>
      <c r="I848" s="136">
        <v>40528</v>
      </c>
      <c r="J848">
        <v>40.42</v>
      </c>
      <c r="K848">
        <v>39.82</v>
      </c>
      <c r="L848">
        <v>40.68</v>
      </c>
    </row>
    <row r="849" spans="1:12">
      <c r="A849" s="136">
        <v>40529</v>
      </c>
      <c r="B849">
        <v>2321</v>
      </c>
      <c r="C849">
        <v>2320</v>
      </c>
      <c r="D849">
        <v>2348</v>
      </c>
      <c r="E849" s="136">
        <v>40529</v>
      </c>
      <c r="F849">
        <v>33.965000000000003</v>
      </c>
      <c r="G849">
        <v>33.326999999999998</v>
      </c>
      <c r="H849">
        <v>33.965000000000003</v>
      </c>
      <c r="I849" s="136">
        <v>40529</v>
      </c>
      <c r="J849">
        <v>40.06</v>
      </c>
      <c r="K849">
        <v>39.53</v>
      </c>
      <c r="L849">
        <v>40.07</v>
      </c>
    </row>
    <row r="850" spans="1:12">
      <c r="A850" s="136">
        <v>40530</v>
      </c>
      <c r="B850">
        <v>2321</v>
      </c>
      <c r="C850">
        <v>2320</v>
      </c>
      <c r="D850">
        <v>2348</v>
      </c>
      <c r="E850" s="136">
        <v>40530</v>
      </c>
      <c r="F850">
        <v>33.965000000000003</v>
      </c>
      <c r="G850">
        <v>33.326999999999998</v>
      </c>
      <c r="H850">
        <v>33.965000000000003</v>
      </c>
      <c r="I850" s="136">
        <v>40530</v>
      </c>
      <c r="J850">
        <v>40.06</v>
      </c>
      <c r="K850">
        <v>39.53</v>
      </c>
      <c r="L850">
        <v>40.07</v>
      </c>
    </row>
    <row r="851" spans="1:12">
      <c r="A851" s="136">
        <v>40531</v>
      </c>
      <c r="B851">
        <v>2321</v>
      </c>
      <c r="C851">
        <v>2320</v>
      </c>
      <c r="D851">
        <v>2348</v>
      </c>
      <c r="E851" s="136">
        <v>40531</v>
      </c>
      <c r="F851">
        <v>33.965000000000003</v>
      </c>
      <c r="G851">
        <v>33.326999999999998</v>
      </c>
      <c r="H851">
        <v>33.965000000000003</v>
      </c>
      <c r="I851" s="136">
        <v>40531</v>
      </c>
      <c r="J851">
        <v>40.06</v>
      </c>
      <c r="K851">
        <v>39.53</v>
      </c>
      <c r="L851">
        <v>40.07</v>
      </c>
    </row>
    <row r="852" spans="1:12">
      <c r="A852" s="136">
        <v>40532</v>
      </c>
      <c r="B852">
        <v>2340</v>
      </c>
      <c r="C852">
        <v>2327.35</v>
      </c>
      <c r="D852">
        <v>2380</v>
      </c>
      <c r="E852" s="136">
        <v>40532</v>
      </c>
      <c r="F852">
        <v>33.71</v>
      </c>
      <c r="G852">
        <v>33.488999999999997</v>
      </c>
      <c r="H852">
        <v>33.923000000000002</v>
      </c>
      <c r="I852" s="136">
        <v>40532</v>
      </c>
      <c r="J852">
        <v>39.83</v>
      </c>
      <c r="K852">
        <v>39.69</v>
      </c>
      <c r="L852">
        <v>40.270000000000003</v>
      </c>
    </row>
    <row r="853" spans="1:12">
      <c r="A853" s="136">
        <v>40533</v>
      </c>
      <c r="B853">
        <v>2366</v>
      </c>
      <c r="C853">
        <v>2365</v>
      </c>
      <c r="D853">
        <v>2439.75</v>
      </c>
      <c r="E853" s="136">
        <v>40533</v>
      </c>
      <c r="F853">
        <v>33.863</v>
      </c>
      <c r="G853">
        <v>33.514000000000003</v>
      </c>
      <c r="H853">
        <v>33.863</v>
      </c>
      <c r="I853" s="136">
        <v>40533</v>
      </c>
      <c r="J853">
        <v>40.159999999999997</v>
      </c>
      <c r="K853">
        <v>39.979999999999997</v>
      </c>
      <c r="L853">
        <v>41.24</v>
      </c>
    </row>
    <row r="854" spans="1:12">
      <c r="A854" s="136">
        <v>40534</v>
      </c>
      <c r="B854">
        <v>2421</v>
      </c>
      <c r="C854">
        <v>2411</v>
      </c>
      <c r="D854">
        <v>2469</v>
      </c>
      <c r="E854" s="136">
        <v>40534</v>
      </c>
      <c r="F854">
        <v>33.676000000000002</v>
      </c>
      <c r="G854">
        <v>33.518000000000001</v>
      </c>
      <c r="H854">
        <v>33.884</v>
      </c>
      <c r="I854" s="136">
        <v>40534</v>
      </c>
      <c r="J854">
        <v>41.17</v>
      </c>
      <c r="K854">
        <v>41.16</v>
      </c>
      <c r="L854">
        <v>42.54</v>
      </c>
    </row>
    <row r="855" spans="1:12">
      <c r="A855" s="136">
        <v>40535</v>
      </c>
      <c r="B855">
        <v>2460</v>
      </c>
      <c r="C855">
        <v>2425.25</v>
      </c>
      <c r="D855">
        <v>2463.75</v>
      </c>
      <c r="E855" s="136">
        <v>40535</v>
      </c>
      <c r="F855">
        <v>33.573999999999998</v>
      </c>
      <c r="G855">
        <v>33.573999999999998</v>
      </c>
      <c r="H855">
        <v>33.798999999999999</v>
      </c>
      <c r="I855" s="136">
        <v>40535</v>
      </c>
      <c r="J855">
        <v>42.15</v>
      </c>
      <c r="K855">
        <v>41.82</v>
      </c>
      <c r="L855">
        <v>42.27</v>
      </c>
    </row>
    <row r="856" spans="1:12">
      <c r="A856" s="136">
        <v>40536</v>
      </c>
      <c r="B856">
        <v>2445</v>
      </c>
      <c r="C856">
        <v>2411</v>
      </c>
      <c r="D856">
        <v>2463.25</v>
      </c>
      <c r="E856" s="136">
        <v>40536</v>
      </c>
      <c r="F856">
        <v>33.573999999999998</v>
      </c>
      <c r="G856">
        <v>33.573999999999998</v>
      </c>
      <c r="H856">
        <v>33.798999999999999</v>
      </c>
      <c r="I856" s="136">
        <v>40536</v>
      </c>
      <c r="J856">
        <v>42.15</v>
      </c>
      <c r="K856">
        <v>41.82</v>
      </c>
      <c r="L856">
        <v>42.27</v>
      </c>
    </row>
    <row r="857" spans="1:12">
      <c r="A857" s="136">
        <v>40537</v>
      </c>
      <c r="B857">
        <v>2445</v>
      </c>
      <c r="C857">
        <v>2411</v>
      </c>
      <c r="D857">
        <v>2463.25</v>
      </c>
      <c r="E857" s="136">
        <v>40537</v>
      </c>
      <c r="F857">
        <v>33.573999999999998</v>
      </c>
      <c r="G857">
        <v>33.573999999999998</v>
      </c>
      <c r="H857">
        <v>33.798999999999999</v>
      </c>
      <c r="I857" s="136">
        <v>40537</v>
      </c>
      <c r="J857">
        <v>42.15</v>
      </c>
      <c r="K857">
        <v>41.82</v>
      </c>
      <c r="L857">
        <v>42.27</v>
      </c>
    </row>
    <row r="858" spans="1:12">
      <c r="A858" s="136">
        <v>40538</v>
      </c>
      <c r="B858">
        <v>2445</v>
      </c>
      <c r="C858">
        <v>2411</v>
      </c>
      <c r="D858">
        <v>2463.25</v>
      </c>
      <c r="E858" s="136">
        <v>40538</v>
      </c>
      <c r="F858">
        <v>33.573999999999998</v>
      </c>
      <c r="G858">
        <v>33.573999999999998</v>
      </c>
      <c r="H858">
        <v>33.798999999999999</v>
      </c>
      <c r="I858" s="136">
        <v>40538</v>
      </c>
      <c r="J858">
        <v>42.15</v>
      </c>
      <c r="K858">
        <v>41.82</v>
      </c>
      <c r="L858">
        <v>42.27</v>
      </c>
    </row>
    <row r="859" spans="1:12">
      <c r="A859" s="136">
        <v>40539</v>
      </c>
      <c r="B859">
        <v>2445</v>
      </c>
      <c r="C859">
        <v>2411</v>
      </c>
      <c r="D859">
        <v>2463.25</v>
      </c>
      <c r="E859" s="136">
        <v>40539</v>
      </c>
      <c r="F859">
        <v>33.633000000000003</v>
      </c>
      <c r="G859">
        <v>33.207999999999998</v>
      </c>
      <c r="H859">
        <v>33.795000000000002</v>
      </c>
      <c r="I859" s="136">
        <v>40539</v>
      </c>
      <c r="J859">
        <v>41.82</v>
      </c>
      <c r="K859">
        <v>41.8</v>
      </c>
      <c r="L859">
        <v>42.68</v>
      </c>
    </row>
    <row r="860" spans="1:12">
      <c r="A860" s="136">
        <v>40540</v>
      </c>
      <c r="B860">
        <v>2445</v>
      </c>
      <c r="C860">
        <v>2411</v>
      </c>
      <c r="D860">
        <v>2463.25</v>
      </c>
      <c r="E860" s="136">
        <v>40540</v>
      </c>
      <c r="F860">
        <v>33.415999999999997</v>
      </c>
      <c r="G860">
        <v>33.399000000000001</v>
      </c>
      <c r="H860">
        <v>33.676000000000002</v>
      </c>
      <c r="I860" s="136">
        <v>40540</v>
      </c>
      <c r="J860">
        <v>42.7</v>
      </c>
      <c r="K860">
        <v>42.47</v>
      </c>
      <c r="L860">
        <v>43.120100000000001</v>
      </c>
    </row>
    <row r="861" spans="1:12">
      <c r="A861" s="136">
        <v>40541</v>
      </c>
      <c r="B861">
        <v>2444.75</v>
      </c>
      <c r="C861">
        <v>2438</v>
      </c>
      <c r="D861">
        <v>2480</v>
      </c>
      <c r="E861" s="136">
        <v>40541</v>
      </c>
      <c r="F861">
        <v>33.612000000000002</v>
      </c>
      <c r="G861">
        <v>33.411999999999999</v>
      </c>
      <c r="H861">
        <v>33.71</v>
      </c>
      <c r="I861" s="136">
        <v>40541</v>
      </c>
      <c r="J861">
        <v>42.58</v>
      </c>
      <c r="K861">
        <v>42.3</v>
      </c>
      <c r="L861">
        <v>42.77</v>
      </c>
    </row>
    <row r="862" spans="1:12">
      <c r="A862" s="136">
        <v>40542</v>
      </c>
      <c r="B862">
        <v>2451.25</v>
      </c>
      <c r="C862">
        <v>2444</v>
      </c>
      <c r="D862">
        <v>2465</v>
      </c>
      <c r="E862" s="136">
        <v>40542</v>
      </c>
      <c r="F862">
        <v>33.500999999999998</v>
      </c>
      <c r="G862">
        <v>33.104999999999997</v>
      </c>
      <c r="H862">
        <v>33.667000000000002</v>
      </c>
      <c r="I862" s="136">
        <v>40542</v>
      </c>
      <c r="J862">
        <v>42.31</v>
      </c>
      <c r="K862">
        <v>42.051499999999997</v>
      </c>
      <c r="L862">
        <v>42.47</v>
      </c>
    </row>
    <row r="863" spans="1:12">
      <c r="A863" s="136">
        <v>40543</v>
      </c>
      <c r="B863">
        <v>2452.25</v>
      </c>
      <c r="C863">
        <v>2448</v>
      </c>
      <c r="D863">
        <v>2488</v>
      </c>
      <c r="E863" s="136">
        <v>40543</v>
      </c>
      <c r="F863">
        <v>33.500999999999998</v>
      </c>
      <c r="G863">
        <v>33.104999999999997</v>
      </c>
      <c r="H863">
        <v>33.667000000000002</v>
      </c>
      <c r="I863" s="136">
        <v>40543</v>
      </c>
      <c r="J863">
        <v>42.11</v>
      </c>
      <c r="K863">
        <v>42.04</v>
      </c>
      <c r="L863">
        <v>42.45</v>
      </c>
    </row>
    <row r="864" spans="1:12">
      <c r="A864" s="136">
        <v>40544</v>
      </c>
      <c r="B864">
        <v>2452.25</v>
      </c>
      <c r="C864">
        <v>2448</v>
      </c>
      <c r="D864">
        <v>2488</v>
      </c>
      <c r="E864" s="136">
        <v>40544</v>
      </c>
      <c r="F864">
        <v>33.500999999999998</v>
      </c>
      <c r="G864">
        <v>33.104999999999997</v>
      </c>
      <c r="H864">
        <v>33.667000000000002</v>
      </c>
      <c r="I864" s="136">
        <v>40544</v>
      </c>
      <c r="J864">
        <v>42.11</v>
      </c>
      <c r="K864">
        <v>42.04</v>
      </c>
      <c r="L864">
        <v>42.45</v>
      </c>
    </row>
    <row r="865" spans="1:12">
      <c r="A865" s="136">
        <v>40545</v>
      </c>
      <c r="B865">
        <v>2452.25</v>
      </c>
      <c r="C865">
        <v>2448</v>
      </c>
      <c r="D865">
        <v>2488</v>
      </c>
      <c r="E865" s="136">
        <v>40545</v>
      </c>
      <c r="F865">
        <v>33.500999999999998</v>
      </c>
      <c r="G865">
        <v>33.104999999999997</v>
      </c>
      <c r="H865">
        <v>33.667000000000002</v>
      </c>
      <c r="I865" s="136">
        <v>40545</v>
      </c>
      <c r="J865">
        <v>42.11</v>
      </c>
      <c r="K865">
        <v>42.04</v>
      </c>
      <c r="L865">
        <v>42.45</v>
      </c>
    </row>
    <row r="866" spans="1:12">
      <c r="A866" s="136">
        <v>40546</v>
      </c>
      <c r="B866">
        <v>2452.25</v>
      </c>
      <c r="C866">
        <v>2448</v>
      </c>
      <c r="D866">
        <v>2488</v>
      </c>
      <c r="E866" s="136">
        <v>40546</v>
      </c>
      <c r="F866">
        <v>33.845999999999997</v>
      </c>
      <c r="G866">
        <v>33.402999999999999</v>
      </c>
      <c r="H866">
        <v>33.845999999999997</v>
      </c>
      <c r="I866" s="136">
        <v>40546</v>
      </c>
      <c r="J866">
        <v>43</v>
      </c>
      <c r="K866">
        <v>42.96</v>
      </c>
      <c r="L866">
        <v>44.034999999999997</v>
      </c>
    </row>
    <row r="867" spans="1:12">
      <c r="A867" s="136">
        <v>40547</v>
      </c>
      <c r="B867">
        <v>2475.25</v>
      </c>
      <c r="C867">
        <v>2450</v>
      </c>
      <c r="D867">
        <v>2495</v>
      </c>
      <c r="E867" s="136">
        <v>40547</v>
      </c>
      <c r="F867">
        <v>33.880000000000003</v>
      </c>
      <c r="G867">
        <v>33.561</v>
      </c>
      <c r="H867">
        <v>34.530999999999999</v>
      </c>
      <c r="I867" s="136">
        <v>40547</v>
      </c>
      <c r="J867">
        <v>43.78</v>
      </c>
      <c r="K867">
        <v>43.339700000000001</v>
      </c>
      <c r="L867">
        <v>44.3</v>
      </c>
    </row>
    <row r="868" spans="1:12">
      <c r="A868" s="136">
        <v>40548</v>
      </c>
      <c r="B868">
        <v>2466</v>
      </c>
      <c r="C868">
        <v>2444</v>
      </c>
      <c r="D868">
        <v>2480</v>
      </c>
      <c r="E868" s="136">
        <v>40548</v>
      </c>
      <c r="F868">
        <v>34.232999999999997</v>
      </c>
      <c r="G868">
        <v>34.232999999999997</v>
      </c>
      <c r="H868">
        <v>35.518999999999998</v>
      </c>
      <c r="I868" s="136">
        <v>40548</v>
      </c>
      <c r="J868">
        <v>43.92</v>
      </c>
      <c r="K868">
        <v>43.9</v>
      </c>
      <c r="L868">
        <v>44.95</v>
      </c>
    </row>
    <row r="869" spans="1:12">
      <c r="A869" s="136">
        <v>40549</v>
      </c>
      <c r="B869">
        <v>2472</v>
      </c>
      <c r="C869">
        <v>2453.25</v>
      </c>
      <c r="D869">
        <v>2519.15</v>
      </c>
      <c r="E869" s="136">
        <v>40549</v>
      </c>
      <c r="F869">
        <v>35.582999999999998</v>
      </c>
      <c r="G869">
        <v>35.119</v>
      </c>
      <c r="H869">
        <v>35.94</v>
      </c>
      <c r="I869" s="136">
        <v>40549</v>
      </c>
      <c r="J869">
        <v>44.4</v>
      </c>
      <c r="K869">
        <v>44.25</v>
      </c>
      <c r="L869">
        <v>44.8</v>
      </c>
    </row>
    <row r="870" spans="1:12">
      <c r="A870" s="136">
        <v>40550</v>
      </c>
      <c r="B870">
        <v>2505</v>
      </c>
      <c r="C870">
        <v>2484</v>
      </c>
      <c r="D870">
        <v>2541</v>
      </c>
      <c r="E870" s="136">
        <v>40550</v>
      </c>
      <c r="F870">
        <v>35.468000000000004</v>
      </c>
      <c r="G870">
        <v>34.795000000000002</v>
      </c>
      <c r="H870">
        <v>35.634</v>
      </c>
      <c r="I870" s="136">
        <v>40550</v>
      </c>
      <c r="J870">
        <v>44.54</v>
      </c>
      <c r="K870">
        <v>42.645000000000003</v>
      </c>
      <c r="L870">
        <v>44.59</v>
      </c>
    </row>
    <row r="871" spans="1:12">
      <c r="A871" s="136">
        <v>40551</v>
      </c>
      <c r="B871">
        <v>2505</v>
      </c>
      <c r="C871">
        <v>2484</v>
      </c>
      <c r="D871">
        <v>2541</v>
      </c>
      <c r="E871" s="136">
        <v>40551</v>
      </c>
      <c r="F871">
        <v>35.468000000000004</v>
      </c>
      <c r="G871">
        <v>34.795000000000002</v>
      </c>
      <c r="H871">
        <v>35.634</v>
      </c>
      <c r="I871" s="136">
        <v>40551</v>
      </c>
      <c r="J871">
        <v>44.54</v>
      </c>
      <c r="K871">
        <v>42.645000000000003</v>
      </c>
      <c r="L871">
        <v>44.59</v>
      </c>
    </row>
    <row r="872" spans="1:12">
      <c r="A872" s="136">
        <v>40552</v>
      </c>
      <c r="B872">
        <v>2505</v>
      </c>
      <c r="C872">
        <v>2484</v>
      </c>
      <c r="D872">
        <v>2541</v>
      </c>
      <c r="E872" s="136">
        <v>40552</v>
      </c>
      <c r="F872">
        <v>35.468000000000004</v>
      </c>
      <c r="G872">
        <v>34.795000000000002</v>
      </c>
      <c r="H872">
        <v>35.634</v>
      </c>
      <c r="I872" s="136">
        <v>40552</v>
      </c>
      <c r="J872">
        <v>44.54</v>
      </c>
      <c r="K872">
        <v>42.645000000000003</v>
      </c>
      <c r="L872">
        <v>44.59</v>
      </c>
    </row>
    <row r="873" spans="1:12">
      <c r="A873" s="136">
        <v>40553</v>
      </c>
      <c r="B873">
        <v>2515</v>
      </c>
      <c r="C873">
        <v>2475</v>
      </c>
      <c r="D873">
        <v>2517</v>
      </c>
      <c r="E873" s="136">
        <v>40553</v>
      </c>
      <c r="F873">
        <v>35.029000000000003</v>
      </c>
      <c r="G873">
        <v>34.17</v>
      </c>
      <c r="H873">
        <v>35.200000000000003</v>
      </c>
      <c r="I873" s="136">
        <v>40553</v>
      </c>
      <c r="J873">
        <v>43.27</v>
      </c>
      <c r="K873">
        <v>43</v>
      </c>
      <c r="L873">
        <v>43.765000000000001</v>
      </c>
    </row>
    <row r="874" spans="1:12">
      <c r="A874" s="136">
        <v>40554</v>
      </c>
      <c r="B874">
        <v>2489</v>
      </c>
      <c r="C874">
        <v>2468.5</v>
      </c>
      <c r="D874">
        <v>2514.25</v>
      </c>
      <c r="E874" s="136">
        <v>40554</v>
      </c>
      <c r="F874">
        <v>34.484999999999999</v>
      </c>
      <c r="G874">
        <v>33.987000000000002</v>
      </c>
      <c r="H874">
        <v>34.594999999999999</v>
      </c>
      <c r="I874" s="136">
        <v>40554</v>
      </c>
      <c r="J874">
        <v>43.7</v>
      </c>
      <c r="K874">
        <v>43.42</v>
      </c>
      <c r="L874">
        <v>44.02</v>
      </c>
    </row>
    <row r="875" spans="1:12">
      <c r="A875" s="136">
        <v>40555</v>
      </c>
      <c r="B875">
        <v>2488</v>
      </c>
      <c r="C875">
        <v>2487</v>
      </c>
      <c r="D875">
        <v>2521</v>
      </c>
      <c r="E875" s="136">
        <v>40555</v>
      </c>
      <c r="F875">
        <v>34.420999999999999</v>
      </c>
      <c r="G875">
        <v>34.390999999999998</v>
      </c>
      <c r="H875">
        <v>36.003999999999998</v>
      </c>
      <c r="I875" s="136">
        <v>40555</v>
      </c>
      <c r="J875">
        <v>44.44</v>
      </c>
      <c r="K875">
        <v>44.25</v>
      </c>
      <c r="L875">
        <v>44.9</v>
      </c>
    </row>
    <row r="876" spans="1:12">
      <c r="A876" s="136">
        <v>40556</v>
      </c>
      <c r="B876">
        <v>2505</v>
      </c>
      <c r="C876">
        <v>2480</v>
      </c>
      <c r="D876">
        <v>2508.25</v>
      </c>
      <c r="E876" s="136">
        <v>40556</v>
      </c>
      <c r="F876">
        <v>36.115000000000002</v>
      </c>
      <c r="G876">
        <v>35.847000000000001</v>
      </c>
      <c r="H876">
        <v>36.573999999999998</v>
      </c>
      <c r="I876" s="136">
        <v>40556</v>
      </c>
      <c r="J876">
        <v>44.94</v>
      </c>
      <c r="K876">
        <v>44.17</v>
      </c>
      <c r="L876">
        <v>44.97</v>
      </c>
    </row>
    <row r="877" spans="1:12">
      <c r="A877" s="136">
        <v>40557</v>
      </c>
      <c r="B877">
        <v>2480.25</v>
      </c>
      <c r="C877">
        <v>2455</v>
      </c>
      <c r="D877">
        <v>2496</v>
      </c>
      <c r="E877" s="136">
        <v>40557</v>
      </c>
      <c r="F877">
        <v>36.335999999999999</v>
      </c>
      <c r="G877">
        <v>36.127000000000002</v>
      </c>
      <c r="H877">
        <v>36.936</v>
      </c>
      <c r="I877" s="136">
        <v>40557</v>
      </c>
      <c r="J877">
        <v>44.51</v>
      </c>
      <c r="K877">
        <v>44.45</v>
      </c>
      <c r="L877">
        <v>45.94</v>
      </c>
    </row>
    <row r="878" spans="1:12">
      <c r="A878" s="136">
        <v>40558</v>
      </c>
      <c r="B878">
        <v>2480.25</v>
      </c>
      <c r="C878">
        <v>2455</v>
      </c>
      <c r="D878">
        <v>2496</v>
      </c>
      <c r="E878" s="136">
        <v>40558</v>
      </c>
      <c r="F878">
        <v>36.335999999999999</v>
      </c>
      <c r="G878">
        <v>36.127000000000002</v>
      </c>
      <c r="H878">
        <v>36.936</v>
      </c>
      <c r="I878" s="136">
        <v>40558</v>
      </c>
      <c r="J878">
        <v>44.51</v>
      </c>
      <c r="K878">
        <v>44.45</v>
      </c>
      <c r="L878">
        <v>45.94</v>
      </c>
    </row>
    <row r="879" spans="1:12">
      <c r="A879" s="136">
        <v>40559</v>
      </c>
      <c r="B879">
        <v>2480.25</v>
      </c>
      <c r="C879">
        <v>2455</v>
      </c>
      <c r="D879">
        <v>2496</v>
      </c>
      <c r="E879" s="136">
        <v>40559</v>
      </c>
      <c r="F879">
        <v>36.335999999999999</v>
      </c>
      <c r="G879">
        <v>36.127000000000002</v>
      </c>
      <c r="H879">
        <v>36.936</v>
      </c>
      <c r="I879" s="136">
        <v>40559</v>
      </c>
      <c r="J879">
        <v>44.51</v>
      </c>
      <c r="K879">
        <v>44.45</v>
      </c>
      <c r="L879">
        <v>45.94</v>
      </c>
    </row>
    <row r="880" spans="1:12">
      <c r="A880" s="136">
        <v>40560</v>
      </c>
      <c r="B880">
        <v>2478</v>
      </c>
      <c r="C880">
        <v>2432</v>
      </c>
      <c r="D880">
        <v>2485</v>
      </c>
      <c r="E880" s="136">
        <v>40560</v>
      </c>
      <c r="F880">
        <v>36.945</v>
      </c>
      <c r="G880">
        <v>36.292999999999999</v>
      </c>
      <c r="H880">
        <v>36.945</v>
      </c>
      <c r="I880" s="136">
        <v>40560</v>
      </c>
      <c r="J880">
        <v>44.51</v>
      </c>
      <c r="K880">
        <v>44.45</v>
      </c>
      <c r="L880">
        <v>45.94</v>
      </c>
    </row>
    <row r="881" spans="1:12">
      <c r="A881" s="136">
        <v>40561</v>
      </c>
      <c r="B881">
        <v>2442</v>
      </c>
      <c r="C881">
        <v>2431</v>
      </c>
      <c r="D881">
        <v>2471</v>
      </c>
      <c r="E881" s="136">
        <v>40561</v>
      </c>
      <c r="F881">
        <v>36.731999999999999</v>
      </c>
      <c r="G881">
        <v>36.531999999999996</v>
      </c>
      <c r="H881">
        <v>37.527999999999999</v>
      </c>
      <c r="I881" s="136">
        <v>40561</v>
      </c>
      <c r="J881">
        <v>45.02</v>
      </c>
      <c r="K881">
        <v>44.5</v>
      </c>
      <c r="L881">
        <v>45.42</v>
      </c>
    </row>
    <row r="882" spans="1:12">
      <c r="A882" s="136">
        <v>40562</v>
      </c>
      <c r="B882">
        <v>2452</v>
      </c>
      <c r="C882">
        <v>2415</v>
      </c>
      <c r="D882">
        <v>2473.75</v>
      </c>
      <c r="E882" s="136">
        <v>40562</v>
      </c>
      <c r="F882">
        <v>37.284999999999997</v>
      </c>
      <c r="G882">
        <v>36.834000000000003</v>
      </c>
      <c r="H882">
        <v>37.548999999999999</v>
      </c>
      <c r="I882" s="136">
        <v>40562</v>
      </c>
      <c r="J882">
        <v>44.55</v>
      </c>
      <c r="K882">
        <v>43.6</v>
      </c>
      <c r="L882">
        <v>44.97</v>
      </c>
    </row>
    <row r="883" spans="1:12">
      <c r="A883" s="136">
        <v>40563</v>
      </c>
      <c r="B883">
        <v>2435</v>
      </c>
      <c r="C883">
        <v>2374</v>
      </c>
      <c r="D883">
        <v>2439.75</v>
      </c>
      <c r="E883" s="136">
        <v>40563</v>
      </c>
      <c r="F883">
        <v>36.889000000000003</v>
      </c>
      <c r="G883">
        <v>36.451000000000001</v>
      </c>
      <c r="H883">
        <v>37.344999999999999</v>
      </c>
      <c r="I883" s="136">
        <v>40563</v>
      </c>
      <c r="J883">
        <v>43.83</v>
      </c>
      <c r="K883">
        <v>43.61</v>
      </c>
      <c r="L883">
        <v>44.99</v>
      </c>
    </row>
    <row r="884" spans="1:12">
      <c r="A884" s="136">
        <v>40564</v>
      </c>
      <c r="B884">
        <v>2403</v>
      </c>
      <c r="C884">
        <v>2402</v>
      </c>
      <c r="D884">
        <v>2434</v>
      </c>
      <c r="E884" s="136">
        <v>40564</v>
      </c>
      <c r="F884">
        <v>37.122999999999998</v>
      </c>
      <c r="G884">
        <v>36.936</v>
      </c>
      <c r="H884">
        <v>38.017000000000003</v>
      </c>
      <c r="I884" s="136">
        <v>40564</v>
      </c>
      <c r="J884">
        <v>45.05</v>
      </c>
      <c r="K884">
        <v>44.85</v>
      </c>
      <c r="L884">
        <v>45.54</v>
      </c>
    </row>
    <row r="885" spans="1:12">
      <c r="A885" s="136">
        <v>40565</v>
      </c>
      <c r="B885">
        <v>2403</v>
      </c>
      <c r="C885">
        <v>2402</v>
      </c>
      <c r="D885">
        <v>2434</v>
      </c>
      <c r="E885" s="136">
        <v>40565</v>
      </c>
      <c r="F885">
        <v>37.122999999999998</v>
      </c>
      <c r="G885">
        <v>36.936</v>
      </c>
      <c r="H885">
        <v>38.017000000000003</v>
      </c>
      <c r="I885" s="136">
        <v>40565</v>
      </c>
      <c r="J885">
        <v>45.05</v>
      </c>
      <c r="K885">
        <v>44.85</v>
      </c>
      <c r="L885">
        <v>45.54</v>
      </c>
    </row>
    <row r="886" spans="1:12">
      <c r="A886" s="136">
        <v>40566</v>
      </c>
      <c r="B886">
        <v>2403</v>
      </c>
      <c r="C886">
        <v>2402</v>
      </c>
      <c r="D886">
        <v>2434</v>
      </c>
      <c r="E886" s="136">
        <v>40566</v>
      </c>
      <c r="F886">
        <v>37.122999999999998</v>
      </c>
      <c r="G886">
        <v>36.936</v>
      </c>
      <c r="H886">
        <v>38.017000000000003</v>
      </c>
      <c r="I886" s="136">
        <v>40566</v>
      </c>
      <c r="J886">
        <v>45.05</v>
      </c>
      <c r="K886">
        <v>44.85</v>
      </c>
      <c r="L886">
        <v>45.54</v>
      </c>
    </row>
    <row r="887" spans="1:12">
      <c r="A887" s="136">
        <v>40567</v>
      </c>
      <c r="B887">
        <v>2425</v>
      </c>
      <c r="C887">
        <v>2412</v>
      </c>
      <c r="D887">
        <v>2436.75</v>
      </c>
      <c r="E887" s="136">
        <v>40567</v>
      </c>
      <c r="F887">
        <v>37.770000000000003</v>
      </c>
      <c r="G887">
        <v>37.209000000000003</v>
      </c>
      <c r="H887">
        <v>38.051000000000002</v>
      </c>
      <c r="I887" s="136">
        <v>40567</v>
      </c>
      <c r="J887">
        <v>45.21</v>
      </c>
      <c r="K887">
        <v>44.86</v>
      </c>
      <c r="L887">
        <v>45.48</v>
      </c>
    </row>
    <row r="888" spans="1:12">
      <c r="A888" s="136">
        <v>40568</v>
      </c>
      <c r="B888">
        <v>2415</v>
      </c>
      <c r="C888">
        <v>2360</v>
      </c>
      <c r="D888">
        <v>2418.75</v>
      </c>
      <c r="E888" s="136">
        <v>40568</v>
      </c>
      <c r="F888">
        <v>37.765999999999998</v>
      </c>
      <c r="G888">
        <v>36.863999999999997</v>
      </c>
      <c r="H888">
        <v>37.863999999999997</v>
      </c>
      <c r="I888" s="136">
        <v>40568</v>
      </c>
      <c r="J888">
        <v>44.82</v>
      </c>
      <c r="K888">
        <v>44.26</v>
      </c>
      <c r="L888">
        <v>45.43</v>
      </c>
    </row>
    <row r="889" spans="1:12">
      <c r="A889" s="136">
        <v>40569</v>
      </c>
      <c r="B889">
        <v>2380</v>
      </c>
      <c r="C889">
        <v>2368</v>
      </c>
      <c r="D889">
        <v>2405</v>
      </c>
      <c r="E889" s="136">
        <v>40569</v>
      </c>
      <c r="F889">
        <v>37.417000000000002</v>
      </c>
      <c r="G889">
        <v>36.808</v>
      </c>
      <c r="H889">
        <v>37.561999999999998</v>
      </c>
      <c r="I889" s="136">
        <v>40569</v>
      </c>
      <c r="J889">
        <v>45.2</v>
      </c>
      <c r="K889">
        <v>44.87</v>
      </c>
      <c r="L889">
        <v>45.48</v>
      </c>
    </row>
    <row r="890" spans="1:12">
      <c r="A890" s="136">
        <v>40570</v>
      </c>
      <c r="B890">
        <v>2405</v>
      </c>
      <c r="C890">
        <v>2396</v>
      </c>
      <c r="D890">
        <v>2438</v>
      </c>
      <c r="E890" s="136">
        <v>40570</v>
      </c>
      <c r="F890">
        <v>36.817</v>
      </c>
      <c r="G890">
        <v>36.54</v>
      </c>
      <c r="H890">
        <v>37.43</v>
      </c>
      <c r="I890" s="136">
        <v>40570</v>
      </c>
      <c r="J890">
        <v>44.98</v>
      </c>
      <c r="K890">
        <v>44.69</v>
      </c>
      <c r="L890">
        <v>45.38</v>
      </c>
    </row>
    <row r="891" spans="1:12">
      <c r="A891" s="136">
        <v>40571</v>
      </c>
      <c r="B891">
        <v>2430</v>
      </c>
      <c r="C891">
        <v>2422.5</v>
      </c>
      <c r="D891">
        <v>2483.5</v>
      </c>
      <c r="E891" s="136">
        <v>40571</v>
      </c>
      <c r="F891">
        <v>37.064</v>
      </c>
      <c r="G891">
        <v>36.74</v>
      </c>
      <c r="H891">
        <v>37.667999999999999</v>
      </c>
      <c r="I891" s="136">
        <v>40571</v>
      </c>
      <c r="J891">
        <v>45.05</v>
      </c>
      <c r="K891">
        <v>44.4</v>
      </c>
      <c r="L891">
        <v>45.88</v>
      </c>
    </row>
    <row r="892" spans="1:12">
      <c r="A892" s="136">
        <v>40572</v>
      </c>
      <c r="B892">
        <v>2430</v>
      </c>
      <c r="C892">
        <v>2422.5</v>
      </c>
      <c r="D892">
        <v>2483.5</v>
      </c>
      <c r="E892" s="136">
        <v>40572</v>
      </c>
      <c r="F892">
        <v>37.064</v>
      </c>
      <c r="G892">
        <v>36.74</v>
      </c>
      <c r="H892">
        <v>37.667999999999999</v>
      </c>
      <c r="I892" s="136">
        <v>40572</v>
      </c>
      <c r="J892">
        <v>45.05</v>
      </c>
      <c r="K892">
        <v>44.4</v>
      </c>
      <c r="L892">
        <v>45.88</v>
      </c>
    </row>
    <row r="893" spans="1:12">
      <c r="A893" s="136">
        <v>40573</v>
      </c>
      <c r="B893">
        <v>2430</v>
      </c>
      <c r="C893">
        <v>2422.5</v>
      </c>
      <c r="D893">
        <v>2483.5</v>
      </c>
      <c r="E893" s="136">
        <v>40573</v>
      </c>
      <c r="F893">
        <v>37.064</v>
      </c>
      <c r="G893">
        <v>36.74</v>
      </c>
      <c r="H893">
        <v>37.667999999999999</v>
      </c>
      <c r="I893" s="136">
        <v>40573</v>
      </c>
      <c r="J893">
        <v>45.05</v>
      </c>
      <c r="K893">
        <v>44.4</v>
      </c>
      <c r="L893">
        <v>45.88</v>
      </c>
    </row>
    <row r="894" spans="1:12">
      <c r="A894" s="136">
        <v>40574</v>
      </c>
      <c r="B894">
        <v>2475</v>
      </c>
      <c r="C894">
        <v>2468</v>
      </c>
      <c r="D894">
        <v>2521</v>
      </c>
      <c r="E894" s="136">
        <v>40574</v>
      </c>
      <c r="F894">
        <v>37.110999999999997</v>
      </c>
      <c r="G894">
        <v>36.046999999999997</v>
      </c>
      <c r="H894">
        <v>37.200000000000003</v>
      </c>
      <c r="I894" s="136">
        <v>40574</v>
      </c>
      <c r="J894">
        <v>44.41</v>
      </c>
      <c r="K894">
        <v>44.4</v>
      </c>
      <c r="L894">
        <v>45.1</v>
      </c>
    </row>
    <row r="895" spans="1:12">
      <c r="A895" s="136">
        <v>40575</v>
      </c>
      <c r="B895">
        <v>2516.75</v>
      </c>
      <c r="C895">
        <v>2516.75</v>
      </c>
      <c r="D895">
        <v>2570</v>
      </c>
      <c r="E895" s="136">
        <v>40575</v>
      </c>
      <c r="F895">
        <v>36.264000000000003</v>
      </c>
      <c r="G895">
        <v>36.179000000000002</v>
      </c>
      <c r="H895">
        <v>37.540999999999997</v>
      </c>
      <c r="I895" s="136">
        <v>40575</v>
      </c>
      <c r="J895">
        <v>45.2</v>
      </c>
      <c r="K895">
        <v>45.16</v>
      </c>
      <c r="L895">
        <v>46</v>
      </c>
    </row>
    <row r="896" spans="1:12">
      <c r="A896" s="136">
        <v>40576</v>
      </c>
      <c r="B896">
        <v>2548</v>
      </c>
      <c r="C896">
        <v>2519</v>
      </c>
      <c r="D896">
        <v>2565</v>
      </c>
      <c r="E896" s="136">
        <v>40576</v>
      </c>
      <c r="F896">
        <v>37.762</v>
      </c>
      <c r="G896">
        <v>37.454999999999998</v>
      </c>
      <c r="H896">
        <v>37.881</v>
      </c>
      <c r="I896" s="136">
        <v>40576</v>
      </c>
      <c r="J896">
        <v>45.79</v>
      </c>
      <c r="K896">
        <v>45.34</v>
      </c>
      <c r="L896">
        <v>45.98</v>
      </c>
    </row>
    <row r="897" spans="1:12">
      <c r="A897" s="136">
        <v>40577</v>
      </c>
      <c r="B897">
        <v>2525</v>
      </c>
      <c r="C897">
        <v>2517</v>
      </c>
      <c r="D897">
        <v>2549</v>
      </c>
      <c r="E897" s="136">
        <v>40577</v>
      </c>
      <c r="F897">
        <v>37.284999999999997</v>
      </c>
      <c r="G897">
        <v>37.064</v>
      </c>
      <c r="H897">
        <v>39</v>
      </c>
      <c r="I897" s="136">
        <v>40577</v>
      </c>
      <c r="J897">
        <v>45.48</v>
      </c>
      <c r="K897">
        <v>44.84</v>
      </c>
      <c r="L897">
        <v>45.75</v>
      </c>
    </row>
    <row r="898" spans="1:12">
      <c r="A898" s="136">
        <v>40578</v>
      </c>
      <c r="B898">
        <v>2527</v>
      </c>
      <c r="C898">
        <v>2511</v>
      </c>
      <c r="D898">
        <v>2559</v>
      </c>
      <c r="E898" s="136">
        <v>40578</v>
      </c>
      <c r="F898">
        <v>38.774999999999999</v>
      </c>
      <c r="G898">
        <v>38.527999999999999</v>
      </c>
      <c r="H898">
        <v>39.787999999999997</v>
      </c>
      <c r="I898" s="136">
        <v>40578</v>
      </c>
      <c r="J898">
        <v>45</v>
      </c>
      <c r="K898">
        <v>44.3</v>
      </c>
      <c r="L898">
        <v>45.17</v>
      </c>
    </row>
    <row r="899" spans="1:12">
      <c r="A899" s="136">
        <v>40579</v>
      </c>
      <c r="B899">
        <v>2527</v>
      </c>
      <c r="C899">
        <v>2511</v>
      </c>
      <c r="D899">
        <v>2559</v>
      </c>
      <c r="E899" s="136">
        <v>40579</v>
      </c>
      <c r="F899">
        <v>38.774999999999999</v>
      </c>
      <c r="G899">
        <v>38.527999999999999</v>
      </c>
      <c r="H899">
        <v>39.787999999999997</v>
      </c>
      <c r="I899" s="136">
        <v>40579</v>
      </c>
      <c r="J899">
        <v>45</v>
      </c>
      <c r="K899">
        <v>44.3</v>
      </c>
      <c r="L899">
        <v>45.17</v>
      </c>
    </row>
    <row r="900" spans="1:12">
      <c r="A900" s="136">
        <v>40580</v>
      </c>
      <c r="B900">
        <v>2527</v>
      </c>
      <c r="C900">
        <v>2511</v>
      </c>
      <c r="D900">
        <v>2559</v>
      </c>
      <c r="E900" s="136">
        <v>40580</v>
      </c>
      <c r="F900">
        <v>38.774999999999999</v>
      </c>
      <c r="G900">
        <v>38.527999999999999</v>
      </c>
      <c r="H900">
        <v>39.787999999999997</v>
      </c>
      <c r="I900" s="136">
        <v>40580</v>
      </c>
      <c r="J900">
        <v>45</v>
      </c>
      <c r="K900">
        <v>44.3</v>
      </c>
      <c r="L900">
        <v>45.17</v>
      </c>
    </row>
    <row r="901" spans="1:12">
      <c r="A901" s="136">
        <v>40581</v>
      </c>
      <c r="B901">
        <v>2541.5</v>
      </c>
      <c r="C901">
        <v>2535.5</v>
      </c>
      <c r="D901">
        <v>2568.75</v>
      </c>
      <c r="E901" s="136">
        <v>40581</v>
      </c>
      <c r="F901">
        <v>39.540999999999997</v>
      </c>
      <c r="G901">
        <v>39.328000000000003</v>
      </c>
      <c r="H901">
        <v>40.170999999999999</v>
      </c>
      <c r="I901" s="136">
        <v>40581</v>
      </c>
      <c r="J901">
        <v>44.75</v>
      </c>
      <c r="K901">
        <v>44.65</v>
      </c>
      <c r="L901">
        <v>45.75</v>
      </c>
    </row>
    <row r="902" spans="1:12">
      <c r="A902" s="136">
        <v>40582</v>
      </c>
      <c r="B902">
        <v>2541</v>
      </c>
      <c r="C902">
        <v>2528.75</v>
      </c>
      <c r="D902">
        <v>2573</v>
      </c>
      <c r="E902" s="136">
        <v>40582</v>
      </c>
      <c r="F902">
        <v>39.991999999999997</v>
      </c>
      <c r="G902">
        <v>39.497999999999998</v>
      </c>
      <c r="H902">
        <v>40.085999999999999</v>
      </c>
      <c r="I902" s="136">
        <v>40582</v>
      </c>
      <c r="J902">
        <v>45.49</v>
      </c>
      <c r="K902">
        <v>45.31</v>
      </c>
      <c r="L902">
        <v>45.82</v>
      </c>
    </row>
    <row r="903" spans="1:12">
      <c r="A903" s="136">
        <v>40583</v>
      </c>
      <c r="B903">
        <v>2560</v>
      </c>
      <c r="C903">
        <v>2535</v>
      </c>
      <c r="D903">
        <v>2575.25</v>
      </c>
      <c r="E903" s="136">
        <v>40583</v>
      </c>
      <c r="F903">
        <v>39.753999999999998</v>
      </c>
      <c r="G903">
        <v>39.588000000000001</v>
      </c>
      <c r="H903">
        <v>40.094000000000001</v>
      </c>
      <c r="I903" s="136">
        <v>40583</v>
      </c>
      <c r="J903">
        <v>45.36</v>
      </c>
      <c r="K903">
        <v>44.65</v>
      </c>
      <c r="L903">
        <v>45.5</v>
      </c>
    </row>
    <row r="904" spans="1:12">
      <c r="A904" s="136">
        <v>40584</v>
      </c>
      <c r="B904">
        <v>2534</v>
      </c>
      <c r="C904">
        <v>2519.5</v>
      </c>
      <c r="D904">
        <v>2550</v>
      </c>
      <c r="E904" s="136">
        <v>40584</v>
      </c>
      <c r="F904">
        <v>40.069000000000003</v>
      </c>
      <c r="G904">
        <v>38.826000000000001</v>
      </c>
      <c r="H904">
        <v>40.069000000000003</v>
      </c>
      <c r="I904" s="136">
        <v>40584</v>
      </c>
      <c r="J904">
        <v>45.1</v>
      </c>
      <c r="K904">
        <v>44.95</v>
      </c>
      <c r="L904">
        <v>45.54</v>
      </c>
    </row>
    <row r="905" spans="1:12">
      <c r="A905" s="136">
        <v>40585</v>
      </c>
      <c r="B905">
        <v>2540</v>
      </c>
      <c r="C905">
        <v>2470</v>
      </c>
      <c r="D905">
        <v>2555</v>
      </c>
      <c r="E905" s="136">
        <v>40585</v>
      </c>
      <c r="F905">
        <v>38.817</v>
      </c>
      <c r="G905">
        <v>38.494</v>
      </c>
      <c r="H905">
        <v>39.371000000000002</v>
      </c>
      <c r="I905" s="136">
        <v>40585</v>
      </c>
      <c r="J905">
        <v>45.4</v>
      </c>
      <c r="K905">
        <v>45.4</v>
      </c>
      <c r="L905">
        <v>46.89</v>
      </c>
    </row>
    <row r="906" spans="1:12">
      <c r="A906" s="136">
        <v>40586</v>
      </c>
      <c r="B906">
        <v>2540</v>
      </c>
      <c r="C906">
        <v>2470</v>
      </c>
      <c r="D906">
        <v>2555</v>
      </c>
      <c r="E906" s="136">
        <v>40586</v>
      </c>
      <c r="F906">
        <v>38.817</v>
      </c>
      <c r="G906">
        <v>38.494</v>
      </c>
      <c r="H906">
        <v>39.371000000000002</v>
      </c>
      <c r="I906" s="136">
        <v>40586</v>
      </c>
      <c r="J906">
        <v>45.4</v>
      </c>
      <c r="K906">
        <v>45.4</v>
      </c>
      <c r="L906">
        <v>46.89</v>
      </c>
    </row>
    <row r="907" spans="1:12">
      <c r="A907" s="136">
        <v>40587</v>
      </c>
      <c r="B907">
        <v>2540</v>
      </c>
      <c r="C907">
        <v>2470</v>
      </c>
      <c r="D907">
        <v>2555</v>
      </c>
      <c r="E907" s="136">
        <v>40587</v>
      </c>
      <c r="F907">
        <v>38.817</v>
      </c>
      <c r="G907">
        <v>38.494</v>
      </c>
      <c r="H907">
        <v>39.371000000000002</v>
      </c>
      <c r="I907" s="136">
        <v>40587</v>
      </c>
      <c r="J907">
        <v>45.4</v>
      </c>
      <c r="K907">
        <v>45.4</v>
      </c>
      <c r="L907">
        <v>46.89</v>
      </c>
    </row>
    <row r="908" spans="1:12">
      <c r="A908" s="136">
        <v>40588</v>
      </c>
      <c r="B908">
        <v>2511</v>
      </c>
      <c r="C908">
        <v>2494</v>
      </c>
      <c r="D908">
        <v>2524</v>
      </c>
      <c r="E908" s="136">
        <v>40588</v>
      </c>
      <c r="F908">
        <v>39.570999999999998</v>
      </c>
      <c r="G908">
        <v>38.881</v>
      </c>
      <c r="H908">
        <v>39.795999999999999</v>
      </c>
      <c r="I908" s="136">
        <v>40588</v>
      </c>
      <c r="J908">
        <v>46.6</v>
      </c>
      <c r="K908">
        <v>46.47</v>
      </c>
      <c r="L908">
        <v>46.895000000000003</v>
      </c>
    </row>
    <row r="909" spans="1:12">
      <c r="A909" s="136">
        <v>40589</v>
      </c>
      <c r="B909">
        <v>2521</v>
      </c>
      <c r="C909">
        <v>2492</v>
      </c>
      <c r="D909">
        <v>2535</v>
      </c>
      <c r="E909" s="136">
        <v>40589</v>
      </c>
      <c r="F909">
        <v>39.03</v>
      </c>
      <c r="G909">
        <v>38.779000000000003</v>
      </c>
      <c r="H909">
        <v>39.991999999999997</v>
      </c>
      <c r="I909" s="136">
        <v>40589</v>
      </c>
      <c r="J909">
        <v>46.56</v>
      </c>
      <c r="K909">
        <v>46.54</v>
      </c>
      <c r="L909">
        <v>47.34</v>
      </c>
    </row>
    <row r="910" spans="1:12">
      <c r="A910" s="136">
        <v>40590</v>
      </c>
      <c r="B910">
        <v>2500</v>
      </c>
      <c r="C910">
        <v>2480</v>
      </c>
      <c r="D910">
        <v>2526.25</v>
      </c>
      <c r="E910" s="136">
        <v>40590</v>
      </c>
      <c r="F910">
        <v>39.847000000000001</v>
      </c>
      <c r="G910">
        <v>39.838999999999999</v>
      </c>
      <c r="H910">
        <v>41.408999999999999</v>
      </c>
      <c r="I910" s="136">
        <v>40590</v>
      </c>
      <c r="J910">
        <v>47.15</v>
      </c>
      <c r="K910">
        <v>47.1</v>
      </c>
      <c r="L910">
        <v>48.36</v>
      </c>
    </row>
    <row r="911" spans="1:12">
      <c r="A911" s="136">
        <v>40591</v>
      </c>
      <c r="B911">
        <v>2504.5</v>
      </c>
      <c r="C911">
        <v>2484</v>
      </c>
      <c r="D911">
        <v>2535</v>
      </c>
      <c r="E911" s="136">
        <v>40591</v>
      </c>
      <c r="F911">
        <v>41.329000000000001</v>
      </c>
      <c r="G911">
        <v>40.485999999999997</v>
      </c>
      <c r="H911">
        <v>41.456000000000003</v>
      </c>
      <c r="I911" s="136">
        <v>40591</v>
      </c>
      <c r="J911">
        <v>47.77</v>
      </c>
      <c r="K911">
        <v>47.5</v>
      </c>
      <c r="L911">
        <v>47.99</v>
      </c>
    </row>
    <row r="912" spans="1:12">
      <c r="A912" s="136">
        <v>40592</v>
      </c>
      <c r="B912">
        <v>2528</v>
      </c>
      <c r="C912">
        <v>2523</v>
      </c>
      <c r="D912">
        <v>2571.75</v>
      </c>
      <c r="E912" s="136">
        <v>40592</v>
      </c>
      <c r="F912">
        <v>40.902999999999999</v>
      </c>
      <c r="G912">
        <v>40.405000000000001</v>
      </c>
      <c r="H912">
        <v>41.116</v>
      </c>
      <c r="I912" s="136">
        <v>40592</v>
      </c>
      <c r="J912">
        <v>47.82</v>
      </c>
      <c r="K912">
        <v>47.55</v>
      </c>
      <c r="L912">
        <v>48.13</v>
      </c>
    </row>
    <row r="913" spans="1:12">
      <c r="A913" s="136">
        <v>40593</v>
      </c>
      <c r="B913">
        <v>2528</v>
      </c>
      <c r="C913">
        <v>2523</v>
      </c>
      <c r="D913">
        <v>2571.75</v>
      </c>
      <c r="E913" s="136">
        <v>40593</v>
      </c>
      <c r="F913">
        <v>40.902999999999999</v>
      </c>
      <c r="G913">
        <v>40.405000000000001</v>
      </c>
      <c r="H913">
        <v>41.116</v>
      </c>
      <c r="I913" s="136">
        <v>40593</v>
      </c>
      <c r="J913">
        <v>47.82</v>
      </c>
      <c r="K913">
        <v>47.55</v>
      </c>
      <c r="L913">
        <v>48.13</v>
      </c>
    </row>
    <row r="914" spans="1:12">
      <c r="A914" s="136">
        <v>40594</v>
      </c>
      <c r="B914">
        <v>2528</v>
      </c>
      <c r="C914">
        <v>2523</v>
      </c>
      <c r="D914">
        <v>2571.75</v>
      </c>
      <c r="E914" s="136">
        <v>40594</v>
      </c>
      <c r="F914">
        <v>40.902999999999999</v>
      </c>
      <c r="G914">
        <v>40.405000000000001</v>
      </c>
      <c r="H914">
        <v>41.116</v>
      </c>
      <c r="I914" s="136">
        <v>40594</v>
      </c>
      <c r="J914">
        <v>47.82</v>
      </c>
      <c r="K914">
        <v>47.55</v>
      </c>
      <c r="L914">
        <v>48.13</v>
      </c>
    </row>
    <row r="915" spans="1:12">
      <c r="A915" s="136">
        <v>40595</v>
      </c>
      <c r="B915">
        <v>2562</v>
      </c>
      <c r="C915">
        <v>2560</v>
      </c>
      <c r="D915">
        <v>2585</v>
      </c>
      <c r="E915" s="136">
        <v>40595</v>
      </c>
      <c r="F915">
        <v>40.648000000000003</v>
      </c>
      <c r="G915">
        <v>39.174999999999997</v>
      </c>
      <c r="H915">
        <v>41.030999999999999</v>
      </c>
      <c r="I915" s="136">
        <v>40595</v>
      </c>
      <c r="J915">
        <v>47.82</v>
      </c>
      <c r="K915">
        <v>47.55</v>
      </c>
      <c r="L915">
        <v>48.13</v>
      </c>
    </row>
    <row r="916" spans="1:12">
      <c r="A916" s="136">
        <v>40596</v>
      </c>
      <c r="B916">
        <v>2584</v>
      </c>
      <c r="C916">
        <v>2500.25</v>
      </c>
      <c r="D916">
        <v>2584</v>
      </c>
      <c r="E916" s="136">
        <v>40596</v>
      </c>
      <c r="F916">
        <v>38.902999999999999</v>
      </c>
      <c r="G916">
        <v>38.527999999999999</v>
      </c>
      <c r="H916">
        <v>39.988</v>
      </c>
      <c r="I916" s="136">
        <v>40596</v>
      </c>
      <c r="J916">
        <v>47.2</v>
      </c>
      <c r="K916">
        <v>45.85</v>
      </c>
      <c r="L916">
        <v>47.27</v>
      </c>
    </row>
    <row r="917" spans="1:12">
      <c r="A917" s="136">
        <v>40597</v>
      </c>
      <c r="B917">
        <v>2515</v>
      </c>
      <c r="C917">
        <v>2490</v>
      </c>
      <c r="D917">
        <v>2536</v>
      </c>
      <c r="E917" s="136">
        <v>40597</v>
      </c>
      <c r="F917">
        <v>38.817</v>
      </c>
      <c r="G917">
        <v>38.774999999999999</v>
      </c>
      <c r="H917">
        <v>40.021999999999998</v>
      </c>
      <c r="I917" s="136">
        <v>40597</v>
      </c>
      <c r="J917">
        <v>46.04</v>
      </c>
      <c r="K917">
        <v>45.29</v>
      </c>
      <c r="L917">
        <v>46.5</v>
      </c>
    </row>
    <row r="918" spans="1:12">
      <c r="A918" s="136">
        <v>40598</v>
      </c>
      <c r="B918">
        <v>2535</v>
      </c>
      <c r="C918">
        <v>2498</v>
      </c>
      <c r="D918">
        <v>2552.25</v>
      </c>
      <c r="E918" s="136">
        <v>40598</v>
      </c>
      <c r="F918">
        <v>38.988</v>
      </c>
      <c r="G918">
        <v>38.622</v>
      </c>
      <c r="H918">
        <v>39.314999999999998</v>
      </c>
      <c r="I918" s="136">
        <v>40598</v>
      </c>
      <c r="J918">
        <v>45.63</v>
      </c>
      <c r="K918">
        <v>45.21</v>
      </c>
      <c r="L918">
        <v>46.06</v>
      </c>
    </row>
    <row r="919" spans="1:12">
      <c r="A919" s="136">
        <v>40599</v>
      </c>
      <c r="B919">
        <v>2536</v>
      </c>
      <c r="C919">
        <v>2532</v>
      </c>
      <c r="D919">
        <v>2570</v>
      </c>
      <c r="E919" s="136">
        <v>40599</v>
      </c>
      <c r="F919">
        <v>38.774999999999999</v>
      </c>
      <c r="G919">
        <v>38.774999999999999</v>
      </c>
      <c r="H919">
        <v>39.792000000000002</v>
      </c>
      <c r="I919" s="136">
        <v>40599</v>
      </c>
      <c r="J919">
        <v>46.25</v>
      </c>
      <c r="K919">
        <v>46.12</v>
      </c>
      <c r="L919">
        <v>46.86</v>
      </c>
    </row>
    <row r="920" spans="1:12">
      <c r="A920" s="136">
        <v>40600</v>
      </c>
      <c r="B920">
        <v>2536</v>
      </c>
      <c r="C920">
        <v>2532</v>
      </c>
      <c r="D920">
        <v>2570</v>
      </c>
      <c r="E920" s="136">
        <v>40600</v>
      </c>
      <c r="F920">
        <v>38.774999999999999</v>
      </c>
      <c r="G920">
        <v>38.774999999999999</v>
      </c>
      <c r="H920">
        <v>39.792000000000002</v>
      </c>
      <c r="I920" s="136">
        <v>40600</v>
      </c>
      <c r="J920">
        <v>46.25</v>
      </c>
      <c r="K920">
        <v>46.12</v>
      </c>
      <c r="L920">
        <v>46.86</v>
      </c>
    </row>
    <row r="921" spans="1:12">
      <c r="A921" s="136">
        <v>40601</v>
      </c>
      <c r="B921">
        <v>2536</v>
      </c>
      <c r="C921">
        <v>2532</v>
      </c>
      <c r="D921">
        <v>2570</v>
      </c>
      <c r="E921" s="136">
        <v>40601</v>
      </c>
      <c r="F921">
        <v>38.774999999999999</v>
      </c>
      <c r="G921">
        <v>38.774999999999999</v>
      </c>
      <c r="H921">
        <v>39.792000000000002</v>
      </c>
      <c r="I921" s="136">
        <v>40601</v>
      </c>
      <c r="J921">
        <v>46.25</v>
      </c>
      <c r="K921">
        <v>46.12</v>
      </c>
      <c r="L921">
        <v>46.86</v>
      </c>
    </row>
    <row r="922" spans="1:12">
      <c r="A922" s="136">
        <v>40602</v>
      </c>
      <c r="B922">
        <v>2560</v>
      </c>
      <c r="C922">
        <v>2544</v>
      </c>
      <c r="D922">
        <v>2602.5</v>
      </c>
      <c r="E922" s="136">
        <v>40602</v>
      </c>
      <c r="F922">
        <v>39.954000000000001</v>
      </c>
      <c r="G922">
        <v>38.731999999999999</v>
      </c>
      <c r="H922">
        <v>39.954000000000001</v>
      </c>
      <c r="I922" s="136">
        <v>40602</v>
      </c>
      <c r="J922">
        <v>46.81</v>
      </c>
      <c r="K922">
        <v>46.42</v>
      </c>
      <c r="L922">
        <v>47.18</v>
      </c>
    </row>
    <row r="923" spans="1:12">
      <c r="A923" s="136">
        <v>40603</v>
      </c>
      <c r="B923">
        <v>2595</v>
      </c>
      <c r="C923">
        <v>2574.75</v>
      </c>
      <c r="D923">
        <v>2617.25</v>
      </c>
      <c r="E923" s="136">
        <v>40603</v>
      </c>
      <c r="F923">
        <v>39.762</v>
      </c>
      <c r="G923">
        <v>38.843000000000004</v>
      </c>
      <c r="H923">
        <v>40.103000000000002</v>
      </c>
      <c r="I923" s="136">
        <v>40603</v>
      </c>
      <c r="J923">
        <v>46.47</v>
      </c>
      <c r="K923">
        <v>45.59</v>
      </c>
      <c r="L923">
        <v>46.69</v>
      </c>
    </row>
    <row r="924" spans="1:12">
      <c r="A924" s="136">
        <v>40604</v>
      </c>
      <c r="B924">
        <v>2602</v>
      </c>
      <c r="C924">
        <v>2579</v>
      </c>
      <c r="D924">
        <v>2610.5</v>
      </c>
      <c r="E924" s="136">
        <v>40604</v>
      </c>
      <c r="F924">
        <v>38.731999999999999</v>
      </c>
      <c r="G924">
        <v>38.042999999999999</v>
      </c>
      <c r="H924">
        <v>39.401000000000003</v>
      </c>
      <c r="I924" s="136">
        <v>40604</v>
      </c>
      <c r="J924">
        <v>45.39</v>
      </c>
      <c r="K924">
        <v>45.066699999999997</v>
      </c>
      <c r="L924">
        <v>45.97</v>
      </c>
    </row>
    <row r="925" spans="1:12">
      <c r="A925" s="136">
        <v>40605</v>
      </c>
      <c r="B925">
        <v>2593</v>
      </c>
      <c r="C925">
        <v>2593</v>
      </c>
      <c r="D925">
        <v>2626</v>
      </c>
      <c r="E925" s="136">
        <v>40605</v>
      </c>
      <c r="F925">
        <v>38.988</v>
      </c>
      <c r="G925">
        <v>38.826000000000001</v>
      </c>
      <c r="H925">
        <v>39.83</v>
      </c>
      <c r="I925" s="136">
        <v>40605</v>
      </c>
      <c r="J925">
        <v>45.72</v>
      </c>
      <c r="K925">
        <v>45.71</v>
      </c>
      <c r="L925">
        <v>46.33</v>
      </c>
    </row>
    <row r="926" spans="1:12">
      <c r="A926" s="136">
        <v>40606</v>
      </c>
      <c r="B926">
        <v>2610</v>
      </c>
      <c r="C926">
        <v>2587.5</v>
      </c>
      <c r="D926">
        <v>2628</v>
      </c>
      <c r="E926" s="136">
        <v>40606</v>
      </c>
      <c r="F926">
        <v>39.243000000000002</v>
      </c>
      <c r="G926">
        <v>37.881</v>
      </c>
      <c r="H926">
        <v>39.447000000000003</v>
      </c>
      <c r="I926" s="136">
        <v>40606</v>
      </c>
      <c r="J926">
        <v>45.98</v>
      </c>
      <c r="K926">
        <v>45.1</v>
      </c>
      <c r="L926">
        <v>46.034999999999997</v>
      </c>
    </row>
    <row r="927" spans="1:12">
      <c r="A927" s="136">
        <v>40607</v>
      </c>
      <c r="B927">
        <v>2610</v>
      </c>
      <c r="C927">
        <v>2587.5</v>
      </c>
      <c r="D927">
        <v>2628</v>
      </c>
      <c r="E927" s="136">
        <v>40607</v>
      </c>
      <c r="F927">
        <v>39.243000000000002</v>
      </c>
      <c r="G927">
        <v>37.881</v>
      </c>
      <c r="H927">
        <v>39.447000000000003</v>
      </c>
      <c r="I927" s="136">
        <v>40607</v>
      </c>
      <c r="J927">
        <v>45.98</v>
      </c>
      <c r="K927">
        <v>45.1</v>
      </c>
      <c r="L927">
        <v>46.034999999999997</v>
      </c>
    </row>
    <row r="928" spans="1:12">
      <c r="A928" s="136">
        <v>40608</v>
      </c>
      <c r="B928">
        <v>2610</v>
      </c>
      <c r="C928">
        <v>2587.5</v>
      </c>
      <c r="D928">
        <v>2628</v>
      </c>
      <c r="E928" s="136">
        <v>40608</v>
      </c>
      <c r="F928">
        <v>39.243000000000002</v>
      </c>
      <c r="G928">
        <v>37.881</v>
      </c>
      <c r="H928">
        <v>39.447000000000003</v>
      </c>
      <c r="I928" s="136">
        <v>40608</v>
      </c>
      <c r="J928">
        <v>45.98</v>
      </c>
      <c r="K928">
        <v>45.1</v>
      </c>
      <c r="L928">
        <v>46.034999999999997</v>
      </c>
    </row>
    <row r="929" spans="1:12">
      <c r="A929" s="136">
        <v>40609</v>
      </c>
      <c r="B929">
        <v>2599</v>
      </c>
      <c r="C929">
        <v>2553.5</v>
      </c>
      <c r="D929">
        <v>2618.5</v>
      </c>
      <c r="E929" s="136">
        <v>40609</v>
      </c>
      <c r="F929">
        <v>38.222000000000001</v>
      </c>
      <c r="G929">
        <v>37.302</v>
      </c>
      <c r="H929">
        <v>38.622</v>
      </c>
      <c r="I929" s="136">
        <v>40609</v>
      </c>
      <c r="J929">
        <v>45.62</v>
      </c>
      <c r="K929">
        <v>44.76</v>
      </c>
      <c r="L929">
        <v>45.65</v>
      </c>
    </row>
    <row r="930" spans="1:12">
      <c r="A930" s="136">
        <v>40610</v>
      </c>
      <c r="B930">
        <v>2569</v>
      </c>
      <c r="C930">
        <v>2543</v>
      </c>
      <c r="D930">
        <v>2607.25</v>
      </c>
      <c r="E930" s="136">
        <v>40610</v>
      </c>
      <c r="F930">
        <v>37.881</v>
      </c>
      <c r="G930">
        <v>37.284999999999997</v>
      </c>
      <c r="H930">
        <v>38.463999999999999</v>
      </c>
      <c r="I930" s="136">
        <v>40610</v>
      </c>
      <c r="J930">
        <v>45.38</v>
      </c>
      <c r="K930">
        <v>45.3</v>
      </c>
      <c r="L930">
        <v>46.69</v>
      </c>
    </row>
    <row r="931" spans="1:12">
      <c r="A931" s="136">
        <v>40611</v>
      </c>
      <c r="B931">
        <v>2600</v>
      </c>
      <c r="C931">
        <v>2551</v>
      </c>
      <c r="D931">
        <v>2625</v>
      </c>
      <c r="E931" s="136">
        <v>40611</v>
      </c>
      <c r="F931">
        <v>38.055999999999997</v>
      </c>
      <c r="G931">
        <v>37.110999999999997</v>
      </c>
      <c r="H931">
        <v>38.323999999999998</v>
      </c>
      <c r="I931" s="136">
        <v>40611</v>
      </c>
      <c r="J931">
        <v>46.33</v>
      </c>
      <c r="K931">
        <v>46.02</v>
      </c>
      <c r="L931">
        <v>47.1</v>
      </c>
    </row>
    <row r="932" spans="1:12">
      <c r="A932" s="136">
        <v>40612</v>
      </c>
      <c r="B932">
        <v>2577</v>
      </c>
      <c r="C932">
        <v>2553.5</v>
      </c>
      <c r="D932">
        <v>2599</v>
      </c>
      <c r="E932" s="136">
        <v>40612</v>
      </c>
      <c r="F932">
        <v>37.156999999999996</v>
      </c>
      <c r="G932">
        <v>36.408000000000001</v>
      </c>
      <c r="H932">
        <v>37.165999999999997</v>
      </c>
      <c r="I932" s="136">
        <v>40612</v>
      </c>
      <c r="J932">
        <v>46.08</v>
      </c>
      <c r="K932">
        <v>45.26</v>
      </c>
      <c r="L932">
        <v>46.25</v>
      </c>
    </row>
    <row r="933" spans="1:12">
      <c r="A933" s="136">
        <v>40613</v>
      </c>
      <c r="B933">
        <v>2585</v>
      </c>
      <c r="C933">
        <v>2500</v>
      </c>
      <c r="D933">
        <v>2592.75</v>
      </c>
      <c r="E933" s="136">
        <v>40613</v>
      </c>
      <c r="F933">
        <v>36.646999999999998</v>
      </c>
      <c r="G933">
        <v>35.753</v>
      </c>
      <c r="H933">
        <v>36.889000000000003</v>
      </c>
      <c r="I933" s="136">
        <v>40613</v>
      </c>
      <c r="J933">
        <v>45.28</v>
      </c>
      <c r="K933">
        <v>45.25</v>
      </c>
      <c r="L933">
        <v>45.84</v>
      </c>
    </row>
    <row r="934" spans="1:12">
      <c r="A934" s="136">
        <v>40614</v>
      </c>
      <c r="B934">
        <v>2585</v>
      </c>
      <c r="C934">
        <v>2500</v>
      </c>
      <c r="D934">
        <v>2592.75</v>
      </c>
      <c r="E934" s="136">
        <v>40614</v>
      </c>
      <c r="F934">
        <v>36.646999999999998</v>
      </c>
      <c r="G934">
        <v>35.753</v>
      </c>
      <c r="H934">
        <v>36.889000000000003</v>
      </c>
      <c r="I934" s="136">
        <v>40614</v>
      </c>
      <c r="J934">
        <v>45.28</v>
      </c>
      <c r="K934">
        <v>45.25</v>
      </c>
      <c r="L934">
        <v>45.84</v>
      </c>
    </row>
    <row r="935" spans="1:12">
      <c r="A935" s="136">
        <v>40615</v>
      </c>
      <c r="B935">
        <v>2585</v>
      </c>
      <c r="C935">
        <v>2500</v>
      </c>
      <c r="D935">
        <v>2592.75</v>
      </c>
      <c r="E935" s="136">
        <v>40615</v>
      </c>
      <c r="F935">
        <v>36.646999999999998</v>
      </c>
      <c r="G935">
        <v>35.753</v>
      </c>
      <c r="H935">
        <v>36.889000000000003</v>
      </c>
      <c r="I935" s="136">
        <v>40615</v>
      </c>
      <c r="J935">
        <v>45.28</v>
      </c>
      <c r="K935">
        <v>45.25</v>
      </c>
      <c r="L935">
        <v>45.84</v>
      </c>
    </row>
    <row r="936" spans="1:12">
      <c r="A936" s="136">
        <v>40616</v>
      </c>
      <c r="B936">
        <v>2540</v>
      </c>
      <c r="C936">
        <v>2500</v>
      </c>
      <c r="D936">
        <v>2565</v>
      </c>
      <c r="E936" s="136">
        <v>40616</v>
      </c>
      <c r="F936">
        <v>34.902000000000001</v>
      </c>
      <c r="G936">
        <v>34.049999999999997</v>
      </c>
      <c r="H936">
        <v>37.356999999999999</v>
      </c>
      <c r="I936" s="136">
        <v>40616</v>
      </c>
      <c r="J936">
        <v>45.42</v>
      </c>
      <c r="K936">
        <v>44.63</v>
      </c>
      <c r="L936">
        <v>45.54</v>
      </c>
    </row>
    <row r="937" spans="1:12">
      <c r="A937" s="136">
        <v>40617</v>
      </c>
      <c r="B937">
        <v>2557</v>
      </c>
      <c r="C937">
        <v>2485</v>
      </c>
      <c r="D937">
        <v>2557</v>
      </c>
      <c r="E937" s="136">
        <v>40617</v>
      </c>
      <c r="F937">
        <v>34.475999999999999</v>
      </c>
      <c r="G937">
        <v>34.127000000000002</v>
      </c>
      <c r="H937">
        <v>35.616999999999997</v>
      </c>
      <c r="I937" s="136">
        <v>40617</v>
      </c>
      <c r="J937">
        <v>44.55</v>
      </c>
      <c r="K937">
        <v>43.85</v>
      </c>
      <c r="L937">
        <v>44.99</v>
      </c>
    </row>
    <row r="938" spans="1:12">
      <c r="A938" s="136">
        <v>40618</v>
      </c>
      <c r="B938">
        <v>2498</v>
      </c>
      <c r="C938">
        <v>2452</v>
      </c>
      <c r="D938">
        <v>2522</v>
      </c>
      <c r="E938" s="136">
        <v>40618</v>
      </c>
      <c r="F938">
        <v>34.902000000000001</v>
      </c>
      <c r="G938">
        <v>33.506</v>
      </c>
      <c r="H938">
        <v>36.200000000000003</v>
      </c>
      <c r="I938" s="136">
        <v>40618</v>
      </c>
      <c r="J938">
        <v>44.64</v>
      </c>
      <c r="K938">
        <v>43.66</v>
      </c>
      <c r="L938">
        <v>44.78</v>
      </c>
    </row>
    <row r="939" spans="1:12">
      <c r="A939" s="136">
        <v>40619</v>
      </c>
      <c r="B939">
        <v>2466</v>
      </c>
      <c r="C939">
        <v>2465.75</v>
      </c>
      <c r="D939">
        <v>2534</v>
      </c>
      <c r="E939" s="136">
        <v>40619</v>
      </c>
      <c r="F939">
        <v>34.442</v>
      </c>
      <c r="G939">
        <v>34.131</v>
      </c>
      <c r="H939">
        <v>35.058999999999997</v>
      </c>
      <c r="I939" s="136">
        <v>40619</v>
      </c>
      <c r="J939">
        <v>44.46</v>
      </c>
      <c r="K939">
        <v>43.4</v>
      </c>
      <c r="L939">
        <v>44.61</v>
      </c>
    </row>
    <row r="940" spans="1:12">
      <c r="A940" s="136">
        <v>40620</v>
      </c>
      <c r="B940">
        <v>2520</v>
      </c>
      <c r="C940">
        <v>2520</v>
      </c>
      <c r="D940">
        <v>2567</v>
      </c>
      <c r="E940" s="136">
        <v>40620</v>
      </c>
      <c r="F940">
        <v>35.326999999999998</v>
      </c>
      <c r="G940">
        <v>34.331000000000003</v>
      </c>
      <c r="H940">
        <v>35.557000000000002</v>
      </c>
      <c r="I940" s="136">
        <v>40620</v>
      </c>
      <c r="J940">
        <v>45.244999999999997</v>
      </c>
      <c r="K940">
        <v>44.75</v>
      </c>
      <c r="L940">
        <v>46.18</v>
      </c>
    </row>
    <row r="941" spans="1:12">
      <c r="A941" s="136">
        <v>40621</v>
      </c>
      <c r="B941">
        <v>2520</v>
      </c>
      <c r="C941">
        <v>2520</v>
      </c>
      <c r="D941">
        <v>2567</v>
      </c>
      <c r="E941" s="136">
        <v>40621</v>
      </c>
      <c r="F941">
        <v>35.326999999999998</v>
      </c>
      <c r="G941">
        <v>34.331000000000003</v>
      </c>
      <c r="H941">
        <v>35.557000000000002</v>
      </c>
      <c r="I941" s="136">
        <v>40621</v>
      </c>
      <c r="J941">
        <v>45.244999999999997</v>
      </c>
      <c r="K941">
        <v>44.75</v>
      </c>
      <c r="L941">
        <v>46.18</v>
      </c>
    </row>
    <row r="942" spans="1:12">
      <c r="A942" s="136">
        <v>40622</v>
      </c>
      <c r="B942">
        <v>2520</v>
      </c>
      <c r="C942">
        <v>2520</v>
      </c>
      <c r="D942">
        <v>2567</v>
      </c>
      <c r="E942" s="136">
        <v>40622</v>
      </c>
      <c r="F942">
        <v>35.326999999999998</v>
      </c>
      <c r="G942">
        <v>34.331000000000003</v>
      </c>
      <c r="H942">
        <v>35.557000000000002</v>
      </c>
      <c r="I942" s="136">
        <v>40622</v>
      </c>
      <c r="J942">
        <v>45.244999999999997</v>
      </c>
      <c r="K942">
        <v>44.75</v>
      </c>
      <c r="L942">
        <v>46.18</v>
      </c>
    </row>
    <row r="943" spans="1:12">
      <c r="A943" s="136">
        <v>40623</v>
      </c>
      <c r="B943">
        <v>2558</v>
      </c>
      <c r="C943">
        <v>2550</v>
      </c>
      <c r="D943">
        <v>2604</v>
      </c>
      <c r="E943" s="136">
        <v>40623</v>
      </c>
      <c r="F943">
        <v>34.994999999999997</v>
      </c>
      <c r="G943">
        <v>34.902000000000001</v>
      </c>
      <c r="H943">
        <v>35.566000000000003</v>
      </c>
      <c r="I943" s="136">
        <v>40623</v>
      </c>
      <c r="J943">
        <v>46.28</v>
      </c>
      <c r="K943">
        <v>45.32</v>
      </c>
      <c r="L943">
        <v>46.32</v>
      </c>
    </row>
    <row r="944" spans="1:12">
      <c r="A944" s="136">
        <v>40624</v>
      </c>
      <c r="B944">
        <v>2572</v>
      </c>
      <c r="C944">
        <v>2561.25</v>
      </c>
      <c r="D944">
        <v>2608</v>
      </c>
      <c r="E944" s="136">
        <v>40624</v>
      </c>
      <c r="F944">
        <v>35.319000000000003</v>
      </c>
      <c r="G944">
        <v>34.756999999999998</v>
      </c>
      <c r="H944">
        <v>36.101999999999997</v>
      </c>
      <c r="I944" s="136">
        <v>40624</v>
      </c>
      <c r="J944">
        <v>45.66</v>
      </c>
      <c r="K944">
        <v>45.35</v>
      </c>
      <c r="L944">
        <v>45.71</v>
      </c>
    </row>
    <row r="945" spans="1:12">
      <c r="A945" s="136">
        <v>40625</v>
      </c>
      <c r="B945">
        <v>2592</v>
      </c>
      <c r="C945">
        <v>2588</v>
      </c>
      <c r="D945">
        <v>2639.5</v>
      </c>
      <c r="E945" s="136">
        <v>40625</v>
      </c>
      <c r="F945">
        <v>34.902000000000001</v>
      </c>
      <c r="G945">
        <v>34.289000000000001</v>
      </c>
      <c r="H945">
        <v>34.94</v>
      </c>
      <c r="I945" s="136">
        <v>40625</v>
      </c>
      <c r="J945">
        <v>45.29</v>
      </c>
      <c r="K945">
        <v>44.77</v>
      </c>
      <c r="L945">
        <v>45.69</v>
      </c>
    </row>
    <row r="946" spans="1:12">
      <c r="A946" s="136">
        <v>40626</v>
      </c>
      <c r="B946">
        <v>2637</v>
      </c>
      <c r="C946">
        <v>2619.75</v>
      </c>
      <c r="D946">
        <v>2651</v>
      </c>
      <c r="E946" s="136">
        <v>40626</v>
      </c>
      <c r="F946">
        <v>35.106000000000002</v>
      </c>
      <c r="G946">
        <v>34.506</v>
      </c>
      <c r="H946">
        <v>35.735999999999997</v>
      </c>
      <c r="I946" s="136">
        <v>40626</v>
      </c>
      <c r="J946">
        <v>45.7</v>
      </c>
      <c r="K946">
        <v>45.09</v>
      </c>
      <c r="L946">
        <v>45.84</v>
      </c>
    </row>
    <row r="947" spans="1:12">
      <c r="A947" s="136">
        <v>40627</v>
      </c>
      <c r="B947">
        <v>2625</v>
      </c>
      <c r="C947">
        <v>2621</v>
      </c>
      <c r="D947">
        <v>2654.5</v>
      </c>
      <c r="E947" s="136">
        <v>40627</v>
      </c>
      <c r="F947">
        <v>35.582999999999998</v>
      </c>
      <c r="G947">
        <v>35.051000000000002</v>
      </c>
      <c r="H947">
        <v>35.795000000000002</v>
      </c>
      <c r="I947" s="136">
        <v>40627</v>
      </c>
      <c r="J947">
        <v>45.7</v>
      </c>
      <c r="K947">
        <v>45.67</v>
      </c>
      <c r="L947">
        <v>46.38</v>
      </c>
    </row>
    <row r="948" spans="1:12">
      <c r="A948" s="136">
        <v>40628</v>
      </c>
      <c r="B948">
        <v>2625</v>
      </c>
      <c r="C948">
        <v>2621</v>
      </c>
      <c r="D948">
        <v>2654.5</v>
      </c>
      <c r="E948" s="136">
        <v>40628</v>
      </c>
      <c r="F948">
        <v>35.582999999999998</v>
      </c>
      <c r="G948">
        <v>35.051000000000002</v>
      </c>
      <c r="H948">
        <v>35.795000000000002</v>
      </c>
      <c r="I948" s="136">
        <v>40628</v>
      </c>
      <c r="J948">
        <v>45.7</v>
      </c>
      <c r="K948">
        <v>45.67</v>
      </c>
      <c r="L948">
        <v>46.38</v>
      </c>
    </row>
    <row r="949" spans="1:12">
      <c r="A949" s="136">
        <v>40629</v>
      </c>
      <c r="B949">
        <v>2625</v>
      </c>
      <c r="C949">
        <v>2621</v>
      </c>
      <c r="D949">
        <v>2654.5</v>
      </c>
      <c r="E949" s="136">
        <v>40629</v>
      </c>
      <c r="F949">
        <v>35.582999999999998</v>
      </c>
      <c r="G949">
        <v>35.051000000000002</v>
      </c>
      <c r="H949">
        <v>35.795000000000002</v>
      </c>
      <c r="I949" s="136">
        <v>40629</v>
      </c>
      <c r="J949">
        <v>45.7</v>
      </c>
      <c r="K949">
        <v>45.67</v>
      </c>
      <c r="L949">
        <v>46.38</v>
      </c>
    </row>
    <row r="950" spans="1:12">
      <c r="A950" s="136">
        <v>40630</v>
      </c>
      <c r="B950">
        <v>2640</v>
      </c>
      <c r="C950">
        <v>2612.25</v>
      </c>
      <c r="D950">
        <v>2645</v>
      </c>
      <c r="E950" s="136">
        <v>40630</v>
      </c>
      <c r="F950">
        <v>34.944000000000003</v>
      </c>
      <c r="G950">
        <v>34.936</v>
      </c>
      <c r="H950">
        <v>35.749000000000002</v>
      </c>
      <c r="I950" s="136">
        <v>40630</v>
      </c>
      <c r="J950">
        <v>46.1</v>
      </c>
      <c r="K950">
        <v>45.95</v>
      </c>
      <c r="L950">
        <v>46.5</v>
      </c>
    </row>
    <row r="951" spans="1:12">
      <c r="A951" s="136">
        <v>40631</v>
      </c>
      <c r="B951">
        <v>2625</v>
      </c>
      <c r="C951">
        <v>2604</v>
      </c>
      <c r="D951">
        <v>2656</v>
      </c>
      <c r="E951" s="136">
        <v>40631</v>
      </c>
      <c r="F951">
        <v>35.238</v>
      </c>
      <c r="G951">
        <v>34.859000000000002</v>
      </c>
      <c r="H951">
        <v>35.54</v>
      </c>
      <c r="I951" s="136">
        <v>40631</v>
      </c>
      <c r="J951">
        <v>45.83</v>
      </c>
      <c r="K951">
        <v>45.515000000000001</v>
      </c>
      <c r="L951">
        <v>46.034999999999997</v>
      </c>
    </row>
    <row r="952" spans="1:12">
      <c r="A952" s="136">
        <v>40632</v>
      </c>
      <c r="B952">
        <v>2642.25</v>
      </c>
      <c r="C952">
        <v>2613.85</v>
      </c>
      <c r="D952">
        <v>2654</v>
      </c>
      <c r="E952" s="136">
        <v>40632</v>
      </c>
      <c r="F952">
        <v>35.54</v>
      </c>
      <c r="G952">
        <v>35.335999999999999</v>
      </c>
      <c r="H952">
        <v>35.868000000000002</v>
      </c>
      <c r="I952" s="136">
        <v>40632</v>
      </c>
      <c r="J952">
        <v>46.53</v>
      </c>
      <c r="K952">
        <v>46.215000000000003</v>
      </c>
      <c r="L952">
        <v>46.85</v>
      </c>
    </row>
    <row r="953" spans="1:12">
      <c r="A953" s="136">
        <v>40633</v>
      </c>
      <c r="B953">
        <v>2625</v>
      </c>
      <c r="C953">
        <v>2614</v>
      </c>
      <c r="D953">
        <v>2648.15</v>
      </c>
      <c r="E953" s="136">
        <v>40633</v>
      </c>
      <c r="F953">
        <v>35.838000000000001</v>
      </c>
      <c r="G953">
        <v>35.314</v>
      </c>
      <c r="H953">
        <v>35.838000000000001</v>
      </c>
      <c r="I953" s="136">
        <v>40633</v>
      </c>
      <c r="J953">
        <v>46.05</v>
      </c>
      <c r="K953">
        <v>45.954999999999998</v>
      </c>
      <c r="L953">
        <v>46.34</v>
      </c>
    </row>
    <row r="954" spans="1:12">
      <c r="A954" s="136">
        <v>40634</v>
      </c>
      <c r="B954">
        <v>2640</v>
      </c>
      <c r="C954">
        <v>2595</v>
      </c>
      <c r="D954">
        <v>2642.5</v>
      </c>
      <c r="E954" s="136">
        <v>40634</v>
      </c>
      <c r="F954">
        <v>35.454999999999998</v>
      </c>
      <c r="G954">
        <v>35.420999999999999</v>
      </c>
      <c r="H954">
        <v>36.595999999999997</v>
      </c>
      <c r="I954" s="136">
        <v>40634</v>
      </c>
      <c r="J954">
        <v>46.55</v>
      </c>
      <c r="K954">
        <v>46.18</v>
      </c>
      <c r="L954">
        <v>46.88</v>
      </c>
    </row>
    <row r="955" spans="1:12">
      <c r="A955" s="136">
        <v>40635</v>
      </c>
      <c r="B955">
        <v>2640</v>
      </c>
      <c r="C955">
        <v>2595</v>
      </c>
      <c r="D955">
        <v>2642.5</v>
      </c>
      <c r="E955" s="136">
        <v>40635</v>
      </c>
      <c r="F955">
        <v>35.454999999999998</v>
      </c>
      <c r="G955">
        <v>35.420999999999999</v>
      </c>
      <c r="H955">
        <v>36.595999999999997</v>
      </c>
      <c r="I955" s="136">
        <v>40635</v>
      </c>
      <c r="J955">
        <v>46.55</v>
      </c>
      <c r="K955">
        <v>46.18</v>
      </c>
      <c r="L955">
        <v>46.88</v>
      </c>
    </row>
    <row r="956" spans="1:12">
      <c r="A956" s="136">
        <v>40636</v>
      </c>
      <c r="B956">
        <v>2640</v>
      </c>
      <c r="C956">
        <v>2595</v>
      </c>
      <c r="D956">
        <v>2642.5</v>
      </c>
      <c r="E956" s="136">
        <v>40636</v>
      </c>
      <c r="F956">
        <v>35.454999999999998</v>
      </c>
      <c r="G956">
        <v>35.420999999999999</v>
      </c>
      <c r="H956">
        <v>36.595999999999997</v>
      </c>
      <c r="I956" s="136">
        <v>40636</v>
      </c>
      <c r="J956">
        <v>46.55</v>
      </c>
      <c r="K956">
        <v>46.18</v>
      </c>
      <c r="L956">
        <v>46.88</v>
      </c>
    </row>
    <row r="957" spans="1:12">
      <c r="A957" s="136">
        <v>40637</v>
      </c>
      <c r="B957">
        <v>2635</v>
      </c>
      <c r="C957">
        <v>2624.25</v>
      </c>
      <c r="D957">
        <v>2648.5</v>
      </c>
      <c r="E957" s="136">
        <v>40637</v>
      </c>
      <c r="F957">
        <v>36.348999999999997</v>
      </c>
      <c r="G957">
        <v>35.825000000000003</v>
      </c>
      <c r="H957">
        <v>36.820999999999998</v>
      </c>
      <c r="I957" s="136">
        <v>40637</v>
      </c>
      <c r="J957">
        <v>46.12</v>
      </c>
      <c r="K957">
        <v>46.05</v>
      </c>
      <c r="L957">
        <v>46.52</v>
      </c>
    </row>
    <row r="958" spans="1:12">
      <c r="A958" s="136">
        <v>40638</v>
      </c>
      <c r="B958">
        <v>2635</v>
      </c>
      <c r="C958">
        <v>2622</v>
      </c>
      <c r="D958">
        <v>2648.75</v>
      </c>
      <c r="E958" s="136">
        <v>40638</v>
      </c>
      <c r="F958">
        <v>35.957000000000001</v>
      </c>
      <c r="G958">
        <v>35.28</v>
      </c>
      <c r="H958">
        <v>35.973999999999997</v>
      </c>
      <c r="I958" s="136">
        <v>40638</v>
      </c>
      <c r="J958">
        <v>46.17</v>
      </c>
      <c r="K958">
        <v>46.05</v>
      </c>
      <c r="L958">
        <v>46.77</v>
      </c>
    </row>
    <row r="959" spans="1:12">
      <c r="A959" s="136">
        <v>40639</v>
      </c>
      <c r="B959">
        <v>2631</v>
      </c>
      <c r="C959">
        <v>2631</v>
      </c>
      <c r="D959">
        <v>2685</v>
      </c>
      <c r="E959" s="136">
        <v>40639</v>
      </c>
      <c r="F959">
        <v>35.753</v>
      </c>
      <c r="G959">
        <v>34.594999999999999</v>
      </c>
      <c r="H959">
        <v>36.017000000000003</v>
      </c>
      <c r="I959" s="136">
        <v>40639</v>
      </c>
      <c r="J959">
        <v>46.81</v>
      </c>
      <c r="K959">
        <v>46.63</v>
      </c>
      <c r="L959">
        <v>47.73</v>
      </c>
    </row>
    <row r="960" spans="1:12">
      <c r="A960" s="136">
        <v>40640</v>
      </c>
      <c r="B960">
        <v>2671</v>
      </c>
      <c r="C960">
        <v>2660</v>
      </c>
      <c r="D960">
        <v>2695</v>
      </c>
      <c r="E960" s="136">
        <v>40640</v>
      </c>
      <c r="F960">
        <v>35.838000000000001</v>
      </c>
      <c r="G960">
        <v>35.369999999999997</v>
      </c>
      <c r="H960">
        <v>36.671999999999997</v>
      </c>
      <c r="I960" s="136">
        <v>40640</v>
      </c>
      <c r="J960">
        <v>47.64</v>
      </c>
      <c r="K960">
        <v>46.96</v>
      </c>
      <c r="L960">
        <v>47.8</v>
      </c>
    </row>
    <row r="961" spans="1:12">
      <c r="A961" s="136">
        <v>40641</v>
      </c>
      <c r="B961">
        <v>2673</v>
      </c>
      <c r="C961">
        <v>2673</v>
      </c>
      <c r="D961">
        <v>2715</v>
      </c>
      <c r="E961" s="136">
        <v>40641</v>
      </c>
      <c r="F961">
        <v>36.348999999999997</v>
      </c>
      <c r="G961">
        <v>35.923000000000002</v>
      </c>
      <c r="H961">
        <v>36.587000000000003</v>
      </c>
      <c r="I961" s="136">
        <v>40641</v>
      </c>
      <c r="J961">
        <v>47.52</v>
      </c>
      <c r="K961">
        <v>46.63</v>
      </c>
      <c r="L961">
        <v>47.66</v>
      </c>
    </row>
    <row r="962" spans="1:12">
      <c r="A962" s="136">
        <v>40642</v>
      </c>
      <c r="B962">
        <v>2673</v>
      </c>
      <c r="C962">
        <v>2673</v>
      </c>
      <c r="D962">
        <v>2715</v>
      </c>
      <c r="E962" s="136">
        <v>40642</v>
      </c>
      <c r="F962">
        <v>36.348999999999997</v>
      </c>
      <c r="G962">
        <v>35.923000000000002</v>
      </c>
      <c r="H962">
        <v>36.587000000000003</v>
      </c>
      <c r="I962" s="136">
        <v>40642</v>
      </c>
      <c r="J962">
        <v>47.52</v>
      </c>
      <c r="K962">
        <v>46.63</v>
      </c>
      <c r="L962">
        <v>47.66</v>
      </c>
    </row>
    <row r="963" spans="1:12">
      <c r="A963" s="136">
        <v>40643</v>
      </c>
      <c r="B963">
        <v>2673</v>
      </c>
      <c r="C963">
        <v>2673</v>
      </c>
      <c r="D963">
        <v>2715</v>
      </c>
      <c r="E963" s="136">
        <v>40643</v>
      </c>
      <c r="F963">
        <v>36.348999999999997</v>
      </c>
      <c r="G963">
        <v>35.923000000000002</v>
      </c>
      <c r="H963">
        <v>36.587000000000003</v>
      </c>
      <c r="I963" s="136">
        <v>40643</v>
      </c>
      <c r="J963">
        <v>47.52</v>
      </c>
      <c r="K963">
        <v>46.63</v>
      </c>
      <c r="L963">
        <v>47.66</v>
      </c>
    </row>
    <row r="964" spans="1:12">
      <c r="A964" s="136">
        <v>40644</v>
      </c>
      <c r="B964">
        <v>2710</v>
      </c>
      <c r="C964">
        <v>2677.5</v>
      </c>
      <c r="D964">
        <v>2720</v>
      </c>
      <c r="E964" s="136">
        <v>40644</v>
      </c>
      <c r="F964">
        <v>36.264000000000003</v>
      </c>
      <c r="G964">
        <v>36.097999999999999</v>
      </c>
      <c r="H964">
        <v>36.872</v>
      </c>
      <c r="I964" s="136">
        <v>40644</v>
      </c>
      <c r="J964">
        <v>47</v>
      </c>
      <c r="K964">
        <v>46.75</v>
      </c>
      <c r="L964">
        <v>47.27</v>
      </c>
    </row>
    <row r="965" spans="1:12">
      <c r="A965" s="136">
        <v>40645</v>
      </c>
      <c r="B965">
        <v>2680</v>
      </c>
      <c r="C965">
        <v>2643.5</v>
      </c>
      <c r="D965">
        <v>2688</v>
      </c>
      <c r="E965" s="136">
        <v>40645</v>
      </c>
      <c r="F965">
        <v>36.093000000000004</v>
      </c>
      <c r="G965">
        <v>35.634</v>
      </c>
      <c r="H965">
        <v>36.280999999999999</v>
      </c>
      <c r="I965" s="136">
        <v>40645</v>
      </c>
      <c r="J965">
        <v>46.55</v>
      </c>
      <c r="K965">
        <v>46.25</v>
      </c>
      <c r="L965">
        <v>47.11</v>
      </c>
    </row>
    <row r="966" spans="1:12">
      <c r="A966" s="136">
        <v>40646</v>
      </c>
      <c r="B966">
        <v>2660</v>
      </c>
      <c r="C966">
        <v>2633.25</v>
      </c>
      <c r="D966">
        <v>2671.5</v>
      </c>
      <c r="E966" s="136">
        <v>40646</v>
      </c>
      <c r="F966">
        <v>35.881</v>
      </c>
      <c r="G966">
        <v>35.587000000000003</v>
      </c>
      <c r="H966">
        <v>36.719000000000001</v>
      </c>
      <c r="I966" s="136">
        <v>40646</v>
      </c>
      <c r="J966">
        <v>47.24</v>
      </c>
      <c r="K966">
        <v>45.88</v>
      </c>
      <c r="L966">
        <v>47.37</v>
      </c>
    </row>
    <row r="967" spans="1:12">
      <c r="A967" s="136">
        <v>40647</v>
      </c>
      <c r="B967">
        <v>2640</v>
      </c>
      <c r="C967">
        <v>2630</v>
      </c>
      <c r="D967">
        <v>2659.5</v>
      </c>
      <c r="E967" s="136">
        <v>40647</v>
      </c>
      <c r="F967">
        <v>36.207999999999998</v>
      </c>
      <c r="G967">
        <v>34.994999999999997</v>
      </c>
      <c r="H967">
        <v>36.433999999999997</v>
      </c>
      <c r="I967" s="136">
        <v>40647</v>
      </c>
      <c r="J967">
        <v>45.68</v>
      </c>
      <c r="K967">
        <v>44.91</v>
      </c>
      <c r="L967">
        <v>45.75</v>
      </c>
    </row>
    <row r="968" spans="1:12">
      <c r="A968" s="136">
        <v>40648</v>
      </c>
      <c r="B968">
        <v>2647.25</v>
      </c>
      <c r="C968">
        <v>2643.25</v>
      </c>
      <c r="D968">
        <v>2701.5</v>
      </c>
      <c r="E968" s="136">
        <v>40648</v>
      </c>
      <c r="F968">
        <v>35.475999999999999</v>
      </c>
      <c r="G968">
        <v>34.829000000000001</v>
      </c>
      <c r="H968">
        <v>35.57</v>
      </c>
      <c r="I968" s="136">
        <v>40648</v>
      </c>
      <c r="J968">
        <v>45.24</v>
      </c>
      <c r="K968">
        <v>44.83</v>
      </c>
      <c r="L968">
        <v>45.37</v>
      </c>
    </row>
    <row r="969" spans="1:12">
      <c r="A969" s="136">
        <v>40649</v>
      </c>
      <c r="B969">
        <v>2647.25</v>
      </c>
      <c r="C969">
        <v>2643.25</v>
      </c>
      <c r="D969">
        <v>2701.5</v>
      </c>
      <c r="E969" s="136">
        <v>40649</v>
      </c>
      <c r="F969">
        <v>35.475999999999999</v>
      </c>
      <c r="G969">
        <v>34.829000000000001</v>
      </c>
      <c r="H969">
        <v>35.57</v>
      </c>
      <c r="I969" s="136">
        <v>40649</v>
      </c>
      <c r="J969">
        <v>45.24</v>
      </c>
      <c r="K969">
        <v>44.83</v>
      </c>
      <c r="L969">
        <v>45.37</v>
      </c>
    </row>
    <row r="970" spans="1:12">
      <c r="A970" s="136">
        <v>40650</v>
      </c>
      <c r="B970">
        <v>2647.25</v>
      </c>
      <c r="C970">
        <v>2643.25</v>
      </c>
      <c r="D970">
        <v>2701.5</v>
      </c>
      <c r="E970" s="136">
        <v>40650</v>
      </c>
      <c r="F970">
        <v>35.475999999999999</v>
      </c>
      <c r="G970">
        <v>34.829000000000001</v>
      </c>
      <c r="H970">
        <v>35.57</v>
      </c>
      <c r="I970" s="136">
        <v>40650</v>
      </c>
      <c r="J970">
        <v>45.24</v>
      </c>
      <c r="K970">
        <v>44.83</v>
      </c>
      <c r="L970">
        <v>45.37</v>
      </c>
    </row>
    <row r="971" spans="1:12">
      <c r="A971" s="136">
        <v>40651</v>
      </c>
      <c r="B971">
        <v>2681</v>
      </c>
      <c r="C971">
        <v>2661.25</v>
      </c>
      <c r="D971">
        <v>2706</v>
      </c>
      <c r="E971" s="136">
        <v>40651</v>
      </c>
      <c r="F971">
        <v>35.076000000000001</v>
      </c>
      <c r="G971">
        <v>33.756999999999998</v>
      </c>
      <c r="H971">
        <v>35.076000000000001</v>
      </c>
      <c r="I971" s="136">
        <v>40651</v>
      </c>
      <c r="J971">
        <v>44.27</v>
      </c>
      <c r="K971">
        <v>43.53</v>
      </c>
      <c r="L971">
        <v>44.35</v>
      </c>
    </row>
    <row r="972" spans="1:12">
      <c r="A972" s="136">
        <v>40652</v>
      </c>
      <c r="B972">
        <v>2670</v>
      </c>
      <c r="C972">
        <v>2656</v>
      </c>
      <c r="D972">
        <v>2724</v>
      </c>
      <c r="E972" s="136">
        <v>40652</v>
      </c>
      <c r="F972">
        <v>34.134999999999998</v>
      </c>
      <c r="G972">
        <v>33.786000000000001</v>
      </c>
      <c r="H972">
        <v>34.628999999999998</v>
      </c>
      <c r="I972" s="136">
        <v>40652</v>
      </c>
      <c r="J972">
        <v>44.26</v>
      </c>
      <c r="K972">
        <v>43.76</v>
      </c>
      <c r="L972">
        <v>44.71</v>
      </c>
    </row>
    <row r="973" spans="1:12">
      <c r="A973" s="136">
        <v>40653</v>
      </c>
      <c r="B973">
        <v>2714</v>
      </c>
      <c r="C973">
        <v>2713</v>
      </c>
      <c r="D973">
        <v>2745</v>
      </c>
      <c r="E973" s="136">
        <v>40653</v>
      </c>
      <c r="F973">
        <v>34.220999999999997</v>
      </c>
      <c r="G973">
        <v>34.220999999999997</v>
      </c>
      <c r="H973">
        <v>34.747999999999998</v>
      </c>
      <c r="I973" s="136">
        <v>40653</v>
      </c>
      <c r="J973">
        <v>44.9</v>
      </c>
      <c r="K973">
        <v>43.94</v>
      </c>
      <c r="L973">
        <v>44.97</v>
      </c>
    </row>
    <row r="974" spans="1:12">
      <c r="A974" s="136">
        <v>40654</v>
      </c>
      <c r="B974">
        <v>2727</v>
      </c>
      <c r="C974">
        <v>2721</v>
      </c>
      <c r="D974">
        <v>2757</v>
      </c>
      <c r="E974" s="136">
        <v>40654</v>
      </c>
      <c r="F974">
        <v>34.390999999999998</v>
      </c>
      <c r="G974">
        <v>34.390999999999998</v>
      </c>
      <c r="H974">
        <v>35.072000000000003</v>
      </c>
      <c r="I974" s="136">
        <v>40654</v>
      </c>
      <c r="J974">
        <v>44.68</v>
      </c>
      <c r="K974">
        <v>44.12</v>
      </c>
      <c r="L974">
        <v>44.84</v>
      </c>
    </row>
    <row r="975" spans="1:12">
      <c r="A975" s="136">
        <v>40655</v>
      </c>
      <c r="B975">
        <v>2727</v>
      </c>
      <c r="C975">
        <v>2721</v>
      </c>
      <c r="D975">
        <v>2757</v>
      </c>
      <c r="E975" s="136">
        <v>40655</v>
      </c>
      <c r="F975">
        <v>34.390999999999998</v>
      </c>
      <c r="G975">
        <v>34.390999999999998</v>
      </c>
      <c r="H975">
        <v>35.072000000000003</v>
      </c>
      <c r="I975" s="136">
        <v>40655</v>
      </c>
      <c r="J975">
        <v>44.68</v>
      </c>
      <c r="K975">
        <v>44.12</v>
      </c>
      <c r="L975">
        <v>44.84</v>
      </c>
    </row>
    <row r="976" spans="1:12">
      <c r="A976" s="136">
        <v>40656</v>
      </c>
      <c r="B976">
        <v>2727</v>
      </c>
      <c r="C976">
        <v>2721</v>
      </c>
      <c r="D976">
        <v>2757</v>
      </c>
      <c r="E976" s="136">
        <v>40656</v>
      </c>
      <c r="F976">
        <v>34.390999999999998</v>
      </c>
      <c r="G976">
        <v>34.390999999999998</v>
      </c>
      <c r="H976">
        <v>35.072000000000003</v>
      </c>
      <c r="I976" s="136">
        <v>40656</v>
      </c>
      <c r="J976">
        <v>44.68</v>
      </c>
      <c r="K976">
        <v>44.12</v>
      </c>
      <c r="L976">
        <v>44.84</v>
      </c>
    </row>
    <row r="977" spans="1:12">
      <c r="A977" s="136">
        <v>40657</v>
      </c>
      <c r="B977">
        <v>2727</v>
      </c>
      <c r="C977">
        <v>2721</v>
      </c>
      <c r="D977">
        <v>2757</v>
      </c>
      <c r="E977" s="136">
        <v>40657</v>
      </c>
      <c r="F977">
        <v>34.390999999999998</v>
      </c>
      <c r="G977">
        <v>34.390999999999998</v>
      </c>
      <c r="H977">
        <v>35.072000000000003</v>
      </c>
      <c r="I977" s="136">
        <v>40657</v>
      </c>
      <c r="J977">
        <v>44.68</v>
      </c>
      <c r="K977">
        <v>44.12</v>
      </c>
      <c r="L977">
        <v>44.84</v>
      </c>
    </row>
    <row r="978" spans="1:12">
      <c r="A978" s="136">
        <v>40658</v>
      </c>
      <c r="B978">
        <v>2727</v>
      </c>
      <c r="C978">
        <v>2721</v>
      </c>
      <c r="D978">
        <v>2757</v>
      </c>
      <c r="E978" s="136">
        <v>40658</v>
      </c>
      <c r="F978">
        <v>34.390999999999998</v>
      </c>
      <c r="G978">
        <v>34.390999999999998</v>
      </c>
      <c r="H978">
        <v>35.072000000000003</v>
      </c>
      <c r="I978" s="136">
        <v>40658</v>
      </c>
      <c r="J978">
        <v>44.65</v>
      </c>
      <c r="K978">
        <v>44.38</v>
      </c>
      <c r="L978">
        <v>45.02</v>
      </c>
    </row>
    <row r="979" spans="1:12">
      <c r="A979" s="136">
        <v>40659</v>
      </c>
      <c r="B979">
        <v>2735</v>
      </c>
      <c r="C979">
        <v>2701.75</v>
      </c>
      <c r="D979">
        <v>2753</v>
      </c>
      <c r="E979" s="136">
        <v>40659</v>
      </c>
      <c r="F979">
        <v>35.08</v>
      </c>
      <c r="G979">
        <v>34.987000000000002</v>
      </c>
      <c r="H979">
        <v>35.54</v>
      </c>
      <c r="I979" s="136">
        <v>40659</v>
      </c>
      <c r="J979">
        <v>44.85</v>
      </c>
      <c r="K979">
        <v>44.61</v>
      </c>
      <c r="L979">
        <v>45.43</v>
      </c>
    </row>
    <row r="980" spans="1:12">
      <c r="A980" s="136">
        <v>40660</v>
      </c>
      <c r="B980">
        <v>2737</v>
      </c>
      <c r="C980">
        <v>2732</v>
      </c>
      <c r="D980">
        <v>2755.75</v>
      </c>
      <c r="E980" s="136">
        <v>40660</v>
      </c>
      <c r="F980">
        <v>35.497</v>
      </c>
      <c r="G980">
        <v>35.088999999999999</v>
      </c>
      <c r="H980">
        <v>35.786999999999999</v>
      </c>
      <c r="I980" s="136">
        <v>40660</v>
      </c>
      <c r="J980">
        <v>45.3</v>
      </c>
      <c r="K980">
        <v>45.05</v>
      </c>
      <c r="L980">
        <v>45.63</v>
      </c>
    </row>
    <row r="981" spans="1:12">
      <c r="A981" s="136">
        <v>40661</v>
      </c>
      <c r="B981">
        <v>2746</v>
      </c>
      <c r="C981">
        <v>2746</v>
      </c>
      <c r="D981">
        <v>2778.5</v>
      </c>
      <c r="E981" s="136">
        <v>40661</v>
      </c>
      <c r="F981">
        <v>36.051000000000002</v>
      </c>
      <c r="G981">
        <v>35.923000000000002</v>
      </c>
      <c r="H981">
        <v>37.387</v>
      </c>
      <c r="I981" s="136">
        <v>40661</v>
      </c>
      <c r="J981">
        <v>45.61</v>
      </c>
      <c r="K981">
        <v>45.41</v>
      </c>
      <c r="L981">
        <v>45.93</v>
      </c>
    </row>
    <row r="982" spans="1:12">
      <c r="A982" s="136">
        <v>40662</v>
      </c>
      <c r="B982">
        <v>2746</v>
      </c>
      <c r="C982">
        <v>2746</v>
      </c>
      <c r="D982">
        <v>2778.5</v>
      </c>
      <c r="E982" s="136">
        <v>40662</v>
      </c>
      <c r="F982">
        <v>37.328000000000003</v>
      </c>
      <c r="G982">
        <v>37.110999999999997</v>
      </c>
      <c r="H982">
        <v>37.637999999999998</v>
      </c>
      <c r="I982" s="136">
        <v>40662</v>
      </c>
      <c r="J982">
        <v>45.81</v>
      </c>
      <c r="K982">
        <v>45.4</v>
      </c>
      <c r="L982">
        <v>46.02</v>
      </c>
    </row>
    <row r="983" spans="1:12">
      <c r="A983" s="136">
        <v>40663</v>
      </c>
      <c r="B983">
        <v>2746</v>
      </c>
      <c r="C983">
        <v>2746</v>
      </c>
      <c r="D983">
        <v>2778.5</v>
      </c>
      <c r="E983" s="136">
        <v>40663</v>
      </c>
      <c r="F983">
        <v>37.328000000000003</v>
      </c>
      <c r="G983">
        <v>37.110999999999997</v>
      </c>
      <c r="H983">
        <v>37.637999999999998</v>
      </c>
      <c r="I983" s="136">
        <v>40663</v>
      </c>
      <c r="J983">
        <v>45.81</v>
      </c>
      <c r="K983">
        <v>45.4</v>
      </c>
      <c r="L983">
        <v>46.02</v>
      </c>
    </row>
    <row r="984" spans="1:12">
      <c r="A984" s="136">
        <v>40664</v>
      </c>
      <c r="B984">
        <v>2746</v>
      </c>
      <c r="C984">
        <v>2746</v>
      </c>
      <c r="D984">
        <v>2778.5</v>
      </c>
      <c r="E984" s="136">
        <v>40664</v>
      </c>
      <c r="F984">
        <v>37.328000000000003</v>
      </c>
      <c r="G984">
        <v>37.110999999999997</v>
      </c>
      <c r="H984">
        <v>37.637999999999998</v>
      </c>
      <c r="I984" s="136">
        <v>40664</v>
      </c>
      <c r="J984">
        <v>45.81</v>
      </c>
      <c r="K984">
        <v>45.4</v>
      </c>
      <c r="L984">
        <v>46.02</v>
      </c>
    </row>
    <row r="985" spans="1:12">
      <c r="A985" s="136">
        <v>40665</v>
      </c>
      <c r="B985">
        <v>2746</v>
      </c>
      <c r="C985">
        <v>2746</v>
      </c>
      <c r="D985">
        <v>2778.5</v>
      </c>
      <c r="E985" s="136">
        <v>40665</v>
      </c>
      <c r="F985">
        <v>37.795999999999999</v>
      </c>
      <c r="G985">
        <v>37.26</v>
      </c>
      <c r="H985">
        <v>38.051000000000002</v>
      </c>
      <c r="I985" s="136">
        <v>40665</v>
      </c>
      <c r="J985">
        <v>45.94</v>
      </c>
      <c r="K985">
        <v>45.11</v>
      </c>
      <c r="L985">
        <v>45.99</v>
      </c>
    </row>
    <row r="986" spans="1:12">
      <c r="A986" s="136">
        <v>40666</v>
      </c>
      <c r="B986">
        <v>2766</v>
      </c>
      <c r="C986">
        <v>2739</v>
      </c>
      <c r="D986">
        <v>2803</v>
      </c>
      <c r="E986" s="136">
        <v>40666</v>
      </c>
      <c r="F986">
        <v>37.328000000000003</v>
      </c>
      <c r="G986">
        <v>36.247</v>
      </c>
      <c r="H986">
        <v>37.603999999999999</v>
      </c>
      <c r="I986" s="136">
        <v>40666</v>
      </c>
      <c r="J986">
        <v>44.95</v>
      </c>
      <c r="K986">
        <v>44.86</v>
      </c>
      <c r="L986">
        <v>46.07</v>
      </c>
    </row>
    <row r="987" spans="1:12">
      <c r="A987" s="136">
        <v>40667</v>
      </c>
      <c r="B987">
        <v>2790</v>
      </c>
      <c r="C987">
        <v>2740</v>
      </c>
      <c r="D987">
        <v>2800</v>
      </c>
      <c r="E987" s="136">
        <v>40667</v>
      </c>
      <c r="F987">
        <v>36.518999999999998</v>
      </c>
      <c r="G987">
        <v>36.264000000000003</v>
      </c>
      <c r="H987">
        <v>37.271999999999998</v>
      </c>
      <c r="I987" s="136">
        <v>40667</v>
      </c>
      <c r="J987">
        <v>45.98</v>
      </c>
      <c r="K987">
        <v>45.28</v>
      </c>
      <c r="L987">
        <v>46.04</v>
      </c>
    </row>
    <row r="988" spans="1:12">
      <c r="A988" s="136">
        <v>40668</v>
      </c>
      <c r="B988">
        <v>2743</v>
      </c>
      <c r="C988">
        <v>2620</v>
      </c>
      <c r="D988">
        <v>2757</v>
      </c>
      <c r="E988" s="136">
        <v>40668</v>
      </c>
      <c r="F988">
        <v>36.57</v>
      </c>
      <c r="G988">
        <v>35.936</v>
      </c>
      <c r="H988">
        <v>36.774000000000001</v>
      </c>
      <c r="I988" s="136">
        <v>40668</v>
      </c>
      <c r="J988">
        <v>45.24</v>
      </c>
      <c r="K988">
        <v>44.99</v>
      </c>
      <c r="L988">
        <v>45.71</v>
      </c>
    </row>
    <row r="989" spans="1:12">
      <c r="A989" s="136">
        <v>40669</v>
      </c>
      <c r="B989">
        <v>2639.5</v>
      </c>
      <c r="C989">
        <v>2565.25</v>
      </c>
      <c r="D989">
        <v>2669</v>
      </c>
      <c r="E989" s="136">
        <v>40669</v>
      </c>
      <c r="F989">
        <v>36.179000000000002</v>
      </c>
      <c r="G989">
        <v>35.859000000000002</v>
      </c>
      <c r="H989">
        <v>37.055</v>
      </c>
      <c r="I989" s="136">
        <v>40669</v>
      </c>
      <c r="J989">
        <v>45.47</v>
      </c>
      <c r="K989">
        <v>44.76</v>
      </c>
      <c r="L989">
        <v>45.71</v>
      </c>
    </row>
    <row r="990" spans="1:12">
      <c r="A990" s="136">
        <v>40670</v>
      </c>
      <c r="B990">
        <v>2639.5</v>
      </c>
      <c r="C990">
        <v>2565.25</v>
      </c>
      <c r="D990">
        <v>2669</v>
      </c>
      <c r="E990" s="136">
        <v>40670</v>
      </c>
      <c r="F990">
        <v>36.179000000000002</v>
      </c>
      <c r="G990">
        <v>35.859000000000002</v>
      </c>
      <c r="H990">
        <v>37.055</v>
      </c>
      <c r="I990" s="136">
        <v>40670</v>
      </c>
      <c r="J990">
        <v>45.47</v>
      </c>
      <c r="K990">
        <v>44.76</v>
      </c>
      <c r="L990">
        <v>45.71</v>
      </c>
    </row>
    <row r="991" spans="1:12">
      <c r="A991" s="136">
        <v>40671</v>
      </c>
      <c r="B991">
        <v>2639.5</v>
      </c>
      <c r="C991">
        <v>2565.25</v>
      </c>
      <c r="D991">
        <v>2669</v>
      </c>
      <c r="E991" s="136">
        <v>40671</v>
      </c>
      <c r="F991">
        <v>36.179000000000002</v>
      </c>
      <c r="G991">
        <v>35.859000000000002</v>
      </c>
      <c r="H991">
        <v>37.055</v>
      </c>
      <c r="I991" s="136">
        <v>40671</v>
      </c>
      <c r="J991">
        <v>45.47</v>
      </c>
      <c r="K991">
        <v>44.76</v>
      </c>
      <c r="L991">
        <v>45.71</v>
      </c>
    </row>
    <row r="992" spans="1:12">
      <c r="A992" s="136">
        <v>40672</v>
      </c>
      <c r="B992">
        <v>2612</v>
      </c>
      <c r="C992">
        <v>2580.25</v>
      </c>
      <c r="D992">
        <v>2638.75</v>
      </c>
      <c r="E992" s="136">
        <v>40672</v>
      </c>
      <c r="F992">
        <v>36.093000000000004</v>
      </c>
      <c r="G992">
        <v>35.761000000000003</v>
      </c>
      <c r="H992">
        <v>36.369999999999997</v>
      </c>
      <c r="I992" s="136">
        <v>40672</v>
      </c>
      <c r="J992">
        <v>44.75</v>
      </c>
      <c r="K992">
        <v>44.32</v>
      </c>
      <c r="L992">
        <v>45.11</v>
      </c>
    </row>
    <row r="993" spans="1:12">
      <c r="A993" s="136">
        <v>40673</v>
      </c>
      <c r="B993">
        <v>2616.25</v>
      </c>
      <c r="C993">
        <v>2600</v>
      </c>
      <c r="D993">
        <v>2660.25</v>
      </c>
      <c r="E993" s="136">
        <v>40673</v>
      </c>
      <c r="F993">
        <v>36.037999999999997</v>
      </c>
      <c r="G993">
        <v>35.774000000000001</v>
      </c>
      <c r="H993">
        <v>36.889000000000003</v>
      </c>
      <c r="I993" s="136">
        <v>40673</v>
      </c>
      <c r="J993">
        <v>45.06</v>
      </c>
      <c r="K993">
        <v>44.98</v>
      </c>
      <c r="L993">
        <v>45.5</v>
      </c>
    </row>
    <row r="994" spans="1:12">
      <c r="A994" s="136">
        <v>40674</v>
      </c>
      <c r="B994">
        <v>2655</v>
      </c>
      <c r="C994">
        <v>2591.25</v>
      </c>
      <c r="D994">
        <v>2663</v>
      </c>
      <c r="E994" s="136">
        <v>40674</v>
      </c>
      <c r="F994">
        <v>36.731999999999999</v>
      </c>
      <c r="G994">
        <v>36.143999999999998</v>
      </c>
      <c r="H994">
        <v>37.03</v>
      </c>
      <c r="I994" s="136">
        <v>40674</v>
      </c>
      <c r="J994">
        <v>45.015000000000001</v>
      </c>
      <c r="K994">
        <v>44.11</v>
      </c>
      <c r="L994">
        <v>45.034999999999997</v>
      </c>
    </row>
    <row r="995" spans="1:12">
      <c r="A995" s="136">
        <v>40675</v>
      </c>
      <c r="B995">
        <v>2590</v>
      </c>
      <c r="C995">
        <v>2571.25</v>
      </c>
      <c r="D995">
        <v>2630</v>
      </c>
      <c r="E995" s="136">
        <v>40675</v>
      </c>
      <c r="F995">
        <v>36.173999999999999</v>
      </c>
      <c r="G995">
        <v>36.008000000000003</v>
      </c>
      <c r="H995">
        <v>36.595999999999997</v>
      </c>
      <c r="I995" s="136">
        <v>40675</v>
      </c>
      <c r="J995">
        <v>44.1</v>
      </c>
      <c r="K995">
        <v>43.55</v>
      </c>
      <c r="L995">
        <v>44.33</v>
      </c>
    </row>
    <row r="996" spans="1:12">
      <c r="A996" s="136">
        <v>40676</v>
      </c>
      <c r="B996">
        <v>2625</v>
      </c>
      <c r="C996">
        <v>2555</v>
      </c>
      <c r="D996">
        <v>2638</v>
      </c>
      <c r="E996" s="136">
        <v>40676</v>
      </c>
      <c r="F996">
        <v>36.433999999999997</v>
      </c>
      <c r="G996">
        <v>35.667999999999999</v>
      </c>
      <c r="H996">
        <v>37.03</v>
      </c>
      <c r="I996" s="136">
        <v>40676</v>
      </c>
      <c r="J996">
        <v>44.06</v>
      </c>
      <c r="K996">
        <v>42.98</v>
      </c>
      <c r="L996">
        <v>44.100099999999998</v>
      </c>
    </row>
    <row r="997" spans="1:12">
      <c r="A997" s="136">
        <v>40677</v>
      </c>
      <c r="B997">
        <v>2625</v>
      </c>
      <c r="C997">
        <v>2555</v>
      </c>
      <c r="D997">
        <v>2638</v>
      </c>
      <c r="E997" s="136">
        <v>40677</v>
      </c>
      <c r="F997">
        <v>36.433999999999997</v>
      </c>
      <c r="G997">
        <v>35.667999999999999</v>
      </c>
      <c r="H997">
        <v>37.03</v>
      </c>
      <c r="I997" s="136">
        <v>40677</v>
      </c>
      <c r="J997">
        <v>44.06</v>
      </c>
      <c r="K997">
        <v>42.98</v>
      </c>
      <c r="L997">
        <v>44.100099999999998</v>
      </c>
    </row>
    <row r="998" spans="1:12">
      <c r="A998" s="136">
        <v>40678</v>
      </c>
      <c r="B998">
        <v>2625</v>
      </c>
      <c r="C998">
        <v>2555</v>
      </c>
      <c r="D998">
        <v>2638</v>
      </c>
      <c r="E998" s="136">
        <v>40678</v>
      </c>
      <c r="F998">
        <v>36.433999999999997</v>
      </c>
      <c r="G998">
        <v>35.667999999999999</v>
      </c>
      <c r="H998">
        <v>37.03</v>
      </c>
      <c r="I998" s="136">
        <v>40678</v>
      </c>
      <c r="J998">
        <v>44.06</v>
      </c>
      <c r="K998">
        <v>42.98</v>
      </c>
      <c r="L998">
        <v>44.100099999999998</v>
      </c>
    </row>
    <row r="999" spans="1:12">
      <c r="A999" s="136">
        <v>40679</v>
      </c>
      <c r="B999">
        <v>2571</v>
      </c>
      <c r="C999">
        <v>2532.5</v>
      </c>
      <c r="D999">
        <v>2578.75</v>
      </c>
      <c r="E999" s="136">
        <v>40679</v>
      </c>
      <c r="F999">
        <v>35.71</v>
      </c>
      <c r="G999">
        <v>34.944000000000003</v>
      </c>
      <c r="H999">
        <v>35.991</v>
      </c>
      <c r="I999" s="136">
        <v>40679</v>
      </c>
      <c r="J999">
        <v>42.97</v>
      </c>
      <c r="K999">
        <v>42.72</v>
      </c>
      <c r="L999">
        <v>43.48</v>
      </c>
    </row>
    <row r="1000" spans="1:12">
      <c r="A1000" s="136">
        <v>40680</v>
      </c>
      <c r="B1000">
        <v>2550</v>
      </c>
      <c r="C1000">
        <v>2500</v>
      </c>
      <c r="D1000">
        <v>2558</v>
      </c>
      <c r="E1000" s="136">
        <v>40680</v>
      </c>
      <c r="F1000">
        <v>35.497</v>
      </c>
      <c r="G1000">
        <v>35.335999999999999</v>
      </c>
      <c r="H1000">
        <v>36.216999999999999</v>
      </c>
      <c r="I1000" s="136">
        <v>40680</v>
      </c>
      <c r="J1000">
        <v>42.68</v>
      </c>
      <c r="K1000">
        <v>42.65</v>
      </c>
      <c r="L1000">
        <v>44.02</v>
      </c>
    </row>
    <row r="1001" spans="1:12">
      <c r="A1001" s="136">
        <v>40681</v>
      </c>
      <c r="B1001">
        <v>2515</v>
      </c>
      <c r="C1001">
        <v>2500</v>
      </c>
      <c r="D1001">
        <v>2565</v>
      </c>
      <c r="E1001" s="136">
        <v>40681</v>
      </c>
      <c r="F1001">
        <v>35.923000000000002</v>
      </c>
      <c r="G1001">
        <v>35.667999999999999</v>
      </c>
      <c r="H1001">
        <v>36.340000000000003</v>
      </c>
      <c r="I1001" s="136">
        <v>40681</v>
      </c>
      <c r="J1001">
        <v>43.72</v>
      </c>
      <c r="K1001">
        <v>43.41</v>
      </c>
      <c r="L1001">
        <v>44.24</v>
      </c>
    </row>
    <row r="1002" spans="1:12">
      <c r="A1002" s="136">
        <v>40682</v>
      </c>
      <c r="B1002">
        <v>2551.25</v>
      </c>
      <c r="C1002">
        <v>2483.25</v>
      </c>
      <c r="D1002">
        <v>2574</v>
      </c>
      <c r="E1002" s="136">
        <v>40682</v>
      </c>
      <c r="F1002">
        <v>35.966000000000001</v>
      </c>
      <c r="G1002">
        <v>35.658999999999999</v>
      </c>
      <c r="H1002">
        <v>36.603999999999999</v>
      </c>
      <c r="I1002" s="136">
        <v>40682</v>
      </c>
      <c r="J1002">
        <v>44.32</v>
      </c>
      <c r="K1002">
        <v>43.75</v>
      </c>
      <c r="L1002">
        <v>44.35</v>
      </c>
    </row>
    <row r="1003" spans="1:12">
      <c r="A1003" s="136">
        <v>40683</v>
      </c>
      <c r="B1003">
        <v>2511</v>
      </c>
      <c r="C1003">
        <v>2499.75</v>
      </c>
      <c r="D1003">
        <v>2532</v>
      </c>
      <c r="E1003" s="136">
        <v>40683</v>
      </c>
      <c r="F1003">
        <v>36.179000000000002</v>
      </c>
      <c r="G1003">
        <v>35.234000000000002</v>
      </c>
      <c r="H1003">
        <v>36.340000000000003</v>
      </c>
      <c r="I1003" s="136">
        <v>40683</v>
      </c>
      <c r="J1003">
        <v>43.83</v>
      </c>
      <c r="K1003">
        <v>43.09</v>
      </c>
      <c r="L1003">
        <v>44.09</v>
      </c>
    </row>
    <row r="1004" spans="1:12">
      <c r="A1004" s="136">
        <v>40684</v>
      </c>
      <c r="B1004">
        <v>2511</v>
      </c>
      <c r="C1004">
        <v>2499.75</v>
      </c>
      <c r="D1004">
        <v>2532</v>
      </c>
      <c r="E1004" s="136">
        <v>40684</v>
      </c>
      <c r="F1004">
        <v>36.179000000000002</v>
      </c>
      <c r="G1004">
        <v>35.234000000000002</v>
      </c>
      <c r="H1004">
        <v>36.340000000000003</v>
      </c>
      <c r="I1004" s="136">
        <v>40684</v>
      </c>
      <c r="J1004">
        <v>43.83</v>
      </c>
      <c r="K1004">
        <v>43.09</v>
      </c>
      <c r="L1004">
        <v>44.09</v>
      </c>
    </row>
    <row r="1005" spans="1:12">
      <c r="A1005" s="136">
        <v>40685</v>
      </c>
      <c r="B1005">
        <v>2511</v>
      </c>
      <c r="C1005">
        <v>2499.75</v>
      </c>
      <c r="D1005">
        <v>2532</v>
      </c>
      <c r="E1005" s="136">
        <v>40685</v>
      </c>
      <c r="F1005">
        <v>36.179000000000002</v>
      </c>
      <c r="G1005">
        <v>35.234000000000002</v>
      </c>
      <c r="H1005">
        <v>36.340000000000003</v>
      </c>
      <c r="I1005" s="136">
        <v>40685</v>
      </c>
      <c r="J1005">
        <v>43.83</v>
      </c>
      <c r="K1005">
        <v>43.09</v>
      </c>
      <c r="L1005">
        <v>44.09</v>
      </c>
    </row>
    <row r="1006" spans="1:12">
      <c r="A1006" s="136">
        <v>40686</v>
      </c>
      <c r="B1006">
        <v>2506</v>
      </c>
      <c r="C1006">
        <v>2465</v>
      </c>
      <c r="D1006">
        <v>2506</v>
      </c>
      <c r="E1006" s="136">
        <v>40686</v>
      </c>
      <c r="F1006">
        <v>35.072000000000003</v>
      </c>
      <c r="G1006">
        <v>34.356999999999999</v>
      </c>
      <c r="H1006">
        <v>35.072000000000003</v>
      </c>
      <c r="I1006" s="136">
        <v>40686</v>
      </c>
      <c r="J1006">
        <v>42.4</v>
      </c>
      <c r="K1006">
        <v>42.3</v>
      </c>
      <c r="L1006">
        <v>42.9</v>
      </c>
    </row>
    <row r="1007" spans="1:12">
      <c r="A1007" s="136">
        <v>40687</v>
      </c>
      <c r="B1007">
        <v>2482</v>
      </c>
      <c r="C1007">
        <v>2482</v>
      </c>
      <c r="D1007">
        <v>2535.5</v>
      </c>
      <c r="E1007" s="136">
        <v>40687</v>
      </c>
      <c r="F1007">
        <v>34.633000000000003</v>
      </c>
      <c r="G1007">
        <v>34.093000000000004</v>
      </c>
      <c r="H1007">
        <v>34.816000000000003</v>
      </c>
      <c r="I1007" s="136">
        <v>40687</v>
      </c>
      <c r="J1007">
        <v>42.77</v>
      </c>
      <c r="K1007">
        <v>41.69</v>
      </c>
      <c r="L1007">
        <v>42.92</v>
      </c>
    </row>
    <row r="1008" spans="1:12">
      <c r="A1008" s="136">
        <v>40688</v>
      </c>
      <c r="B1008">
        <v>2507</v>
      </c>
      <c r="C1008">
        <v>2500</v>
      </c>
      <c r="D1008">
        <v>2559</v>
      </c>
      <c r="E1008" s="136">
        <v>40688</v>
      </c>
      <c r="F1008">
        <v>34.093000000000004</v>
      </c>
      <c r="G1008">
        <v>33.951999999999998</v>
      </c>
      <c r="H1008">
        <v>35.326999999999998</v>
      </c>
      <c r="I1008" s="136">
        <v>40688</v>
      </c>
      <c r="J1008">
        <v>42.11</v>
      </c>
      <c r="K1008">
        <v>42.1</v>
      </c>
      <c r="L1008">
        <v>42.75</v>
      </c>
    </row>
    <row r="1009" spans="1:12">
      <c r="A1009" s="136">
        <v>40689</v>
      </c>
      <c r="B1009">
        <v>2538</v>
      </c>
      <c r="C1009">
        <v>2535</v>
      </c>
      <c r="D1009">
        <v>2585</v>
      </c>
      <c r="E1009" s="136">
        <v>40689</v>
      </c>
      <c r="F1009">
        <v>35.113999999999997</v>
      </c>
      <c r="G1009">
        <v>34.612000000000002</v>
      </c>
      <c r="H1009">
        <v>35.642000000000003</v>
      </c>
      <c r="I1009" s="136">
        <v>40689</v>
      </c>
      <c r="J1009">
        <v>42.12</v>
      </c>
      <c r="K1009">
        <v>42.1</v>
      </c>
      <c r="L1009">
        <v>42.59</v>
      </c>
    </row>
    <row r="1010" spans="1:12">
      <c r="A1010" s="136">
        <v>40690</v>
      </c>
      <c r="B1010">
        <v>2566</v>
      </c>
      <c r="C1010">
        <v>2564</v>
      </c>
      <c r="D1010">
        <v>2625.15</v>
      </c>
      <c r="E1010" s="136">
        <v>40690</v>
      </c>
      <c r="F1010">
        <v>34.518999999999998</v>
      </c>
      <c r="G1010">
        <v>34.475999999999999</v>
      </c>
      <c r="H1010">
        <v>35.454999999999998</v>
      </c>
      <c r="I1010" s="136">
        <v>40690</v>
      </c>
      <c r="J1010">
        <v>42.7</v>
      </c>
      <c r="K1010">
        <v>42.54</v>
      </c>
      <c r="L1010">
        <v>43.15</v>
      </c>
    </row>
    <row r="1011" spans="1:12">
      <c r="A1011" s="136">
        <v>40691</v>
      </c>
      <c r="B1011">
        <v>2566</v>
      </c>
      <c r="C1011">
        <v>2564</v>
      </c>
      <c r="D1011">
        <v>2625.15</v>
      </c>
      <c r="E1011" s="136">
        <v>40691</v>
      </c>
      <c r="F1011">
        <v>34.518999999999998</v>
      </c>
      <c r="G1011">
        <v>34.475999999999999</v>
      </c>
      <c r="H1011">
        <v>35.454999999999998</v>
      </c>
      <c r="I1011" s="136">
        <v>40691</v>
      </c>
      <c r="J1011">
        <v>42.7</v>
      </c>
      <c r="K1011">
        <v>42.54</v>
      </c>
      <c r="L1011">
        <v>43.15</v>
      </c>
    </row>
    <row r="1012" spans="1:12">
      <c r="A1012" s="136">
        <v>40692</v>
      </c>
      <c r="B1012">
        <v>2566</v>
      </c>
      <c r="C1012">
        <v>2564</v>
      </c>
      <c r="D1012">
        <v>2625.15</v>
      </c>
      <c r="E1012" s="136">
        <v>40692</v>
      </c>
      <c r="F1012">
        <v>34.518999999999998</v>
      </c>
      <c r="G1012">
        <v>34.475999999999999</v>
      </c>
      <c r="H1012">
        <v>35.454999999999998</v>
      </c>
      <c r="I1012" s="136">
        <v>40692</v>
      </c>
      <c r="J1012">
        <v>42.7</v>
      </c>
      <c r="K1012">
        <v>42.54</v>
      </c>
      <c r="L1012">
        <v>43.15</v>
      </c>
    </row>
    <row r="1013" spans="1:12">
      <c r="A1013" s="136">
        <v>40693</v>
      </c>
      <c r="B1013">
        <v>2566</v>
      </c>
      <c r="C1013">
        <v>2564</v>
      </c>
      <c r="D1013">
        <v>2625.15</v>
      </c>
      <c r="E1013" s="136">
        <v>40693</v>
      </c>
      <c r="F1013">
        <v>34.753</v>
      </c>
      <c r="G1013">
        <v>34.518999999999998</v>
      </c>
      <c r="H1013">
        <v>35.156999999999996</v>
      </c>
      <c r="I1013" s="136">
        <v>40693</v>
      </c>
      <c r="J1013">
        <v>42.7</v>
      </c>
      <c r="K1013">
        <v>42.54</v>
      </c>
      <c r="L1013">
        <v>43.15</v>
      </c>
    </row>
    <row r="1014" spans="1:12">
      <c r="A1014" s="136">
        <v>40694</v>
      </c>
      <c r="B1014">
        <v>2620</v>
      </c>
      <c r="C1014">
        <v>2620</v>
      </c>
      <c r="D1014">
        <v>2682</v>
      </c>
      <c r="E1014" s="136">
        <v>40694</v>
      </c>
      <c r="F1014">
        <v>34.816000000000003</v>
      </c>
      <c r="G1014">
        <v>34.646000000000001</v>
      </c>
      <c r="H1014">
        <v>35.438000000000002</v>
      </c>
      <c r="I1014" s="136">
        <v>40694</v>
      </c>
      <c r="J1014">
        <v>43.24</v>
      </c>
      <c r="K1014">
        <v>42.77</v>
      </c>
      <c r="L1014">
        <v>43.38</v>
      </c>
    </row>
    <row r="1015" spans="1:12">
      <c r="A1015" s="136">
        <v>40695</v>
      </c>
      <c r="B1015">
        <v>2662</v>
      </c>
      <c r="C1015">
        <v>2636</v>
      </c>
      <c r="D1015">
        <v>2684.75</v>
      </c>
      <c r="E1015" s="136">
        <v>40695</v>
      </c>
      <c r="F1015">
        <v>35.271999999999998</v>
      </c>
      <c r="G1015">
        <v>34.655000000000001</v>
      </c>
      <c r="H1015">
        <v>35.646000000000001</v>
      </c>
      <c r="I1015" s="136">
        <v>40695</v>
      </c>
      <c r="J1015">
        <v>42.87</v>
      </c>
      <c r="K1015">
        <v>41.73</v>
      </c>
      <c r="L1015">
        <v>42.99</v>
      </c>
    </row>
    <row r="1016" spans="1:12">
      <c r="A1016" s="136">
        <v>40696</v>
      </c>
      <c r="B1016">
        <v>2633</v>
      </c>
      <c r="C1016">
        <v>2605</v>
      </c>
      <c r="D1016">
        <v>2675</v>
      </c>
      <c r="E1016" s="136">
        <v>40696</v>
      </c>
      <c r="F1016">
        <v>34.561</v>
      </c>
      <c r="G1016">
        <v>34.134999999999998</v>
      </c>
      <c r="H1016">
        <v>34.850999999999999</v>
      </c>
      <c r="I1016" s="136">
        <v>40696</v>
      </c>
      <c r="J1016">
        <v>41.93</v>
      </c>
      <c r="K1016">
        <v>40.83</v>
      </c>
      <c r="L1016">
        <v>42.2</v>
      </c>
    </row>
    <row r="1017" spans="1:12">
      <c r="A1017" s="136">
        <v>40697</v>
      </c>
      <c r="B1017">
        <v>2623</v>
      </c>
      <c r="C1017">
        <v>2607</v>
      </c>
      <c r="D1017">
        <v>2655</v>
      </c>
      <c r="E1017" s="136">
        <v>40697</v>
      </c>
      <c r="F1017">
        <v>34.433</v>
      </c>
      <c r="G1017">
        <v>34.093000000000004</v>
      </c>
      <c r="H1017">
        <v>34.927</v>
      </c>
      <c r="I1017" s="136">
        <v>40697</v>
      </c>
      <c r="J1017">
        <v>41.09</v>
      </c>
      <c r="K1017">
        <v>41.015000000000001</v>
      </c>
      <c r="L1017">
        <v>42.25</v>
      </c>
    </row>
    <row r="1018" spans="1:12">
      <c r="A1018" s="136">
        <v>40698</v>
      </c>
      <c r="B1018">
        <v>2623</v>
      </c>
      <c r="C1018">
        <v>2607</v>
      </c>
      <c r="D1018">
        <v>2655</v>
      </c>
      <c r="E1018" s="136">
        <v>40698</v>
      </c>
      <c r="F1018">
        <v>34.433</v>
      </c>
      <c r="G1018">
        <v>34.093000000000004</v>
      </c>
      <c r="H1018">
        <v>34.927</v>
      </c>
      <c r="I1018" s="136">
        <v>40698</v>
      </c>
      <c r="J1018">
        <v>41.09</v>
      </c>
      <c r="K1018">
        <v>41.015000000000001</v>
      </c>
      <c r="L1018">
        <v>42.25</v>
      </c>
    </row>
    <row r="1019" spans="1:12">
      <c r="A1019" s="136">
        <v>40699</v>
      </c>
      <c r="B1019">
        <v>2623</v>
      </c>
      <c r="C1019">
        <v>2607</v>
      </c>
      <c r="D1019">
        <v>2655</v>
      </c>
      <c r="E1019" s="136">
        <v>40699</v>
      </c>
      <c r="F1019">
        <v>34.433</v>
      </c>
      <c r="G1019">
        <v>34.093000000000004</v>
      </c>
      <c r="H1019">
        <v>34.927</v>
      </c>
      <c r="I1019" s="136">
        <v>40699</v>
      </c>
      <c r="J1019">
        <v>41.09</v>
      </c>
      <c r="K1019">
        <v>41.015000000000001</v>
      </c>
      <c r="L1019">
        <v>42.25</v>
      </c>
    </row>
    <row r="1020" spans="1:12">
      <c r="A1020" s="136">
        <v>40700</v>
      </c>
      <c r="B1020">
        <v>2640</v>
      </c>
      <c r="C1020">
        <v>2640</v>
      </c>
      <c r="D1020">
        <v>2668</v>
      </c>
      <c r="E1020" s="136">
        <v>40700</v>
      </c>
      <c r="F1020">
        <v>34.561</v>
      </c>
      <c r="G1020">
        <v>33.820999999999998</v>
      </c>
      <c r="H1020">
        <v>34.765000000000001</v>
      </c>
      <c r="I1020" s="136">
        <v>40700</v>
      </c>
      <c r="J1020">
        <v>41.1</v>
      </c>
      <c r="K1020">
        <v>40.369999999999997</v>
      </c>
      <c r="L1020">
        <v>41.24</v>
      </c>
    </row>
    <row r="1021" spans="1:12">
      <c r="A1021" s="136">
        <v>40701</v>
      </c>
      <c r="B1021">
        <v>2663</v>
      </c>
      <c r="C1021">
        <v>2648</v>
      </c>
      <c r="D1021">
        <v>2695</v>
      </c>
      <c r="E1021" s="136">
        <v>40701</v>
      </c>
      <c r="F1021">
        <v>33.923000000000002</v>
      </c>
      <c r="G1021">
        <v>33.734999999999999</v>
      </c>
      <c r="H1021">
        <v>34.552999999999997</v>
      </c>
      <c r="I1021" s="136">
        <v>40701</v>
      </c>
      <c r="J1021">
        <v>40.92</v>
      </c>
      <c r="K1021">
        <v>40.65</v>
      </c>
      <c r="L1021">
        <v>41.31</v>
      </c>
    </row>
    <row r="1022" spans="1:12">
      <c r="A1022" s="136">
        <v>40702</v>
      </c>
      <c r="B1022">
        <v>2686</v>
      </c>
      <c r="C1022">
        <v>2656</v>
      </c>
      <c r="D1022">
        <v>2690</v>
      </c>
      <c r="E1022" s="136">
        <v>40702</v>
      </c>
      <c r="F1022">
        <v>34.049999999999997</v>
      </c>
      <c r="G1022">
        <v>33.381999999999998</v>
      </c>
      <c r="H1022">
        <v>34.113999999999997</v>
      </c>
      <c r="I1022" s="136">
        <v>40702</v>
      </c>
      <c r="J1022">
        <v>40.58</v>
      </c>
      <c r="K1022">
        <v>40.200000000000003</v>
      </c>
      <c r="L1022">
        <v>41.07</v>
      </c>
    </row>
    <row r="1023" spans="1:12">
      <c r="A1023" s="136">
        <v>40703</v>
      </c>
      <c r="B1023">
        <v>2667</v>
      </c>
      <c r="C1023">
        <v>2646</v>
      </c>
      <c r="D1023">
        <v>2680</v>
      </c>
      <c r="E1023" s="136">
        <v>40703</v>
      </c>
      <c r="F1023">
        <v>33.530999999999999</v>
      </c>
      <c r="G1023">
        <v>33.241999999999997</v>
      </c>
      <c r="H1023">
        <v>34.072000000000003</v>
      </c>
      <c r="I1023" s="136">
        <v>40703</v>
      </c>
      <c r="J1023">
        <v>40.590000000000003</v>
      </c>
      <c r="K1023">
        <v>40.54</v>
      </c>
      <c r="L1023">
        <v>41.24</v>
      </c>
    </row>
    <row r="1024" spans="1:12">
      <c r="A1024" s="136">
        <v>40704</v>
      </c>
      <c r="B1024">
        <v>2658</v>
      </c>
      <c r="C1024">
        <v>2596</v>
      </c>
      <c r="D1024">
        <v>2667</v>
      </c>
      <c r="E1024" s="136">
        <v>40704</v>
      </c>
      <c r="F1024">
        <v>33.875999999999998</v>
      </c>
      <c r="G1024">
        <v>33.616</v>
      </c>
      <c r="H1024">
        <v>34.543999999999997</v>
      </c>
      <c r="I1024" s="136">
        <v>40704</v>
      </c>
      <c r="J1024">
        <v>40.590000000000003</v>
      </c>
      <c r="K1024">
        <v>40.1</v>
      </c>
      <c r="L1024">
        <v>41.5</v>
      </c>
    </row>
    <row r="1025" spans="1:12">
      <c r="A1025" s="136">
        <v>40705</v>
      </c>
      <c r="B1025">
        <v>2658</v>
      </c>
      <c r="C1025">
        <v>2596</v>
      </c>
      <c r="D1025">
        <v>2667</v>
      </c>
      <c r="E1025" s="136">
        <v>40705</v>
      </c>
      <c r="F1025">
        <v>33.875999999999998</v>
      </c>
      <c r="G1025">
        <v>33.616</v>
      </c>
      <c r="H1025">
        <v>34.543999999999997</v>
      </c>
      <c r="I1025" s="136">
        <v>40705</v>
      </c>
      <c r="J1025">
        <v>40.590000000000003</v>
      </c>
      <c r="K1025">
        <v>40.1</v>
      </c>
      <c r="L1025">
        <v>41.5</v>
      </c>
    </row>
    <row r="1026" spans="1:12">
      <c r="A1026" s="136">
        <v>40706</v>
      </c>
      <c r="B1026">
        <v>2658</v>
      </c>
      <c r="C1026">
        <v>2596</v>
      </c>
      <c r="D1026">
        <v>2667</v>
      </c>
      <c r="E1026" s="136">
        <v>40706</v>
      </c>
      <c r="F1026">
        <v>33.875999999999998</v>
      </c>
      <c r="G1026">
        <v>33.616</v>
      </c>
      <c r="H1026">
        <v>34.543999999999997</v>
      </c>
      <c r="I1026" s="136">
        <v>40706</v>
      </c>
      <c r="J1026">
        <v>40.590000000000003</v>
      </c>
      <c r="K1026">
        <v>40.1</v>
      </c>
      <c r="L1026">
        <v>41.5</v>
      </c>
    </row>
    <row r="1027" spans="1:12">
      <c r="A1027" s="136">
        <v>40707</v>
      </c>
      <c r="B1027">
        <v>2615</v>
      </c>
      <c r="C1027">
        <v>2573</v>
      </c>
      <c r="D1027">
        <v>2620</v>
      </c>
      <c r="E1027" s="136">
        <v>40707</v>
      </c>
      <c r="F1027">
        <v>33.71</v>
      </c>
      <c r="G1027">
        <v>33.454000000000001</v>
      </c>
      <c r="H1027">
        <v>33.944000000000003</v>
      </c>
      <c r="I1027" s="136">
        <v>40707</v>
      </c>
      <c r="J1027">
        <v>41.29</v>
      </c>
      <c r="K1027">
        <v>40.72</v>
      </c>
      <c r="L1027">
        <v>41.82</v>
      </c>
    </row>
    <row r="1028" spans="1:12">
      <c r="A1028" s="136">
        <v>40708</v>
      </c>
      <c r="B1028">
        <v>2577</v>
      </c>
      <c r="C1028">
        <v>2577</v>
      </c>
      <c r="D1028">
        <v>2648</v>
      </c>
      <c r="E1028" s="136">
        <v>40708</v>
      </c>
      <c r="F1028">
        <v>33.923000000000002</v>
      </c>
      <c r="G1028">
        <v>33.923000000000002</v>
      </c>
      <c r="H1028">
        <v>34.536000000000001</v>
      </c>
      <c r="I1028" s="136">
        <v>40708</v>
      </c>
      <c r="J1028">
        <v>42.13</v>
      </c>
      <c r="K1028">
        <v>41.48</v>
      </c>
      <c r="L1028">
        <v>42.44</v>
      </c>
    </row>
    <row r="1029" spans="1:12">
      <c r="A1029" s="136">
        <v>40709</v>
      </c>
      <c r="B1029">
        <v>2635.25</v>
      </c>
      <c r="C1029">
        <v>2580</v>
      </c>
      <c r="D1029">
        <v>2644</v>
      </c>
      <c r="E1029" s="136">
        <v>40709</v>
      </c>
      <c r="F1029">
        <v>34.173999999999999</v>
      </c>
      <c r="G1029">
        <v>33.479999999999997</v>
      </c>
      <c r="H1029">
        <v>34.31</v>
      </c>
      <c r="I1029" s="136">
        <v>40709</v>
      </c>
      <c r="J1029">
        <v>41.02</v>
      </c>
      <c r="K1029">
        <v>40.25</v>
      </c>
      <c r="L1029">
        <v>41.4</v>
      </c>
    </row>
    <row r="1030" spans="1:12">
      <c r="A1030" s="136">
        <v>40710</v>
      </c>
      <c r="B1030">
        <v>2590</v>
      </c>
      <c r="C1030">
        <v>2523.5</v>
      </c>
      <c r="D1030">
        <v>2596</v>
      </c>
      <c r="E1030" s="136">
        <v>40710</v>
      </c>
      <c r="F1030">
        <v>33.591000000000001</v>
      </c>
      <c r="G1030">
        <v>33.216000000000001</v>
      </c>
      <c r="H1030">
        <v>33.999000000000002</v>
      </c>
      <c r="I1030" s="136">
        <v>40710</v>
      </c>
      <c r="J1030">
        <v>40.630000000000003</v>
      </c>
      <c r="K1030">
        <v>39.700000000000003</v>
      </c>
      <c r="L1030">
        <v>40.71</v>
      </c>
    </row>
    <row r="1031" spans="1:12">
      <c r="A1031" s="136">
        <v>40711</v>
      </c>
      <c r="B1031">
        <v>2561</v>
      </c>
      <c r="C1031">
        <v>2531</v>
      </c>
      <c r="D1031">
        <v>2567.5</v>
      </c>
      <c r="E1031" s="136">
        <v>40711</v>
      </c>
      <c r="F1031">
        <v>33.429000000000002</v>
      </c>
      <c r="G1031">
        <v>33.344000000000001</v>
      </c>
      <c r="H1031">
        <v>34.628999999999998</v>
      </c>
      <c r="I1031" s="136">
        <v>40711</v>
      </c>
      <c r="J1031">
        <v>40.85</v>
      </c>
      <c r="K1031">
        <v>40.54</v>
      </c>
      <c r="L1031">
        <v>41.06</v>
      </c>
    </row>
    <row r="1032" spans="1:12">
      <c r="A1032" s="136">
        <v>40712</v>
      </c>
      <c r="B1032">
        <v>2561</v>
      </c>
      <c r="C1032">
        <v>2531</v>
      </c>
      <c r="D1032">
        <v>2567.5</v>
      </c>
      <c r="E1032" s="136">
        <v>40712</v>
      </c>
      <c r="F1032">
        <v>33.429000000000002</v>
      </c>
      <c r="G1032">
        <v>33.344000000000001</v>
      </c>
      <c r="H1032">
        <v>34.628999999999998</v>
      </c>
      <c r="I1032" s="136">
        <v>40712</v>
      </c>
      <c r="J1032">
        <v>40.85</v>
      </c>
      <c r="K1032">
        <v>40.54</v>
      </c>
      <c r="L1032">
        <v>41.06</v>
      </c>
    </row>
    <row r="1033" spans="1:12">
      <c r="A1033" s="136">
        <v>40713</v>
      </c>
      <c r="B1033">
        <v>2561</v>
      </c>
      <c r="C1033">
        <v>2531</v>
      </c>
      <c r="D1033">
        <v>2567.5</v>
      </c>
      <c r="E1033" s="136">
        <v>40713</v>
      </c>
      <c r="F1033">
        <v>33.429000000000002</v>
      </c>
      <c r="G1033">
        <v>33.344000000000001</v>
      </c>
      <c r="H1033">
        <v>34.628999999999998</v>
      </c>
      <c r="I1033" s="136">
        <v>40713</v>
      </c>
      <c r="J1033">
        <v>40.85</v>
      </c>
      <c r="K1033">
        <v>40.54</v>
      </c>
      <c r="L1033">
        <v>41.06</v>
      </c>
    </row>
    <row r="1034" spans="1:12">
      <c r="A1034" s="136">
        <v>40714</v>
      </c>
      <c r="B1034">
        <v>2542</v>
      </c>
      <c r="C1034">
        <v>2516.25</v>
      </c>
      <c r="D1034">
        <v>2550</v>
      </c>
      <c r="E1034" s="136">
        <v>40714</v>
      </c>
      <c r="F1034">
        <v>34.177999999999997</v>
      </c>
      <c r="G1034">
        <v>33.625</v>
      </c>
      <c r="H1034">
        <v>34.378</v>
      </c>
      <c r="I1034" s="136">
        <v>40714</v>
      </c>
      <c r="J1034">
        <v>40.5</v>
      </c>
      <c r="K1034">
        <v>40.119999999999997</v>
      </c>
      <c r="L1034">
        <v>40.81</v>
      </c>
    </row>
    <row r="1035" spans="1:12">
      <c r="A1035" s="136">
        <v>40715</v>
      </c>
      <c r="B1035">
        <v>2530</v>
      </c>
      <c r="C1035">
        <v>2529.75</v>
      </c>
      <c r="D1035">
        <v>2557</v>
      </c>
      <c r="E1035" s="136">
        <v>40715</v>
      </c>
      <c r="F1035">
        <v>34.177999999999997</v>
      </c>
      <c r="G1035">
        <v>34.127000000000002</v>
      </c>
      <c r="H1035">
        <v>35.173999999999999</v>
      </c>
      <c r="I1035" s="136">
        <v>40715</v>
      </c>
      <c r="J1035">
        <v>40.68</v>
      </c>
      <c r="K1035">
        <v>40.25</v>
      </c>
      <c r="L1035">
        <v>41.23</v>
      </c>
    </row>
    <row r="1036" spans="1:12">
      <c r="A1036" s="136">
        <v>40716</v>
      </c>
      <c r="B1036">
        <v>2545</v>
      </c>
      <c r="C1036">
        <v>2530</v>
      </c>
      <c r="D1036">
        <v>2555</v>
      </c>
      <c r="E1036" s="136">
        <v>40716</v>
      </c>
      <c r="F1036">
        <v>34.965000000000003</v>
      </c>
      <c r="G1036">
        <v>34.902000000000001</v>
      </c>
      <c r="H1036">
        <v>35.493000000000002</v>
      </c>
      <c r="I1036" s="136">
        <v>40716</v>
      </c>
      <c r="J1036">
        <v>40.67</v>
      </c>
      <c r="K1036">
        <v>40.479999999999997</v>
      </c>
      <c r="L1036">
        <v>41.53</v>
      </c>
    </row>
    <row r="1037" spans="1:12">
      <c r="A1037" s="136">
        <v>40717</v>
      </c>
      <c r="B1037">
        <v>2540</v>
      </c>
      <c r="C1037">
        <v>2490</v>
      </c>
      <c r="D1037">
        <v>2544.75</v>
      </c>
      <c r="E1037" s="136">
        <v>40717</v>
      </c>
      <c r="F1037">
        <v>34.774000000000001</v>
      </c>
      <c r="G1037">
        <v>33.866999999999997</v>
      </c>
      <c r="H1037">
        <v>34.94</v>
      </c>
      <c r="I1037" s="136">
        <v>40717</v>
      </c>
      <c r="J1037">
        <v>40.119999999999997</v>
      </c>
      <c r="K1037">
        <v>39.619999999999997</v>
      </c>
      <c r="L1037">
        <v>40.25</v>
      </c>
    </row>
    <row r="1038" spans="1:12">
      <c r="A1038" s="136">
        <v>40718</v>
      </c>
      <c r="B1038">
        <v>2515</v>
      </c>
      <c r="C1038">
        <v>2494</v>
      </c>
      <c r="D1038">
        <v>2525.5</v>
      </c>
      <c r="E1038" s="136">
        <v>40718</v>
      </c>
      <c r="F1038">
        <v>34.475999999999999</v>
      </c>
      <c r="G1038">
        <v>33.326999999999998</v>
      </c>
      <c r="H1038">
        <v>34.765000000000001</v>
      </c>
      <c r="I1038" s="136">
        <v>40718</v>
      </c>
      <c r="J1038">
        <v>40.049999999999997</v>
      </c>
      <c r="K1038">
        <v>39.44</v>
      </c>
      <c r="L1038">
        <v>40.18</v>
      </c>
    </row>
    <row r="1039" spans="1:12">
      <c r="A1039" s="136">
        <v>40719</v>
      </c>
      <c r="B1039">
        <v>2515</v>
      </c>
      <c r="C1039">
        <v>2494</v>
      </c>
      <c r="D1039">
        <v>2525.5</v>
      </c>
      <c r="E1039" s="136">
        <v>40719</v>
      </c>
      <c r="F1039">
        <v>34.475999999999999</v>
      </c>
      <c r="G1039">
        <v>33.326999999999998</v>
      </c>
      <c r="H1039">
        <v>34.765000000000001</v>
      </c>
      <c r="I1039" s="136">
        <v>40719</v>
      </c>
      <c r="J1039">
        <v>40.049999999999997</v>
      </c>
      <c r="K1039">
        <v>39.44</v>
      </c>
      <c r="L1039">
        <v>40.18</v>
      </c>
    </row>
    <row r="1040" spans="1:12">
      <c r="A1040" s="136">
        <v>40720</v>
      </c>
      <c r="B1040">
        <v>2515</v>
      </c>
      <c r="C1040">
        <v>2494</v>
      </c>
      <c r="D1040">
        <v>2525.5</v>
      </c>
      <c r="E1040" s="136">
        <v>40720</v>
      </c>
      <c r="F1040">
        <v>34.475999999999999</v>
      </c>
      <c r="G1040">
        <v>33.326999999999998</v>
      </c>
      <c r="H1040">
        <v>34.765000000000001</v>
      </c>
      <c r="I1040" s="136">
        <v>40720</v>
      </c>
      <c r="J1040">
        <v>40.049999999999997</v>
      </c>
      <c r="K1040">
        <v>39.44</v>
      </c>
      <c r="L1040">
        <v>40.18</v>
      </c>
    </row>
    <row r="1041" spans="1:12">
      <c r="A1041" s="136">
        <v>40721</v>
      </c>
      <c r="B1041">
        <v>2500</v>
      </c>
      <c r="C1041">
        <v>2482</v>
      </c>
      <c r="D1041">
        <v>2520</v>
      </c>
      <c r="E1041" s="136">
        <v>40721</v>
      </c>
      <c r="F1041">
        <v>33.497</v>
      </c>
      <c r="G1041">
        <v>32.859000000000002</v>
      </c>
      <c r="H1041">
        <v>33.816000000000003</v>
      </c>
      <c r="I1041" s="136">
        <v>40721</v>
      </c>
      <c r="J1041">
        <v>39.4</v>
      </c>
      <c r="K1041">
        <v>39.33</v>
      </c>
      <c r="L1041">
        <v>40.11</v>
      </c>
    </row>
    <row r="1042" spans="1:12">
      <c r="A1042" s="136">
        <v>40722</v>
      </c>
      <c r="B1042">
        <v>2515.25</v>
      </c>
      <c r="C1042">
        <v>2505.25</v>
      </c>
      <c r="D1042">
        <v>2533</v>
      </c>
      <c r="E1042" s="136">
        <v>40722</v>
      </c>
      <c r="F1042">
        <v>33.237000000000002</v>
      </c>
      <c r="G1042">
        <v>33.216000000000001</v>
      </c>
      <c r="H1042">
        <v>34.049999999999997</v>
      </c>
      <c r="I1042" s="136">
        <v>40722</v>
      </c>
      <c r="J1042">
        <v>40.07</v>
      </c>
      <c r="K1042">
        <v>39.24</v>
      </c>
      <c r="L1042">
        <v>40.07</v>
      </c>
    </row>
    <row r="1043" spans="1:12">
      <c r="A1043" s="136">
        <v>40723</v>
      </c>
      <c r="B1043">
        <v>2525</v>
      </c>
      <c r="C1043">
        <v>2514.75</v>
      </c>
      <c r="D1043">
        <v>2545</v>
      </c>
      <c r="E1043" s="136">
        <v>40723</v>
      </c>
      <c r="F1043">
        <v>33.978000000000002</v>
      </c>
      <c r="G1043">
        <v>33.880000000000003</v>
      </c>
      <c r="H1043">
        <v>34.582000000000001</v>
      </c>
      <c r="I1043" s="136">
        <v>40723</v>
      </c>
      <c r="J1043">
        <v>40.04</v>
      </c>
      <c r="K1043">
        <v>39.92</v>
      </c>
      <c r="L1043">
        <v>40.56</v>
      </c>
    </row>
    <row r="1044" spans="1:12">
      <c r="A1044" s="136">
        <v>40724</v>
      </c>
      <c r="B1044">
        <v>2540</v>
      </c>
      <c r="C1044">
        <v>2522</v>
      </c>
      <c r="D1044">
        <v>2555</v>
      </c>
      <c r="E1044" s="136">
        <v>40724</v>
      </c>
      <c r="F1044">
        <v>34.390999999999998</v>
      </c>
      <c r="G1044">
        <v>34.055</v>
      </c>
      <c r="H1044">
        <v>34.761000000000003</v>
      </c>
      <c r="I1044" s="136">
        <v>40724</v>
      </c>
      <c r="J1044">
        <v>40.72</v>
      </c>
      <c r="K1044">
        <v>40.369999999999997</v>
      </c>
      <c r="L1044">
        <v>41.07</v>
      </c>
    </row>
    <row r="1045" spans="1:12">
      <c r="A1045" s="136">
        <v>40725</v>
      </c>
      <c r="B1045">
        <v>2531</v>
      </c>
      <c r="C1045">
        <v>2500</v>
      </c>
      <c r="D1045">
        <v>2542</v>
      </c>
      <c r="E1045" s="136">
        <v>40725</v>
      </c>
      <c r="F1045">
        <v>34.689</v>
      </c>
      <c r="G1045">
        <v>34.578000000000003</v>
      </c>
      <c r="H1045">
        <v>35.838000000000001</v>
      </c>
      <c r="I1045" s="136">
        <v>40725</v>
      </c>
      <c r="J1045">
        <v>40.81</v>
      </c>
      <c r="K1045">
        <v>40.770000000000003</v>
      </c>
      <c r="L1045">
        <v>41.72</v>
      </c>
    </row>
    <row r="1046" spans="1:12">
      <c r="A1046" s="136">
        <v>40726</v>
      </c>
      <c r="B1046">
        <v>2531</v>
      </c>
      <c r="C1046">
        <v>2500</v>
      </c>
      <c r="D1046">
        <v>2542</v>
      </c>
      <c r="E1046" s="136">
        <v>40726</v>
      </c>
      <c r="F1046">
        <v>34.689</v>
      </c>
      <c r="G1046">
        <v>34.578000000000003</v>
      </c>
      <c r="H1046">
        <v>35.838000000000001</v>
      </c>
      <c r="I1046" s="136">
        <v>40726</v>
      </c>
      <c r="J1046">
        <v>40.81</v>
      </c>
      <c r="K1046">
        <v>40.770000000000003</v>
      </c>
      <c r="L1046">
        <v>41.72</v>
      </c>
    </row>
    <row r="1047" spans="1:12">
      <c r="A1047" s="136">
        <v>40727</v>
      </c>
      <c r="B1047">
        <v>2531</v>
      </c>
      <c r="C1047">
        <v>2500</v>
      </c>
      <c r="D1047">
        <v>2542</v>
      </c>
      <c r="E1047" s="136">
        <v>40727</v>
      </c>
      <c r="F1047">
        <v>34.689</v>
      </c>
      <c r="G1047">
        <v>34.578000000000003</v>
      </c>
      <c r="H1047">
        <v>35.838000000000001</v>
      </c>
      <c r="I1047" s="136">
        <v>40727</v>
      </c>
      <c r="J1047">
        <v>40.81</v>
      </c>
      <c r="K1047">
        <v>40.770000000000003</v>
      </c>
      <c r="L1047">
        <v>41.72</v>
      </c>
    </row>
    <row r="1048" spans="1:12">
      <c r="A1048" s="136">
        <v>40728</v>
      </c>
      <c r="B1048">
        <v>2510</v>
      </c>
      <c r="C1048">
        <v>2488</v>
      </c>
      <c r="D1048">
        <v>2520</v>
      </c>
      <c r="E1048" s="136">
        <v>40728</v>
      </c>
      <c r="F1048">
        <v>35.726999999999997</v>
      </c>
      <c r="G1048">
        <v>35.11</v>
      </c>
      <c r="H1048">
        <v>35.753</v>
      </c>
      <c r="I1048" s="136">
        <v>40728</v>
      </c>
      <c r="J1048">
        <v>40.81</v>
      </c>
      <c r="K1048">
        <v>40.770000000000003</v>
      </c>
      <c r="L1048">
        <v>41.72</v>
      </c>
    </row>
    <row r="1049" spans="1:12">
      <c r="A1049" s="136">
        <v>40729</v>
      </c>
      <c r="B1049">
        <v>2515</v>
      </c>
      <c r="C1049">
        <v>2496.25</v>
      </c>
      <c r="D1049">
        <v>2580</v>
      </c>
      <c r="E1049" s="136">
        <v>40729</v>
      </c>
      <c r="F1049">
        <v>35.326999999999998</v>
      </c>
      <c r="G1049">
        <v>34.719000000000001</v>
      </c>
      <c r="H1049">
        <v>35.420999999999999</v>
      </c>
      <c r="I1049" s="136">
        <v>40729</v>
      </c>
      <c r="J1049">
        <v>41.51</v>
      </c>
      <c r="K1049">
        <v>40.97</v>
      </c>
      <c r="L1049">
        <v>41.51</v>
      </c>
    </row>
    <row r="1050" spans="1:12">
      <c r="A1050" s="136">
        <v>40730</v>
      </c>
      <c r="B1050">
        <v>2574</v>
      </c>
      <c r="C1050">
        <v>2547</v>
      </c>
      <c r="D1050">
        <v>2582.5</v>
      </c>
      <c r="E1050" s="136">
        <v>40730</v>
      </c>
      <c r="F1050">
        <v>35.113999999999997</v>
      </c>
      <c r="G1050">
        <v>34.207999999999998</v>
      </c>
      <c r="H1050">
        <v>35.156999999999996</v>
      </c>
      <c r="I1050" s="136">
        <v>40730</v>
      </c>
      <c r="J1050">
        <v>40.590000000000003</v>
      </c>
      <c r="K1050">
        <v>40.18</v>
      </c>
      <c r="L1050">
        <v>40.65</v>
      </c>
    </row>
    <row r="1051" spans="1:12">
      <c r="A1051" s="136">
        <v>40731</v>
      </c>
      <c r="B1051">
        <v>2551.5</v>
      </c>
      <c r="C1051">
        <v>2546</v>
      </c>
      <c r="D1051">
        <v>2600</v>
      </c>
      <c r="E1051" s="136">
        <v>40731</v>
      </c>
      <c r="F1051">
        <v>34.777999999999999</v>
      </c>
      <c r="G1051">
        <v>34.523000000000003</v>
      </c>
      <c r="H1051">
        <v>35.616999999999997</v>
      </c>
      <c r="I1051" s="136">
        <v>40731</v>
      </c>
      <c r="J1051">
        <v>41.19</v>
      </c>
      <c r="K1051">
        <v>41.1</v>
      </c>
      <c r="L1051">
        <v>41.79</v>
      </c>
    </row>
    <row r="1052" spans="1:12">
      <c r="A1052" s="136">
        <v>40732</v>
      </c>
      <c r="B1052">
        <v>2588</v>
      </c>
      <c r="C1052">
        <v>2517</v>
      </c>
      <c r="D1052">
        <v>2593.75</v>
      </c>
      <c r="E1052" s="136">
        <v>40732</v>
      </c>
      <c r="F1052">
        <v>34.893000000000001</v>
      </c>
      <c r="G1052">
        <v>33.795000000000002</v>
      </c>
      <c r="H1052">
        <v>35.268000000000001</v>
      </c>
      <c r="I1052" s="136">
        <v>40732</v>
      </c>
      <c r="J1052">
        <v>40.700000000000003</v>
      </c>
      <c r="K1052">
        <v>40.56</v>
      </c>
      <c r="L1052">
        <v>40.97</v>
      </c>
    </row>
    <row r="1053" spans="1:12">
      <c r="A1053" s="136">
        <v>40733</v>
      </c>
      <c r="B1053">
        <v>2588</v>
      </c>
      <c r="C1053">
        <v>2517</v>
      </c>
      <c r="D1053">
        <v>2593.75</v>
      </c>
      <c r="E1053" s="136">
        <v>40733</v>
      </c>
      <c r="F1053">
        <v>34.893000000000001</v>
      </c>
      <c r="G1053">
        <v>33.795000000000002</v>
      </c>
      <c r="H1053">
        <v>35.268000000000001</v>
      </c>
      <c r="I1053" s="136">
        <v>40733</v>
      </c>
      <c r="J1053">
        <v>40.700000000000003</v>
      </c>
      <c r="K1053">
        <v>40.56</v>
      </c>
      <c r="L1053">
        <v>40.97</v>
      </c>
    </row>
    <row r="1054" spans="1:12">
      <c r="A1054" s="136">
        <v>40734</v>
      </c>
      <c r="B1054">
        <v>2588</v>
      </c>
      <c r="C1054">
        <v>2517</v>
      </c>
      <c r="D1054">
        <v>2593.75</v>
      </c>
      <c r="E1054" s="136">
        <v>40734</v>
      </c>
      <c r="F1054">
        <v>34.893000000000001</v>
      </c>
      <c r="G1054">
        <v>33.795000000000002</v>
      </c>
      <c r="H1054">
        <v>35.268000000000001</v>
      </c>
      <c r="I1054" s="136">
        <v>40734</v>
      </c>
      <c r="J1054">
        <v>40.700000000000003</v>
      </c>
      <c r="K1054">
        <v>40.56</v>
      </c>
      <c r="L1054">
        <v>40.97</v>
      </c>
    </row>
    <row r="1055" spans="1:12">
      <c r="A1055" s="136">
        <v>40735</v>
      </c>
      <c r="B1055">
        <v>2535</v>
      </c>
      <c r="C1055">
        <v>2464.75</v>
      </c>
      <c r="D1055">
        <v>2542</v>
      </c>
      <c r="E1055" s="136">
        <v>40735</v>
      </c>
      <c r="F1055">
        <v>33.795000000000002</v>
      </c>
      <c r="G1055">
        <v>32.305</v>
      </c>
      <c r="H1055">
        <v>33.845999999999997</v>
      </c>
      <c r="I1055" s="136">
        <v>40735</v>
      </c>
      <c r="J1055">
        <v>40.19</v>
      </c>
      <c r="K1055">
        <v>39.29</v>
      </c>
      <c r="L1055">
        <v>40.215000000000003</v>
      </c>
    </row>
    <row r="1056" spans="1:12">
      <c r="A1056" s="136">
        <v>40736</v>
      </c>
      <c r="B1056">
        <v>2485</v>
      </c>
      <c r="C1056">
        <v>2451</v>
      </c>
      <c r="D1056">
        <v>2499</v>
      </c>
      <c r="E1056" s="136">
        <v>40736</v>
      </c>
      <c r="F1056">
        <v>32.555999999999997</v>
      </c>
      <c r="G1056">
        <v>30.986000000000001</v>
      </c>
      <c r="H1056">
        <v>32.841999999999999</v>
      </c>
      <c r="I1056" s="136">
        <v>40736</v>
      </c>
      <c r="J1056">
        <v>39.24</v>
      </c>
      <c r="K1056">
        <v>39.24</v>
      </c>
      <c r="L1056">
        <v>40.119999999999997</v>
      </c>
    </row>
    <row r="1057" spans="1:12">
      <c r="A1057" s="136">
        <v>40737</v>
      </c>
      <c r="B1057">
        <v>2494</v>
      </c>
      <c r="C1057">
        <v>2473.5</v>
      </c>
      <c r="D1057">
        <v>2518.75</v>
      </c>
      <c r="E1057" s="136">
        <v>40737</v>
      </c>
      <c r="F1057">
        <v>32.441000000000003</v>
      </c>
      <c r="G1057">
        <v>31.542999999999999</v>
      </c>
      <c r="H1057">
        <v>32.646000000000001</v>
      </c>
      <c r="I1057" s="136">
        <v>40737</v>
      </c>
      <c r="J1057">
        <v>39.67</v>
      </c>
      <c r="K1057">
        <v>39.409999999999997</v>
      </c>
      <c r="L1057">
        <v>40.369999999999997</v>
      </c>
    </row>
    <row r="1058" spans="1:12">
      <c r="A1058" s="136">
        <v>40738</v>
      </c>
      <c r="B1058">
        <v>2507.5</v>
      </c>
      <c r="C1058">
        <v>2501</v>
      </c>
      <c r="D1058">
        <v>2528</v>
      </c>
      <c r="E1058" s="136">
        <v>40738</v>
      </c>
      <c r="F1058">
        <v>31.922000000000001</v>
      </c>
      <c r="G1058">
        <v>31.548000000000002</v>
      </c>
      <c r="H1058">
        <v>32.331000000000003</v>
      </c>
      <c r="I1058" s="136">
        <v>40738</v>
      </c>
      <c r="J1058">
        <v>41.18</v>
      </c>
      <c r="K1058">
        <v>40.29</v>
      </c>
      <c r="L1058">
        <v>41.24</v>
      </c>
    </row>
    <row r="1059" spans="1:12">
      <c r="A1059" s="136">
        <v>40739</v>
      </c>
      <c r="B1059">
        <v>2505</v>
      </c>
      <c r="C1059">
        <v>2472</v>
      </c>
      <c r="D1059">
        <v>2514</v>
      </c>
      <c r="E1059" s="136">
        <v>40739</v>
      </c>
      <c r="F1059">
        <v>31.934999999999999</v>
      </c>
      <c r="G1059">
        <v>31.326000000000001</v>
      </c>
      <c r="H1059">
        <v>32.049999999999997</v>
      </c>
      <c r="I1059" s="136">
        <v>40739</v>
      </c>
      <c r="J1059">
        <v>40.61</v>
      </c>
      <c r="K1059">
        <v>39.5</v>
      </c>
      <c r="L1059">
        <v>40.75</v>
      </c>
    </row>
    <row r="1060" spans="1:12">
      <c r="A1060" s="136">
        <v>40740</v>
      </c>
      <c r="B1060">
        <v>2505</v>
      </c>
      <c r="C1060">
        <v>2472</v>
      </c>
      <c r="D1060">
        <v>2514</v>
      </c>
      <c r="E1060" s="136">
        <v>40740</v>
      </c>
      <c r="F1060">
        <v>31.934999999999999</v>
      </c>
      <c r="G1060">
        <v>31.326000000000001</v>
      </c>
      <c r="H1060">
        <v>32.049999999999997</v>
      </c>
      <c r="I1060" s="136">
        <v>40740</v>
      </c>
      <c r="J1060">
        <v>40.61</v>
      </c>
      <c r="K1060">
        <v>39.5</v>
      </c>
      <c r="L1060">
        <v>40.75</v>
      </c>
    </row>
    <row r="1061" spans="1:12">
      <c r="A1061" s="136">
        <v>40741</v>
      </c>
      <c r="B1061">
        <v>2505</v>
      </c>
      <c r="C1061">
        <v>2472</v>
      </c>
      <c r="D1061">
        <v>2514</v>
      </c>
      <c r="E1061" s="136">
        <v>40741</v>
      </c>
      <c r="F1061">
        <v>31.934999999999999</v>
      </c>
      <c r="G1061">
        <v>31.326000000000001</v>
      </c>
      <c r="H1061">
        <v>32.049999999999997</v>
      </c>
      <c r="I1061" s="136">
        <v>40741</v>
      </c>
      <c r="J1061">
        <v>40.61</v>
      </c>
      <c r="K1061">
        <v>39.5</v>
      </c>
      <c r="L1061">
        <v>40.75</v>
      </c>
    </row>
    <row r="1062" spans="1:12">
      <c r="A1062" s="136">
        <v>40742</v>
      </c>
      <c r="B1062">
        <v>2500</v>
      </c>
      <c r="C1062">
        <v>2472.5</v>
      </c>
      <c r="D1062">
        <v>2505</v>
      </c>
      <c r="E1062" s="136">
        <v>40742</v>
      </c>
      <c r="F1062">
        <v>31.42</v>
      </c>
      <c r="G1062">
        <v>30.356000000000002</v>
      </c>
      <c r="H1062">
        <v>31.632999999999999</v>
      </c>
      <c r="I1062" s="136">
        <v>40742</v>
      </c>
      <c r="J1062">
        <v>39.79</v>
      </c>
      <c r="K1062">
        <v>38.93</v>
      </c>
      <c r="L1062">
        <v>40</v>
      </c>
    </row>
    <row r="1063" spans="1:12">
      <c r="A1063" s="136">
        <v>40743</v>
      </c>
      <c r="B1063">
        <v>2495</v>
      </c>
      <c r="C1063">
        <v>2493.75</v>
      </c>
      <c r="D1063">
        <v>2552.5</v>
      </c>
      <c r="E1063" s="136">
        <v>40743</v>
      </c>
      <c r="F1063">
        <v>30.606999999999999</v>
      </c>
      <c r="G1063">
        <v>30.509</v>
      </c>
      <c r="H1063">
        <v>31.616</v>
      </c>
      <c r="I1063" s="136">
        <v>40743</v>
      </c>
      <c r="J1063">
        <v>39.92</v>
      </c>
      <c r="K1063">
        <v>39.71</v>
      </c>
      <c r="L1063">
        <v>40.49</v>
      </c>
    </row>
    <row r="1064" spans="1:12">
      <c r="A1064" s="136">
        <v>40744</v>
      </c>
      <c r="B1064">
        <v>2552</v>
      </c>
      <c r="C1064">
        <v>2530</v>
      </c>
      <c r="D1064">
        <v>2558.5</v>
      </c>
      <c r="E1064" s="136">
        <v>40744</v>
      </c>
      <c r="F1064">
        <v>31.326000000000001</v>
      </c>
      <c r="G1064">
        <v>31.326000000000001</v>
      </c>
      <c r="H1064">
        <v>32.347999999999999</v>
      </c>
      <c r="I1064" s="136">
        <v>40744</v>
      </c>
      <c r="J1064">
        <v>40.69</v>
      </c>
      <c r="K1064">
        <v>40.619999999999997</v>
      </c>
      <c r="L1064">
        <v>41.354999999999997</v>
      </c>
    </row>
    <row r="1065" spans="1:12">
      <c r="A1065" s="136">
        <v>40745</v>
      </c>
      <c r="B1065">
        <v>2534</v>
      </c>
      <c r="C1065">
        <v>2499</v>
      </c>
      <c r="D1065">
        <v>2546</v>
      </c>
      <c r="E1065" s="136">
        <v>40745</v>
      </c>
      <c r="F1065">
        <v>32.075000000000003</v>
      </c>
      <c r="G1065">
        <v>31.45</v>
      </c>
      <c r="H1065">
        <v>33.607999999999997</v>
      </c>
      <c r="I1065" s="136">
        <v>40745</v>
      </c>
      <c r="J1065">
        <v>41.57</v>
      </c>
      <c r="K1065">
        <v>41.23</v>
      </c>
      <c r="L1065">
        <v>42.55</v>
      </c>
    </row>
    <row r="1066" spans="1:12">
      <c r="A1066" s="136">
        <v>40746</v>
      </c>
      <c r="B1066">
        <v>2537.5</v>
      </c>
      <c r="C1066">
        <v>2535</v>
      </c>
      <c r="D1066">
        <v>2597</v>
      </c>
      <c r="E1066" s="136">
        <v>40746</v>
      </c>
      <c r="F1066">
        <v>33.454000000000001</v>
      </c>
      <c r="G1066">
        <v>32.488</v>
      </c>
      <c r="H1066">
        <v>33.927</v>
      </c>
      <c r="I1066" s="136">
        <v>40746</v>
      </c>
      <c r="J1066">
        <v>42.27</v>
      </c>
      <c r="K1066">
        <v>41.76</v>
      </c>
      <c r="L1066">
        <v>42.32</v>
      </c>
    </row>
    <row r="1067" spans="1:12">
      <c r="A1067" s="136">
        <v>40747</v>
      </c>
      <c r="B1067">
        <v>2537.5</v>
      </c>
      <c r="C1067">
        <v>2535</v>
      </c>
      <c r="D1067">
        <v>2597</v>
      </c>
      <c r="E1067" s="136">
        <v>40747</v>
      </c>
      <c r="F1067">
        <v>33.454000000000001</v>
      </c>
      <c r="G1067">
        <v>32.488</v>
      </c>
      <c r="H1067">
        <v>33.927</v>
      </c>
      <c r="I1067" s="136">
        <v>40747</v>
      </c>
      <c r="J1067">
        <v>42.27</v>
      </c>
      <c r="K1067">
        <v>41.76</v>
      </c>
      <c r="L1067">
        <v>42.32</v>
      </c>
    </row>
    <row r="1068" spans="1:12">
      <c r="A1068" s="136">
        <v>40748</v>
      </c>
      <c r="B1068">
        <v>2537.5</v>
      </c>
      <c r="C1068">
        <v>2535</v>
      </c>
      <c r="D1068">
        <v>2597</v>
      </c>
      <c r="E1068" s="136">
        <v>40748</v>
      </c>
      <c r="F1068">
        <v>33.454000000000001</v>
      </c>
      <c r="G1068">
        <v>32.488</v>
      </c>
      <c r="H1068">
        <v>33.927</v>
      </c>
      <c r="I1068" s="136">
        <v>40748</v>
      </c>
      <c r="J1068">
        <v>42.27</v>
      </c>
      <c r="K1068">
        <v>41.76</v>
      </c>
      <c r="L1068">
        <v>42.32</v>
      </c>
    </row>
    <row r="1069" spans="1:12">
      <c r="A1069" s="136">
        <v>40749</v>
      </c>
      <c r="B1069">
        <v>2585</v>
      </c>
      <c r="C1069">
        <v>2568</v>
      </c>
      <c r="D1069">
        <v>2624</v>
      </c>
      <c r="E1069" s="136">
        <v>40749</v>
      </c>
      <c r="F1069">
        <v>32.985999999999997</v>
      </c>
      <c r="G1069">
        <v>32.372999999999998</v>
      </c>
      <c r="H1069">
        <v>33.454000000000001</v>
      </c>
      <c r="I1069" s="136">
        <v>40749</v>
      </c>
      <c r="J1069">
        <v>41.52</v>
      </c>
      <c r="K1069">
        <v>41.29</v>
      </c>
      <c r="L1069">
        <v>41.91</v>
      </c>
    </row>
    <row r="1070" spans="1:12">
      <c r="A1070" s="136">
        <v>40750</v>
      </c>
      <c r="B1070">
        <v>2613</v>
      </c>
      <c r="C1070">
        <v>2610.5</v>
      </c>
      <c r="D1070">
        <v>2659</v>
      </c>
      <c r="E1070" s="136">
        <v>40750</v>
      </c>
      <c r="F1070">
        <v>32.177999999999997</v>
      </c>
      <c r="G1070">
        <v>32.006999999999998</v>
      </c>
      <c r="H1070">
        <v>33.198999999999998</v>
      </c>
      <c r="I1070" s="136">
        <v>40750</v>
      </c>
      <c r="J1070">
        <v>41.5</v>
      </c>
      <c r="K1070">
        <v>41.29</v>
      </c>
      <c r="L1070">
        <v>41.79</v>
      </c>
    </row>
    <row r="1071" spans="1:12">
      <c r="A1071" s="136">
        <v>40751</v>
      </c>
      <c r="B1071">
        <v>2644</v>
      </c>
      <c r="C1071">
        <v>2626</v>
      </c>
      <c r="D1071">
        <v>2675.25</v>
      </c>
      <c r="E1071" s="136">
        <v>40751</v>
      </c>
      <c r="F1071">
        <v>32.662999999999997</v>
      </c>
      <c r="G1071">
        <v>31.960999999999999</v>
      </c>
      <c r="H1071">
        <v>32.68</v>
      </c>
      <c r="I1071" s="136">
        <v>40751</v>
      </c>
      <c r="J1071">
        <v>41.2</v>
      </c>
      <c r="K1071">
        <v>40.590000000000003</v>
      </c>
      <c r="L1071">
        <v>41.4</v>
      </c>
    </row>
    <row r="1072" spans="1:12">
      <c r="A1072" s="136">
        <v>40752</v>
      </c>
      <c r="B1072">
        <v>2632</v>
      </c>
      <c r="C1072">
        <v>2625</v>
      </c>
      <c r="D1072">
        <v>2662.25</v>
      </c>
      <c r="E1072" s="136">
        <v>40752</v>
      </c>
      <c r="F1072">
        <v>32.006999999999998</v>
      </c>
      <c r="G1072">
        <v>31.670999999999999</v>
      </c>
      <c r="H1072">
        <v>32.798999999999999</v>
      </c>
      <c r="I1072" s="136">
        <v>40752</v>
      </c>
      <c r="J1072">
        <v>40.69</v>
      </c>
      <c r="K1072">
        <v>40.619999999999997</v>
      </c>
      <c r="L1072">
        <v>41.24</v>
      </c>
    </row>
    <row r="1073" spans="1:12">
      <c r="A1073" s="136">
        <v>40753</v>
      </c>
      <c r="B1073">
        <v>2640</v>
      </c>
      <c r="C1073">
        <v>2602.5</v>
      </c>
      <c r="D1073">
        <v>2647</v>
      </c>
      <c r="E1073" s="136">
        <v>40753</v>
      </c>
      <c r="F1073">
        <v>32.177999999999997</v>
      </c>
      <c r="G1073">
        <v>31.922000000000001</v>
      </c>
      <c r="H1073">
        <v>32.981999999999999</v>
      </c>
      <c r="I1073" s="136">
        <v>40753</v>
      </c>
      <c r="J1073">
        <v>40.24</v>
      </c>
      <c r="K1073">
        <v>39.9</v>
      </c>
      <c r="L1073">
        <v>40.75</v>
      </c>
    </row>
    <row r="1074" spans="1:12">
      <c r="A1074" s="136">
        <v>40754</v>
      </c>
      <c r="B1074">
        <v>2640</v>
      </c>
      <c r="C1074">
        <v>2602.5</v>
      </c>
      <c r="D1074">
        <v>2647</v>
      </c>
      <c r="E1074" s="136">
        <v>40754</v>
      </c>
      <c r="F1074">
        <v>32.177999999999997</v>
      </c>
      <c r="G1074">
        <v>31.922000000000001</v>
      </c>
      <c r="H1074">
        <v>32.981999999999999</v>
      </c>
      <c r="I1074" s="136">
        <v>40754</v>
      </c>
      <c r="J1074">
        <v>40.24</v>
      </c>
      <c r="K1074">
        <v>39.9</v>
      </c>
      <c r="L1074">
        <v>40.75</v>
      </c>
    </row>
    <row r="1075" spans="1:12">
      <c r="A1075" s="136">
        <v>40755</v>
      </c>
      <c r="B1075">
        <v>2640</v>
      </c>
      <c r="C1075">
        <v>2602.5</v>
      </c>
      <c r="D1075">
        <v>2647</v>
      </c>
      <c r="E1075" s="136">
        <v>40755</v>
      </c>
      <c r="F1075">
        <v>32.177999999999997</v>
      </c>
      <c r="G1075">
        <v>31.922000000000001</v>
      </c>
      <c r="H1075">
        <v>32.981999999999999</v>
      </c>
      <c r="I1075" s="136">
        <v>40755</v>
      </c>
      <c r="J1075">
        <v>40.24</v>
      </c>
      <c r="K1075">
        <v>39.9</v>
      </c>
      <c r="L1075">
        <v>40.75</v>
      </c>
    </row>
    <row r="1076" spans="1:12">
      <c r="A1076" s="136">
        <v>40756</v>
      </c>
      <c r="B1076">
        <v>2630</v>
      </c>
      <c r="C1076">
        <v>2583</v>
      </c>
      <c r="D1076">
        <v>2666</v>
      </c>
      <c r="E1076" s="136">
        <v>40756</v>
      </c>
      <c r="F1076">
        <v>33.795000000000002</v>
      </c>
      <c r="G1076">
        <v>31.181999999999999</v>
      </c>
      <c r="H1076">
        <v>34.072000000000003</v>
      </c>
      <c r="I1076" s="136">
        <v>40756</v>
      </c>
      <c r="J1076">
        <v>41.16</v>
      </c>
      <c r="K1076">
        <v>39.96</v>
      </c>
      <c r="L1076">
        <v>41.37</v>
      </c>
    </row>
    <row r="1077" spans="1:12">
      <c r="A1077" s="136">
        <v>40757</v>
      </c>
      <c r="B1077">
        <v>2590</v>
      </c>
      <c r="C1077">
        <v>2560</v>
      </c>
      <c r="D1077">
        <v>2598</v>
      </c>
      <c r="E1077" s="136">
        <v>40757</v>
      </c>
      <c r="F1077">
        <v>31.658000000000001</v>
      </c>
      <c r="G1077">
        <v>30.484000000000002</v>
      </c>
      <c r="H1077">
        <v>31.812000000000001</v>
      </c>
      <c r="I1077" s="136">
        <v>40757</v>
      </c>
      <c r="J1077">
        <v>40.1</v>
      </c>
      <c r="K1077">
        <v>39.840000000000003</v>
      </c>
      <c r="L1077">
        <v>40.380000000000003</v>
      </c>
    </row>
    <row r="1078" spans="1:12">
      <c r="A1078" s="136">
        <v>40758</v>
      </c>
      <c r="B1078">
        <v>2573.5</v>
      </c>
      <c r="C1078">
        <v>2521</v>
      </c>
      <c r="D1078">
        <v>2589</v>
      </c>
      <c r="E1078" s="136">
        <v>40758</v>
      </c>
      <c r="F1078">
        <v>30.475000000000001</v>
      </c>
      <c r="G1078">
        <v>29.347000000000001</v>
      </c>
      <c r="H1078">
        <v>31.091999999999999</v>
      </c>
      <c r="I1078" s="136">
        <v>40758</v>
      </c>
      <c r="J1078">
        <v>39.76</v>
      </c>
      <c r="K1078">
        <v>39.344999999999999</v>
      </c>
      <c r="L1078">
        <v>40.020000000000003</v>
      </c>
    </row>
    <row r="1079" spans="1:12">
      <c r="A1079" s="136">
        <v>40759</v>
      </c>
      <c r="B1079">
        <v>2535</v>
      </c>
      <c r="C1079">
        <v>2475.75</v>
      </c>
      <c r="D1079">
        <v>2547.5</v>
      </c>
      <c r="E1079" s="136">
        <v>40759</v>
      </c>
      <c r="F1079">
        <v>30.645</v>
      </c>
      <c r="G1079">
        <v>28.381</v>
      </c>
      <c r="H1079">
        <v>30.901</v>
      </c>
      <c r="I1079" s="136">
        <v>40759</v>
      </c>
      <c r="J1079">
        <v>39.31</v>
      </c>
      <c r="K1079">
        <v>37.82</v>
      </c>
      <c r="L1079">
        <v>39.590000000000003</v>
      </c>
    </row>
    <row r="1080" spans="1:12">
      <c r="A1080" s="136">
        <v>40760</v>
      </c>
      <c r="B1080">
        <v>2493</v>
      </c>
      <c r="C1080">
        <v>2400</v>
      </c>
      <c r="D1080">
        <v>2495</v>
      </c>
      <c r="E1080" s="136">
        <v>40760</v>
      </c>
      <c r="F1080">
        <v>27.146999999999998</v>
      </c>
      <c r="G1080">
        <v>25.963000000000001</v>
      </c>
      <c r="H1080">
        <v>29.411000000000001</v>
      </c>
      <c r="I1080" s="136">
        <v>40760</v>
      </c>
      <c r="J1080">
        <v>38.299999999999997</v>
      </c>
      <c r="K1080">
        <v>36.72</v>
      </c>
      <c r="L1080">
        <v>38.75</v>
      </c>
    </row>
    <row r="1081" spans="1:12">
      <c r="A1081" s="136">
        <v>40761</v>
      </c>
      <c r="B1081">
        <v>2493</v>
      </c>
      <c r="C1081">
        <v>2400</v>
      </c>
      <c r="D1081">
        <v>2495</v>
      </c>
      <c r="E1081" s="136">
        <v>40761</v>
      </c>
      <c r="F1081">
        <v>27.146999999999998</v>
      </c>
      <c r="G1081">
        <v>25.963000000000001</v>
      </c>
      <c r="H1081">
        <v>29.411000000000001</v>
      </c>
      <c r="I1081" s="136">
        <v>40761</v>
      </c>
      <c r="J1081">
        <v>38.299999999999997</v>
      </c>
      <c r="K1081">
        <v>36.72</v>
      </c>
      <c r="L1081">
        <v>38.75</v>
      </c>
    </row>
    <row r="1082" spans="1:12">
      <c r="A1082" s="136">
        <v>40762</v>
      </c>
      <c r="B1082">
        <v>2493</v>
      </c>
      <c r="C1082">
        <v>2400</v>
      </c>
      <c r="D1082">
        <v>2495</v>
      </c>
      <c r="E1082" s="136">
        <v>40762</v>
      </c>
      <c r="F1082">
        <v>27.146999999999998</v>
      </c>
      <c r="G1082">
        <v>25.963000000000001</v>
      </c>
      <c r="H1082">
        <v>29.411000000000001</v>
      </c>
      <c r="I1082" s="136">
        <v>40762</v>
      </c>
      <c r="J1082">
        <v>38.299999999999997</v>
      </c>
      <c r="K1082">
        <v>36.72</v>
      </c>
      <c r="L1082">
        <v>38.75</v>
      </c>
    </row>
    <row r="1083" spans="1:12">
      <c r="A1083" s="136">
        <v>40763</v>
      </c>
      <c r="B1083">
        <v>2428.25</v>
      </c>
      <c r="C1083">
        <v>2382</v>
      </c>
      <c r="D1083">
        <v>2442.5</v>
      </c>
      <c r="E1083" s="136">
        <v>40763</v>
      </c>
      <c r="F1083">
        <v>26.474</v>
      </c>
      <c r="G1083">
        <v>25.963000000000001</v>
      </c>
      <c r="H1083">
        <v>29.454000000000001</v>
      </c>
      <c r="I1083" s="136">
        <v>40763</v>
      </c>
      <c r="J1083">
        <v>36.229999999999997</v>
      </c>
      <c r="K1083">
        <v>33.69</v>
      </c>
      <c r="L1083">
        <v>37.72</v>
      </c>
    </row>
    <row r="1084" spans="1:12">
      <c r="A1084" s="136">
        <v>40764</v>
      </c>
      <c r="B1084">
        <v>2389</v>
      </c>
      <c r="C1084">
        <v>2363.25</v>
      </c>
      <c r="D1084">
        <v>2440</v>
      </c>
      <c r="E1084" s="136">
        <v>40764</v>
      </c>
      <c r="F1084">
        <v>25.946000000000002</v>
      </c>
      <c r="G1084">
        <v>25.231000000000002</v>
      </c>
      <c r="H1084">
        <v>27.67</v>
      </c>
      <c r="I1084" s="136">
        <v>40764</v>
      </c>
      <c r="J1084">
        <v>35.380000000000003</v>
      </c>
      <c r="K1084">
        <v>33.69</v>
      </c>
      <c r="L1084">
        <v>36.5901</v>
      </c>
    </row>
    <row r="1085" spans="1:12">
      <c r="A1085" s="136">
        <v>40765</v>
      </c>
      <c r="B1085">
        <v>2430</v>
      </c>
      <c r="C1085">
        <v>2390</v>
      </c>
      <c r="D1085">
        <v>2445</v>
      </c>
      <c r="E1085" s="136">
        <v>40765</v>
      </c>
      <c r="F1085">
        <v>27.581</v>
      </c>
      <c r="G1085">
        <v>23.21</v>
      </c>
      <c r="H1085">
        <v>28.274999999999999</v>
      </c>
      <c r="I1085" s="136">
        <v>40765</v>
      </c>
      <c r="J1085">
        <v>35.520000000000003</v>
      </c>
      <c r="K1085">
        <v>33.9846</v>
      </c>
      <c r="L1085">
        <v>35.85</v>
      </c>
    </row>
    <row r="1086" spans="1:12">
      <c r="A1086" s="136">
        <v>40766</v>
      </c>
      <c r="B1086">
        <v>2393</v>
      </c>
      <c r="C1086">
        <v>2392</v>
      </c>
      <c r="D1086">
        <v>2428.25</v>
      </c>
      <c r="E1086" s="136">
        <v>40766</v>
      </c>
      <c r="F1086">
        <v>25.116</v>
      </c>
      <c r="G1086">
        <v>23.231000000000002</v>
      </c>
      <c r="H1086">
        <v>25.606000000000002</v>
      </c>
      <c r="I1086" s="136">
        <v>40766</v>
      </c>
      <c r="J1086">
        <v>34.630000000000003</v>
      </c>
      <c r="K1086">
        <v>34.630000000000003</v>
      </c>
      <c r="L1086">
        <v>37.299999999999997</v>
      </c>
    </row>
    <row r="1087" spans="1:12">
      <c r="A1087" s="136">
        <v>40767</v>
      </c>
      <c r="B1087">
        <v>2430</v>
      </c>
      <c r="C1087">
        <v>2399</v>
      </c>
      <c r="D1087">
        <v>2436</v>
      </c>
      <c r="E1087" s="136">
        <v>40767</v>
      </c>
      <c r="F1087">
        <v>25.495000000000001</v>
      </c>
      <c r="G1087">
        <v>24.303000000000001</v>
      </c>
      <c r="H1087">
        <v>26.286999999999999</v>
      </c>
      <c r="I1087" s="136">
        <v>40767</v>
      </c>
      <c r="J1087">
        <v>37.130000000000003</v>
      </c>
      <c r="K1087">
        <v>35.58</v>
      </c>
      <c r="L1087">
        <v>37.85</v>
      </c>
    </row>
    <row r="1088" spans="1:12">
      <c r="A1088" s="136">
        <v>40768</v>
      </c>
      <c r="B1088">
        <v>2430</v>
      </c>
      <c r="C1088">
        <v>2399</v>
      </c>
      <c r="D1088">
        <v>2436</v>
      </c>
      <c r="E1088" s="136">
        <v>40768</v>
      </c>
      <c r="F1088">
        <v>25.495000000000001</v>
      </c>
      <c r="G1088">
        <v>24.303000000000001</v>
      </c>
      <c r="H1088">
        <v>26.286999999999999</v>
      </c>
      <c r="I1088" s="136">
        <v>40768</v>
      </c>
      <c r="J1088">
        <v>37.130000000000003</v>
      </c>
      <c r="K1088">
        <v>35.58</v>
      </c>
      <c r="L1088">
        <v>37.85</v>
      </c>
    </row>
    <row r="1089" spans="1:12">
      <c r="A1089" s="136">
        <v>40769</v>
      </c>
      <c r="B1089">
        <v>2430</v>
      </c>
      <c r="C1089">
        <v>2399</v>
      </c>
      <c r="D1089">
        <v>2436</v>
      </c>
      <c r="E1089" s="136">
        <v>40769</v>
      </c>
      <c r="F1089">
        <v>25.495000000000001</v>
      </c>
      <c r="G1089">
        <v>24.303000000000001</v>
      </c>
      <c r="H1089">
        <v>26.286999999999999</v>
      </c>
      <c r="I1089" s="136">
        <v>40769</v>
      </c>
      <c r="J1089">
        <v>37.130000000000003</v>
      </c>
      <c r="K1089">
        <v>35.58</v>
      </c>
      <c r="L1089">
        <v>37.85</v>
      </c>
    </row>
    <row r="1090" spans="1:12">
      <c r="A1090" s="136">
        <v>40770</v>
      </c>
      <c r="B1090">
        <v>2405</v>
      </c>
      <c r="C1090">
        <v>2366</v>
      </c>
      <c r="D1090">
        <v>2414.75</v>
      </c>
      <c r="E1090" s="136">
        <v>40770</v>
      </c>
      <c r="F1090">
        <v>26.550999999999998</v>
      </c>
      <c r="G1090">
        <v>25.98</v>
      </c>
      <c r="H1090">
        <v>26.751000000000001</v>
      </c>
      <c r="I1090" s="136">
        <v>40770</v>
      </c>
      <c r="J1090">
        <v>36.53</v>
      </c>
      <c r="K1090">
        <v>36.39</v>
      </c>
      <c r="L1090">
        <v>37.14</v>
      </c>
    </row>
    <row r="1091" spans="1:12">
      <c r="A1091" s="136">
        <v>40771</v>
      </c>
      <c r="B1091">
        <v>2390</v>
      </c>
      <c r="C1091">
        <v>2365.5</v>
      </c>
      <c r="D1091">
        <v>2392</v>
      </c>
      <c r="E1091" s="136">
        <v>40771</v>
      </c>
      <c r="F1091">
        <v>26.555</v>
      </c>
      <c r="G1091">
        <v>25.419</v>
      </c>
      <c r="H1091">
        <v>26.815000000000001</v>
      </c>
      <c r="I1091" s="136">
        <v>40771</v>
      </c>
      <c r="J1091">
        <v>36.270000000000003</v>
      </c>
      <c r="K1091">
        <v>35.770000000000003</v>
      </c>
      <c r="L1091">
        <v>36.57</v>
      </c>
    </row>
    <row r="1092" spans="1:12">
      <c r="A1092" s="136">
        <v>40772</v>
      </c>
      <c r="B1092">
        <v>2370</v>
      </c>
      <c r="C1092">
        <v>2361</v>
      </c>
      <c r="D1092">
        <v>2420</v>
      </c>
      <c r="E1092" s="136">
        <v>40772</v>
      </c>
      <c r="F1092">
        <v>25.878</v>
      </c>
      <c r="G1092">
        <v>24.942</v>
      </c>
      <c r="H1092">
        <v>25.963000000000001</v>
      </c>
      <c r="I1092" s="136">
        <v>40772</v>
      </c>
      <c r="J1092">
        <v>36.46</v>
      </c>
      <c r="K1092">
        <v>36.32</v>
      </c>
      <c r="L1092">
        <v>37.26</v>
      </c>
    </row>
    <row r="1093" spans="1:12">
      <c r="A1093" s="136">
        <v>40773</v>
      </c>
      <c r="B1093">
        <v>2398</v>
      </c>
      <c r="C1093">
        <v>2337</v>
      </c>
      <c r="D1093">
        <v>2416</v>
      </c>
      <c r="E1093" s="136">
        <v>40773</v>
      </c>
      <c r="F1093">
        <v>25.341999999999999</v>
      </c>
      <c r="G1093">
        <v>23.434999999999999</v>
      </c>
      <c r="H1093">
        <v>25.341999999999999</v>
      </c>
      <c r="I1093" s="136">
        <v>40773</v>
      </c>
      <c r="J1093">
        <v>35.270000000000003</v>
      </c>
      <c r="K1093">
        <v>34.5</v>
      </c>
      <c r="L1093">
        <v>35.47</v>
      </c>
    </row>
    <row r="1094" spans="1:12">
      <c r="A1094" s="136">
        <v>40774</v>
      </c>
      <c r="B1094">
        <v>2340</v>
      </c>
      <c r="C1094">
        <v>2323</v>
      </c>
      <c r="D1094">
        <v>2372.5</v>
      </c>
      <c r="E1094" s="136">
        <v>40774</v>
      </c>
      <c r="F1094">
        <v>23.664999999999999</v>
      </c>
      <c r="G1094">
        <v>22.303000000000001</v>
      </c>
      <c r="H1094">
        <v>23.895</v>
      </c>
      <c r="I1094" s="136">
        <v>40774</v>
      </c>
      <c r="J1094">
        <v>34.76</v>
      </c>
      <c r="K1094">
        <v>34.26</v>
      </c>
      <c r="L1094">
        <v>35.5</v>
      </c>
    </row>
    <row r="1095" spans="1:12">
      <c r="A1095" s="136">
        <v>40775</v>
      </c>
      <c r="B1095">
        <v>2340</v>
      </c>
      <c r="C1095">
        <v>2323</v>
      </c>
      <c r="D1095">
        <v>2372.5</v>
      </c>
      <c r="E1095" s="136">
        <v>40775</v>
      </c>
      <c r="F1095">
        <v>23.664999999999999</v>
      </c>
      <c r="G1095">
        <v>22.303000000000001</v>
      </c>
      <c r="H1095">
        <v>23.895</v>
      </c>
      <c r="I1095" s="136">
        <v>40775</v>
      </c>
      <c r="J1095">
        <v>34.76</v>
      </c>
      <c r="K1095">
        <v>34.26</v>
      </c>
      <c r="L1095">
        <v>35.5</v>
      </c>
    </row>
    <row r="1096" spans="1:12">
      <c r="A1096" s="136">
        <v>40776</v>
      </c>
      <c r="B1096">
        <v>2340</v>
      </c>
      <c r="C1096">
        <v>2323</v>
      </c>
      <c r="D1096">
        <v>2372.5</v>
      </c>
      <c r="E1096" s="136">
        <v>40776</v>
      </c>
      <c r="F1096">
        <v>23.664999999999999</v>
      </c>
      <c r="G1096">
        <v>22.303000000000001</v>
      </c>
      <c r="H1096">
        <v>23.895</v>
      </c>
      <c r="I1096" s="136">
        <v>40776</v>
      </c>
      <c r="J1096">
        <v>34.76</v>
      </c>
      <c r="K1096">
        <v>34.26</v>
      </c>
      <c r="L1096">
        <v>35.5</v>
      </c>
    </row>
    <row r="1097" spans="1:12">
      <c r="A1097" s="136">
        <v>40777</v>
      </c>
      <c r="B1097">
        <v>2350</v>
      </c>
      <c r="C1097">
        <v>2333</v>
      </c>
      <c r="D1097">
        <v>2372</v>
      </c>
      <c r="E1097" s="136">
        <v>40777</v>
      </c>
      <c r="F1097">
        <v>22.856000000000002</v>
      </c>
      <c r="G1097">
        <v>22.558</v>
      </c>
      <c r="H1097">
        <v>23.41</v>
      </c>
      <c r="I1097" s="136">
        <v>40777</v>
      </c>
      <c r="J1097">
        <v>35.119999999999997</v>
      </c>
      <c r="K1097">
        <v>33.35</v>
      </c>
      <c r="L1097">
        <v>35.18</v>
      </c>
    </row>
    <row r="1098" spans="1:12">
      <c r="A1098" s="136">
        <v>40778</v>
      </c>
      <c r="B1098">
        <v>2342</v>
      </c>
      <c r="C1098">
        <v>2342</v>
      </c>
      <c r="D1098">
        <v>2384.5</v>
      </c>
      <c r="E1098" s="136">
        <v>40778</v>
      </c>
      <c r="F1098">
        <v>23.068999999999999</v>
      </c>
      <c r="G1098">
        <v>22.341000000000001</v>
      </c>
      <c r="H1098">
        <v>23.41</v>
      </c>
      <c r="I1098" s="136">
        <v>40778</v>
      </c>
      <c r="J1098">
        <v>33.29</v>
      </c>
      <c r="K1098">
        <v>32.31</v>
      </c>
      <c r="L1098">
        <v>34.799999999999997</v>
      </c>
    </row>
    <row r="1099" spans="1:12">
      <c r="A1099" s="136">
        <v>40779</v>
      </c>
      <c r="B1099">
        <v>2380</v>
      </c>
      <c r="C1099">
        <v>2354</v>
      </c>
      <c r="D1099">
        <v>2385.75</v>
      </c>
      <c r="E1099" s="136">
        <v>40779</v>
      </c>
      <c r="F1099">
        <v>22.984000000000002</v>
      </c>
      <c r="G1099">
        <v>22.277000000000001</v>
      </c>
      <c r="H1099">
        <v>23.231000000000002</v>
      </c>
      <c r="I1099" s="136">
        <v>40779</v>
      </c>
      <c r="J1099">
        <v>34.82</v>
      </c>
      <c r="K1099">
        <v>34.68</v>
      </c>
      <c r="L1099">
        <v>36.01</v>
      </c>
    </row>
    <row r="1100" spans="1:12">
      <c r="A1100" s="136">
        <v>40780</v>
      </c>
      <c r="B1100">
        <v>2359</v>
      </c>
      <c r="C1100">
        <v>2358</v>
      </c>
      <c r="D1100">
        <v>2393</v>
      </c>
      <c r="E1100" s="136">
        <v>40780</v>
      </c>
      <c r="F1100">
        <v>23.282</v>
      </c>
      <c r="G1100">
        <v>22.809000000000001</v>
      </c>
      <c r="H1100">
        <v>24.146000000000001</v>
      </c>
      <c r="I1100" s="136">
        <v>40780</v>
      </c>
      <c r="J1100">
        <v>37.79</v>
      </c>
      <c r="K1100">
        <v>35.42</v>
      </c>
      <c r="L1100">
        <v>38.57</v>
      </c>
    </row>
    <row r="1101" spans="1:12">
      <c r="A1101" s="136">
        <v>40781</v>
      </c>
      <c r="B1101">
        <v>2369</v>
      </c>
      <c r="C1101">
        <v>2352</v>
      </c>
      <c r="D1101">
        <v>2381.5</v>
      </c>
      <c r="E1101" s="136">
        <v>40781</v>
      </c>
      <c r="F1101">
        <v>23.41</v>
      </c>
      <c r="G1101">
        <v>22.140999999999998</v>
      </c>
      <c r="H1101">
        <v>23.58</v>
      </c>
      <c r="I1101" s="136">
        <v>40781</v>
      </c>
      <c r="J1101">
        <v>35.28</v>
      </c>
      <c r="K1101">
        <v>34.82</v>
      </c>
      <c r="L1101">
        <v>36.479999999999997</v>
      </c>
    </row>
    <row r="1102" spans="1:12">
      <c r="A1102" s="136">
        <v>40782</v>
      </c>
      <c r="B1102">
        <v>2369</v>
      </c>
      <c r="C1102">
        <v>2352</v>
      </c>
      <c r="D1102">
        <v>2381.5</v>
      </c>
      <c r="E1102" s="136">
        <v>40782</v>
      </c>
      <c r="F1102">
        <v>23.41</v>
      </c>
      <c r="G1102">
        <v>22.140999999999998</v>
      </c>
      <c r="H1102">
        <v>23.58</v>
      </c>
      <c r="I1102" s="136">
        <v>40782</v>
      </c>
      <c r="J1102">
        <v>35.28</v>
      </c>
      <c r="K1102">
        <v>34.82</v>
      </c>
      <c r="L1102">
        <v>36.479999999999997</v>
      </c>
    </row>
    <row r="1103" spans="1:12">
      <c r="A1103" s="136">
        <v>40783</v>
      </c>
      <c r="B1103">
        <v>2369</v>
      </c>
      <c r="C1103">
        <v>2352</v>
      </c>
      <c r="D1103">
        <v>2381.5</v>
      </c>
      <c r="E1103" s="136">
        <v>40783</v>
      </c>
      <c r="F1103">
        <v>23.41</v>
      </c>
      <c r="G1103">
        <v>22.140999999999998</v>
      </c>
      <c r="H1103">
        <v>23.58</v>
      </c>
      <c r="I1103" s="136">
        <v>40783</v>
      </c>
      <c r="J1103">
        <v>35.28</v>
      </c>
      <c r="K1103">
        <v>34.82</v>
      </c>
      <c r="L1103">
        <v>36.479999999999997</v>
      </c>
    </row>
    <row r="1104" spans="1:12">
      <c r="A1104" s="136">
        <v>40784</v>
      </c>
      <c r="B1104">
        <v>2369</v>
      </c>
      <c r="C1104">
        <v>2352</v>
      </c>
      <c r="D1104">
        <v>2381.5</v>
      </c>
      <c r="E1104" s="136">
        <v>40784</v>
      </c>
      <c r="F1104">
        <v>23.085999999999999</v>
      </c>
      <c r="G1104">
        <v>22.584</v>
      </c>
      <c r="H1104">
        <v>23.707999999999998</v>
      </c>
      <c r="I1104" s="136">
        <v>40784</v>
      </c>
      <c r="J1104">
        <v>36.82</v>
      </c>
      <c r="K1104">
        <v>36.47</v>
      </c>
      <c r="L1104">
        <v>37.64</v>
      </c>
    </row>
    <row r="1105" spans="1:12">
      <c r="A1105" s="136">
        <v>40785</v>
      </c>
      <c r="B1105">
        <v>2385</v>
      </c>
      <c r="C1105">
        <v>2380</v>
      </c>
      <c r="D1105">
        <v>2433.5</v>
      </c>
      <c r="E1105" s="136">
        <v>40785</v>
      </c>
      <c r="F1105">
        <v>23.699000000000002</v>
      </c>
      <c r="G1105">
        <v>23.047999999999998</v>
      </c>
      <c r="H1105">
        <v>23.792999999999999</v>
      </c>
      <c r="I1105" s="136">
        <v>40785</v>
      </c>
      <c r="J1105">
        <v>37.4</v>
      </c>
      <c r="K1105">
        <v>36.75</v>
      </c>
      <c r="L1105">
        <v>37.72</v>
      </c>
    </row>
    <row r="1106" spans="1:12">
      <c r="A1106" s="136">
        <v>40786</v>
      </c>
      <c r="B1106">
        <v>2424.25</v>
      </c>
      <c r="C1106">
        <v>2415</v>
      </c>
      <c r="D1106">
        <v>2472</v>
      </c>
      <c r="E1106" s="136">
        <v>40786</v>
      </c>
      <c r="F1106">
        <v>23.49</v>
      </c>
      <c r="G1106">
        <v>23.248000000000001</v>
      </c>
      <c r="H1106">
        <v>24.291</v>
      </c>
      <c r="I1106" s="136">
        <v>40786</v>
      </c>
      <c r="J1106">
        <v>37.42</v>
      </c>
      <c r="K1106">
        <v>37.215000000000003</v>
      </c>
      <c r="L1106">
        <v>38.03</v>
      </c>
    </row>
    <row r="1107" spans="1:12">
      <c r="A1107" s="136">
        <v>40787</v>
      </c>
      <c r="B1107">
        <v>2470</v>
      </c>
      <c r="C1107">
        <v>2435</v>
      </c>
      <c r="D1107">
        <v>2476</v>
      </c>
      <c r="E1107" s="136">
        <v>40787</v>
      </c>
      <c r="F1107">
        <v>24.099</v>
      </c>
      <c r="G1107">
        <v>23.231000000000002</v>
      </c>
      <c r="H1107">
        <v>24.431000000000001</v>
      </c>
      <c r="I1107" s="136">
        <v>40787</v>
      </c>
      <c r="J1107">
        <v>37.619999999999997</v>
      </c>
      <c r="K1107">
        <v>36.29</v>
      </c>
      <c r="L1107">
        <v>37.82</v>
      </c>
    </row>
    <row r="1108" spans="1:12">
      <c r="A1108" s="136">
        <v>40788</v>
      </c>
      <c r="B1108">
        <v>2446.5</v>
      </c>
      <c r="C1108">
        <v>2420</v>
      </c>
      <c r="D1108">
        <v>2455</v>
      </c>
      <c r="E1108" s="136">
        <v>40788</v>
      </c>
      <c r="F1108">
        <v>22.75</v>
      </c>
      <c r="G1108">
        <v>21.876999999999999</v>
      </c>
      <c r="H1108">
        <v>23.196999999999999</v>
      </c>
      <c r="I1108" s="136">
        <v>40788</v>
      </c>
      <c r="J1108">
        <v>35.06</v>
      </c>
      <c r="K1108">
        <v>34.51</v>
      </c>
      <c r="L1108">
        <v>35.25</v>
      </c>
    </row>
    <row r="1109" spans="1:12">
      <c r="A1109" s="136">
        <v>40789</v>
      </c>
      <c r="B1109">
        <v>2446.5</v>
      </c>
      <c r="C1109">
        <v>2420</v>
      </c>
      <c r="D1109">
        <v>2455</v>
      </c>
      <c r="E1109" s="136">
        <v>40789</v>
      </c>
      <c r="F1109">
        <v>22.75</v>
      </c>
      <c r="G1109">
        <v>21.876999999999999</v>
      </c>
      <c r="H1109">
        <v>23.196999999999999</v>
      </c>
      <c r="I1109" s="136">
        <v>40789</v>
      </c>
      <c r="J1109">
        <v>35.06</v>
      </c>
      <c r="K1109">
        <v>34.51</v>
      </c>
      <c r="L1109">
        <v>35.25</v>
      </c>
    </row>
    <row r="1110" spans="1:12">
      <c r="A1110" s="136">
        <v>40790</v>
      </c>
      <c r="B1110">
        <v>2446.5</v>
      </c>
      <c r="C1110">
        <v>2420</v>
      </c>
      <c r="D1110">
        <v>2455</v>
      </c>
      <c r="E1110" s="136">
        <v>40790</v>
      </c>
      <c r="F1110">
        <v>22.75</v>
      </c>
      <c r="G1110">
        <v>21.876999999999999</v>
      </c>
      <c r="H1110">
        <v>23.196999999999999</v>
      </c>
      <c r="I1110" s="136">
        <v>40790</v>
      </c>
      <c r="J1110">
        <v>35.06</v>
      </c>
      <c r="K1110">
        <v>34.51</v>
      </c>
      <c r="L1110">
        <v>35.25</v>
      </c>
    </row>
    <row r="1111" spans="1:12">
      <c r="A1111" s="136">
        <v>40791</v>
      </c>
      <c r="B1111">
        <v>2437</v>
      </c>
      <c r="C1111">
        <v>2377</v>
      </c>
      <c r="D1111">
        <v>2444</v>
      </c>
      <c r="E1111" s="136">
        <v>40791</v>
      </c>
      <c r="F1111">
        <v>21.774999999999999</v>
      </c>
      <c r="G1111">
        <v>19.945</v>
      </c>
      <c r="H1111">
        <v>21.774999999999999</v>
      </c>
      <c r="I1111" s="136">
        <v>40791</v>
      </c>
      <c r="J1111">
        <v>35.06</v>
      </c>
      <c r="K1111">
        <v>34.51</v>
      </c>
      <c r="L1111">
        <v>35.25</v>
      </c>
    </row>
    <row r="1112" spans="1:12">
      <c r="A1112" s="136">
        <v>40792</v>
      </c>
      <c r="B1112">
        <v>2385</v>
      </c>
      <c r="C1112">
        <v>2368.25</v>
      </c>
      <c r="D1112">
        <v>2399</v>
      </c>
      <c r="E1112" s="136">
        <v>40792</v>
      </c>
      <c r="F1112">
        <v>20.294</v>
      </c>
      <c r="G1112">
        <v>19.664000000000001</v>
      </c>
      <c r="H1112">
        <v>20.856000000000002</v>
      </c>
      <c r="I1112" s="136">
        <v>40792</v>
      </c>
      <c r="J1112">
        <v>33.11</v>
      </c>
      <c r="K1112">
        <v>32.78</v>
      </c>
      <c r="L1112">
        <v>33.5</v>
      </c>
    </row>
    <row r="1113" spans="1:12">
      <c r="A1113" s="136">
        <v>40793</v>
      </c>
      <c r="B1113">
        <v>2390</v>
      </c>
      <c r="C1113">
        <v>2374.75</v>
      </c>
      <c r="D1113">
        <v>2409</v>
      </c>
      <c r="E1113" s="136">
        <v>40793</v>
      </c>
      <c r="F1113">
        <v>20.686</v>
      </c>
      <c r="G1113">
        <v>20.337</v>
      </c>
      <c r="H1113">
        <v>21.154</v>
      </c>
      <c r="I1113" s="136">
        <v>40793</v>
      </c>
      <c r="J1113">
        <v>34.1</v>
      </c>
      <c r="K1113">
        <v>33.869999999999997</v>
      </c>
      <c r="L1113">
        <v>34.979999999999997</v>
      </c>
    </row>
    <row r="1114" spans="1:12">
      <c r="A1114" s="136">
        <v>40794</v>
      </c>
      <c r="B1114">
        <v>2404</v>
      </c>
      <c r="C1114">
        <v>2391</v>
      </c>
      <c r="D1114">
        <v>2438</v>
      </c>
      <c r="E1114" s="136">
        <v>40794</v>
      </c>
      <c r="F1114">
        <v>21.154</v>
      </c>
      <c r="G1114">
        <v>20.945</v>
      </c>
      <c r="H1114">
        <v>22.282</v>
      </c>
      <c r="I1114" s="136">
        <v>40794</v>
      </c>
      <c r="J1114">
        <v>34.44</v>
      </c>
      <c r="K1114">
        <v>33.44</v>
      </c>
      <c r="L1114">
        <v>34.909999999999997</v>
      </c>
    </row>
    <row r="1115" spans="1:12">
      <c r="A1115" s="136">
        <v>40795</v>
      </c>
      <c r="B1115">
        <v>2419</v>
      </c>
      <c r="C1115">
        <v>2355</v>
      </c>
      <c r="D1115">
        <v>2419.75</v>
      </c>
      <c r="E1115" s="136">
        <v>40795</v>
      </c>
      <c r="F1115">
        <v>21.026</v>
      </c>
      <c r="G1115">
        <v>19.434000000000001</v>
      </c>
      <c r="H1115">
        <v>21.111000000000001</v>
      </c>
      <c r="I1115" s="136">
        <v>40795</v>
      </c>
      <c r="J1115">
        <v>33.08</v>
      </c>
      <c r="K1115">
        <v>31.93</v>
      </c>
      <c r="L1115">
        <v>33.200000000000003</v>
      </c>
    </row>
    <row r="1116" spans="1:12">
      <c r="A1116" s="136">
        <v>40796</v>
      </c>
      <c r="B1116">
        <v>2419</v>
      </c>
      <c r="C1116">
        <v>2355</v>
      </c>
      <c r="D1116">
        <v>2419.75</v>
      </c>
      <c r="E1116" s="136">
        <v>40796</v>
      </c>
      <c r="F1116">
        <v>21.026</v>
      </c>
      <c r="G1116">
        <v>19.434000000000001</v>
      </c>
      <c r="H1116">
        <v>21.111000000000001</v>
      </c>
      <c r="I1116" s="136">
        <v>40796</v>
      </c>
      <c r="J1116">
        <v>33.08</v>
      </c>
      <c r="K1116">
        <v>31.93</v>
      </c>
      <c r="L1116">
        <v>33.200000000000003</v>
      </c>
    </row>
    <row r="1117" spans="1:12">
      <c r="A1117" s="136">
        <v>40797</v>
      </c>
      <c r="B1117">
        <v>2419</v>
      </c>
      <c r="C1117">
        <v>2355</v>
      </c>
      <c r="D1117">
        <v>2419.75</v>
      </c>
      <c r="E1117" s="136">
        <v>40797</v>
      </c>
      <c r="F1117">
        <v>21.026</v>
      </c>
      <c r="G1117">
        <v>19.434000000000001</v>
      </c>
      <c r="H1117">
        <v>21.111000000000001</v>
      </c>
      <c r="I1117" s="136">
        <v>40797</v>
      </c>
      <c r="J1117">
        <v>33.08</v>
      </c>
      <c r="K1117">
        <v>31.93</v>
      </c>
      <c r="L1117">
        <v>33.200000000000003</v>
      </c>
    </row>
    <row r="1118" spans="1:12">
      <c r="A1118" s="136">
        <v>40798</v>
      </c>
      <c r="B1118">
        <v>2365</v>
      </c>
      <c r="C1118">
        <v>2333</v>
      </c>
      <c r="D1118">
        <v>2388</v>
      </c>
      <c r="E1118" s="136">
        <v>40798</v>
      </c>
      <c r="F1118">
        <v>19.306999999999999</v>
      </c>
      <c r="G1118">
        <v>17.693000000000001</v>
      </c>
      <c r="H1118">
        <v>19.408999999999999</v>
      </c>
      <c r="I1118" s="136">
        <v>40798</v>
      </c>
      <c r="J1118">
        <v>31.35</v>
      </c>
      <c r="K1118">
        <v>31.21</v>
      </c>
      <c r="L1118">
        <v>32.42</v>
      </c>
    </row>
    <row r="1119" spans="1:12">
      <c r="A1119" s="136">
        <v>40799</v>
      </c>
      <c r="B1119">
        <v>2380</v>
      </c>
      <c r="C1119">
        <v>2363</v>
      </c>
      <c r="D1119">
        <v>2397</v>
      </c>
      <c r="E1119" s="136">
        <v>40799</v>
      </c>
      <c r="F1119">
        <v>18.728000000000002</v>
      </c>
      <c r="G1119">
        <v>17.727</v>
      </c>
      <c r="H1119">
        <v>20.047000000000001</v>
      </c>
      <c r="I1119" s="136">
        <v>40799</v>
      </c>
      <c r="J1119">
        <v>32.81</v>
      </c>
      <c r="K1119">
        <v>32.17</v>
      </c>
      <c r="L1119">
        <v>33.409999999999997</v>
      </c>
    </row>
    <row r="1120" spans="1:12">
      <c r="A1120" s="136">
        <v>40800</v>
      </c>
      <c r="B1120">
        <v>2370</v>
      </c>
      <c r="C1120">
        <v>2345</v>
      </c>
      <c r="D1120">
        <v>2380</v>
      </c>
      <c r="E1120" s="136">
        <v>40800</v>
      </c>
      <c r="F1120">
        <v>19.324000000000002</v>
      </c>
      <c r="G1120">
        <v>18.914999999999999</v>
      </c>
      <c r="H1120">
        <v>20.303000000000001</v>
      </c>
      <c r="I1120" s="136">
        <v>40800</v>
      </c>
      <c r="J1120">
        <v>32.729999999999997</v>
      </c>
      <c r="K1120">
        <v>31.86</v>
      </c>
      <c r="L1120">
        <v>33.19</v>
      </c>
    </row>
    <row r="1121" spans="1:12">
      <c r="A1121" s="136">
        <v>40801</v>
      </c>
      <c r="B1121">
        <v>2366</v>
      </c>
      <c r="C1121">
        <v>2355</v>
      </c>
      <c r="D1121">
        <v>2388</v>
      </c>
      <c r="E1121" s="136">
        <v>40801</v>
      </c>
      <c r="F1121">
        <v>20.234000000000002</v>
      </c>
      <c r="G1121">
        <v>19.885000000000002</v>
      </c>
      <c r="H1121">
        <v>22.405000000000001</v>
      </c>
      <c r="I1121" s="136">
        <v>40801</v>
      </c>
      <c r="J1121">
        <v>33.369999999999997</v>
      </c>
      <c r="K1121">
        <v>33.130000000000003</v>
      </c>
      <c r="L1121">
        <v>33.82</v>
      </c>
    </row>
    <row r="1122" spans="1:12">
      <c r="A1122" s="136">
        <v>40802</v>
      </c>
      <c r="B1122">
        <v>2376</v>
      </c>
      <c r="C1122">
        <v>2368</v>
      </c>
      <c r="D1122">
        <v>2403.75</v>
      </c>
      <c r="E1122" s="136">
        <v>40802</v>
      </c>
      <c r="F1122">
        <v>21.792000000000002</v>
      </c>
      <c r="G1122">
        <v>21.303000000000001</v>
      </c>
      <c r="H1122">
        <v>22.678000000000001</v>
      </c>
      <c r="I1122" s="136">
        <v>40802</v>
      </c>
      <c r="J1122">
        <v>34.049999999999997</v>
      </c>
      <c r="K1122">
        <v>33.020000000000003</v>
      </c>
      <c r="L1122">
        <v>34.270000000000003</v>
      </c>
    </row>
    <row r="1123" spans="1:12">
      <c r="A1123" s="136">
        <v>40803</v>
      </c>
      <c r="B1123">
        <v>2376</v>
      </c>
      <c r="C1123">
        <v>2368</v>
      </c>
      <c r="D1123">
        <v>2403.75</v>
      </c>
      <c r="E1123" s="136">
        <v>40803</v>
      </c>
      <c r="F1123">
        <v>21.792000000000002</v>
      </c>
      <c r="G1123">
        <v>21.303000000000001</v>
      </c>
      <c r="H1123">
        <v>22.678000000000001</v>
      </c>
      <c r="I1123" s="136">
        <v>40803</v>
      </c>
      <c r="J1123">
        <v>34.049999999999997</v>
      </c>
      <c r="K1123">
        <v>33.020000000000003</v>
      </c>
      <c r="L1123">
        <v>34.270000000000003</v>
      </c>
    </row>
    <row r="1124" spans="1:12">
      <c r="A1124" s="136">
        <v>40804</v>
      </c>
      <c r="B1124">
        <v>2376</v>
      </c>
      <c r="C1124">
        <v>2368</v>
      </c>
      <c r="D1124">
        <v>2403.75</v>
      </c>
      <c r="E1124" s="136">
        <v>40804</v>
      </c>
      <c r="F1124">
        <v>21.792000000000002</v>
      </c>
      <c r="G1124">
        <v>21.303000000000001</v>
      </c>
      <c r="H1124">
        <v>22.678000000000001</v>
      </c>
      <c r="I1124" s="136">
        <v>40804</v>
      </c>
      <c r="J1124">
        <v>34.049999999999997</v>
      </c>
      <c r="K1124">
        <v>33.020000000000003</v>
      </c>
      <c r="L1124">
        <v>34.270000000000003</v>
      </c>
    </row>
    <row r="1125" spans="1:12">
      <c r="A1125" s="136">
        <v>40805</v>
      </c>
      <c r="B1125">
        <v>2379.75</v>
      </c>
      <c r="C1125">
        <v>2320</v>
      </c>
      <c r="D1125">
        <v>2379.75</v>
      </c>
      <c r="E1125" s="136">
        <v>40805</v>
      </c>
      <c r="F1125">
        <v>21.178999999999998</v>
      </c>
      <c r="G1125">
        <v>20.140999999999998</v>
      </c>
      <c r="H1125">
        <v>21.178999999999998</v>
      </c>
      <c r="I1125" s="136">
        <v>40805</v>
      </c>
      <c r="J1125">
        <v>32.69</v>
      </c>
      <c r="K1125">
        <v>32.130000000000003</v>
      </c>
      <c r="L1125">
        <v>32.89</v>
      </c>
    </row>
    <row r="1126" spans="1:12">
      <c r="A1126" s="136">
        <v>40806</v>
      </c>
      <c r="B1126">
        <v>2343</v>
      </c>
      <c r="C1126">
        <v>2316</v>
      </c>
      <c r="D1126">
        <v>2355</v>
      </c>
      <c r="E1126" s="136">
        <v>40806</v>
      </c>
      <c r="F1126">
        <v>20.260000000000002</v>
      </c>
      <c r="G1126">
        <v>19.962</v>
      </c>
      <c r="H1126">
        <v>20.898</v>
      </c>
      <c r="I1126" s="136">
        <v>40806</v>
      </c>
      <c r="J1126">
        <v>32.770000000000003</v>
      </c>
      <c r="K1126">
        <v>32.24</v>
      </c>
      <c r="L1126">
        <v>32.799999999999997</v>
      </c>
    </row>
    <row r="1127" spans="1:12">
      <c r="A1127" s="136">
        <v>40807</v>
      </c>
      <c r="B1127">
        <v>2323.25</v>
      </c>
      <c r="C1127">
        <v>2288</v>
      </c>
      <c r="D1127">
        <v>2340</v>
      </c>
      <c r="E1127" s="136">
        <v>40807</v>
      </c>
      <c r="F1127">
        <v>20.643000000000001</v>
      </c>
      <c r="G1127">
        <v>20.097999999999999</v>
      </c>
      <c r="H1127">
        <v>21.111000000000001</v>
      </c>
      <c r="I1127" s="136">
        <v>40807</v>
      </c>
      <c r="J1127">
        <v>32.229999999999997</v>
      </c>
      <c r="K1127">
        <v>30.26</v>
      </c>
      <c r="L1127">
        <v>32.450000000000003</v>
      </c>
    </row>
    <row r="1128" spans="1:12">
      <c r="A1128" s="136">
        <v>40808</v>
      </c>
      <c r="B1128">
        <v>2321</v>
      </c>
      <c r="C1128">
        <v>2223</v>
      </c>
      <c r="D1128">
        <v>2321</v>
      </c>
      <c r="E1128" s="136">
        <v>40808</v>
      </c>
      <c r="F1128">
        <v>19.494</v>
      </c>
      <c r="G1128">
        <v>18.387</v>
      </c>
      <c r="H1128">
        <v>19.817</v>
      </c>
      <c r="I1128" s="136">
        <v>40808</v>
      </c>
      <c r="J1128">
        <v>29.35</v>
      </c>
      <c r="K1128">
        <v>28.53</v>
      </c>
      <c r="L1128">
        <v>29.63</v>
      </c>
    </row>
    <row r="1129" spans="1:12">
      <c r="A1129" s="136">
        <v>40809</v>
      </c>
      <c r="B1129">
        <v>2226</v>
      </c>
      <c r="C1129">
        <v>2187</v>
      </c>
      <c r="D1129">
        <v>2247</v>
      </c>
      <c r="E1129" s="136">
        <v>40809</v>
      </c>
      <c r="F1129">
        <v>18.983000000000001</v>
      </c>
      <c r="G1129">
        <v>17.928000000000001</v>
      </c>
      <c r="H1129">
        <v>19.817</v>
      </c>
      <c r="I1129" s="136">
        <v>40809</v>
      </c>
      <c r="J1129">
        <v>28.96</v>
      </c>
      <c r="K1129">
        <v>28.861000000000001</v>
      </c>
      <c r="L1129">
        <v>29.8</v>
      </c>
    </row>
    <row r="1130" spans="1:12">
      <c r="A1130" s="136">
        <v>40810</v>
      </c>
      <c r="B1130">
        <v>2226</v>
      </c>
      <c r="C1130">
        <v>2187</v>
      </c>
      <c r="D1130">
        <v>2247</v>
      </c>
      <c r="E1130" s="136">
        <v>40810</v>
      </c>
      <c r="F1130">
        <v>18.983000000000001</v>
      </c>
      <c r="G1130">
        <v>17.928000000000001</v>
      </c>
      <c r="H1130">
        <v>19.817</v>
      </c>
      <c r="I1130" s="136">
        <v>40810</v>
      </c>
      <c r="J1130">
        <v>28.96</v>
      </c>
      <c r="K1130">
        <v>28.861000000000001</v>
      </c>
      <c r="L1130">
        <v>29.8</v>
      </c>
    </row>
    <row r="1131" spans="1:12">
      <c r="A1131" s="136">
        <v>40811</v>
      </c>
      <c r="B1131">
        <v>2226</v>
      </c>
      <c r="C1131">
        <v>2187</v>
      </c>
      <c r="D1131">
        <v>2247</v>
      </c>
      <c r="E1131" s="136">
        <v>40811</v>
      </c>
      <c r="F1131">
        <v>18.983000000000001</v>
      </c>
      <c r="G1131">
        <v>17.928000000000001</v>
      </c>
      <c r="H1131">
        <v>19.817</v>
      </c>
      <c r="I1131" s="136">
        <v>40811</v>
      </c>
      <c r="J1131">
        <v>28.96</v>
      </c>
      <c r="K1131">
        <v>28.861000000000001</v>
      </c>
      <c r="L1131">
        <v>29.8</v>
      </c>
    </row>
    <row r="1132" spans="1:12">
      <c r="A1132" s="136">
        <v>40812</v>
      </c>
      <c r="B1132">
        <v>2220</v>
      </c>
      <c r="C1132">
        <v>2155</v>
      </c>
      <c r="D1132">
        <v>2240</v>
      </c>
      <c r="E1132" s="136">
        <v>40812</v>
      </c>
      <c r="F1132">
        <v>19.366</v>
      </c>
      <c r="G1132">
        <v>18.911000000000001</v>
      </c>
      <c r="H1132">
        <v>21.652000000000001</v>
      </c>
      <c r="I1132" s="136">
        <v>40812</v>
      </c>
      <c r="J1132">
        <v>30.06</v>
      </c>
      <c r="K1132">
        <v>29.96</v>
      </c>
      <c r="L1132">
        <v>31.81</v>
      </c>
    </row>
    <row r="1133" spans="1:12">
      <c r="A1133" s="136">
        <v>40813</v>
      </c>
      <c r="B1133">
        <v>2216</v>
      </c>
      <c r="C1133">
        <v>2216</v>
      </c>
      <c r="D1133">
        <v>2256</v>
      </c>
      <c r="E1133" s="136">
        <v>40813</v>
      </c>
      <c r="F1133">
        <v>21.792000000000002</v>
      </c>
      <c r="G1133">
        <v>21.792000000000002</v>
      </c>
      <c r="H1133">
        <v>24.265000000000001</v>
      </c>
      <c r="I1133" s="136">
        <v>40813</v>
      </c>
      <c r="J1133">
        <v>32.619999999999997</v>
      </c>
      <c r="K1133">
        <v>31.25</v>
      </c>
      <c r="L1133">
        <v>33.130000000000003</v>
      </c>
    </row>
    <row r="1134" spans="1:12">
      <c r="A1134" s="136">
        <v>40814</v>
      </c>
      <c r="B1134">
        <v>2252</v>
      </c>
      <c r="C1134">
        <v>2198</v>
      </c>
      <c r="D1134">
        <v>2263</v>
      </c>
      <c r="E1134" s="136">
        <v>40814</v>
      </c>
      <c r="F1134">
        <v>23.239000000000001</v>
      </c>
      <c r="G1134">
        <v>22.648</v>
      </c>
      <c r="H1134">
        <v>24.401</v>
      </c>
      <c r="I1134" s="136">
        <v>40814</v>
      </c>
      <c r="J1134">
        <v>31.62</v>
      </c>
      <c r="K1134">
        <v>30.42</v>
      </c>
      <c r="L1134">
        <v>32</v>
      </c>
    </row>
    <row r="1135" spans="1:12">
      <c r="A1135" s="136">
        <v>40815</v>
      </c>
      <c r="B1135">
        <v>2200</v>
      </c>
      <c r="C1135">
        <v>2184</v>
      </c>
      <c r="D1135">
        <v>2250</v>
      </c>
      <c r="E1135" s="136">
        <v>40815</v>
      </c>
      <c r="F1135">
        <v>22.728999999999999</v>
      </c>
      <c r="G1135">
        <v>22.686</v>
      </c>
      <c r="H1135">
        <v>24.414000000000001</v>
      </c>
      <c r="I1135" s="136">
        <v>40815</v>
      </c>
      <c r="J1135">
        <v>31.58</v>
      </c>
      <c r="K1135">
        <v>30.44</v>
      </c>
      <c r="L1135">
        <v>32.11</v>
      </c>
    </row>
    <row r="1136" spans="1:12">
      <c r="A1136" s="136">
        <v>40816</v>
      </c>
      <c r="B1136">
        <v>2247</v>
      </c>
      <c r="C1136">
        <v>2152.25</v>
      </c>
      <c r="D1136">
        <v>2270</v>
      </c>
      <c r="E1136" s="136">
        <v>40816</v>
      </c>
      <c r="F1136">
        <v>23.800999999999998</v>
      </c>
      <c r="G1136">
        <v>22.013999999999999</v>
      </c>
      <c r="H1136">
        <v>23.835000000000001</v>
      </c>
      <c r="I1136" s="136">
        <v>40816</v>
      </c>
      <c r="J1136">
        <v>30.74</v>
      </c>
      <c r="K1136">
        <v>30.11</v>
      </c>
      <c r="L1136">
        <v>30.95</v>
      </c>
    </row>
    <row r="1137" spans="1:12">
      <c r="A1137" s="136">
        <v>40817</v>
      </c>
      <c r="B1137">
        <v>2247</v>
      </c>
      <c r="C1137">
        <v>2152.25</v>
      </c>
      <c r="D1137">
        <v>2270</v>
      </c>
      <c r="E1137" s="136">
        <v>40817</v>
      </c>
      <c r="F1137">
        <v>23.800999999999998</v>
      </c>
      <c r="G1137">
        <v>22.013999999999999</v>
      </c>
      <c r="H1137">
        <v>23.835000000000001</v>
      </c>
      <c r="I1137" s="136">
        <v>40817</v>
      </c>
      <c r="J1137">
        <v>30.74</v>
      </c>
      <c r="K1137">
        <v>30.11</v>
      </c>
      <c r="L1137">
        <v>30.95</v>
      </c>
    </row>
    <row r="1138" spans="1:12">
      <c r="A1138" s="136">
        <v>40818</v>
      </c>
      <c r="B1138">
        <v>2247</v>
      </c>
      <c r="C1138">
        <v>2152.25</v>
      </c>
      <c r="D1138">
        <v>2270</v>
      </c>
      <c r="E1138" s="136">
        <v>40818</v>
      </c>
      <c r="F1138">
        <v>23.800999999999998</v>
      </c>
      <c r="G1138">
        <v>22.013999999999999</v>
      </c>
      <c r="H1138">
        <v>23.835000000000001</v>
      </c>
      <c r="I1138" s="136">
        <v>40818</v>
      </c>
      <c r="J1138">
        <v>30.74</v>
      </c>
      <c r="K1138">
        <v>30.11</v>
      </c>
      <c r="L1138">
        <v>30.95</v>
      </c>
    </row>
    <row r="1139" spans="1:12">
      <c r="A1139" s="136">
        <v>40819</v>
      </c>
      <c r="B1139">
        <v>2156</v>
      </c>
      <c r="C1139">
        <v>2130</v>
      </c>
      <c r="D1139">
        <v>2215</v>
      </c>
      <c r="E1139" s="136">
        <v>40819</v>
      </c>
      <c r="F1139">
        <v>21.707000000000001</v>
      </c>
      <c r="G1139">
        <v>20.643000000000001</v>
      </c>
      <c r="H1139">
        <v>22.439</v>
      </c>
      <c r="I1139" s="136">
        <v>40819</v>
      </c>
      <c r="J1139">
        <v>30.03</v>
      </c>
      <c r="K1139">
        <v>28.64</v>
      </c>
      <c r="L1139">
        <v>30.7</v>
      </c>
    </row>
    <row r="1140" spans="1:12">
      <c r="A1140" s="136">
        <v>40820</v>
      </c>
      <c r="B1140">
        <v>2190</v>
      </c>
      <c r="C1140">
        <v>2168</v>
      </c>
      <c r="D1140">
        <v>2215.5</v>
      </c>
      <c r="E1140" s="136">
        <v>40820</v>
      </c>
      <c r="F1140">
        <v>21.280999999999999</v>
      </c>
      <c r="G1140">
        <v>19.919</v>
      </c>
      <c r="H1140">
        <v>21.391999999999999</v>
      </c>
      <c r="I1140" s="136">
        <v>40820</v>
      </c>
      <c r="J1140">
        <v>28.25</v>
      </c>
      <c r="K1140">
        <v>27.85</v>
      </c>
      <c r="L1140">
        <v>30.43</v>
      </c>
    </row>
    <row r="1141" spans="1:12">
      <c r="A1141" s="136">
        <v>40821</v>
      </c>
      <c r="B1141">
        <v>2185</v>
      </c>
      <c r="C1141">
        <v>2136</v>
      </c>
      <c r="D1141">
        <v>2212.5</v>
      </c>
      <c r="E1141" s="136">
        <v>40821</v>
      </c>
      <c r="F1141">
        <v>21.707000000000001</v>
      </c>
      <c r="G1141">
        <v>21.567</v>
      </c>
      <c r="H1141">
        <v>22.673000000000002</v>
      </c>
      <c r="I1141" s="136">
        <v>40821</v>
      </c>
      <c r="J1141">
        <v>30.23</v>
      </c>
      <c r="K1141">
        <v>29.4</v>
      </c>
      <c r="L1141">
        <v>31.17</v>
      </c>
    </row>
    <row r="1142" spans="1:12">
      <c r="A1142" s="136">
        <v>40822</v>
      </c>
      <c r="B1142">
        <v>2182</v>
      </c>
      <c r="C1142">
        <v>2182</v>
      </c>
      <c r="D1142">
        <v>2244.75</v>
      </c>
      <c r="E1142" s="136">
        <v>40822</v>
      </c>
      <c r="F1142">
        <v>22.52</v>
      </c>
      <c r="G1142">
        <v>21.655999999999999</v>
      </c>
      <c r="H1142">
        <v>23.536999999999999</v>
      </c>
      <c r="I1142" s="136">
        <v>40822</v>
      </c>
      <c r="J1142">
        <v>30.71</v>
      </c>
      <c r="K1142">
        <v>30.42</v>
      </c>
      <c r="L1142">
        <v>32.46</v>
      </c>
    </row>
    <row r="1143" spans="1:12">
      <c r="A1143" s="136">
        <v>40823</v>
      </c>
      <c r="B1143">
        <v>2233</v>
      </c>
      <c r="C1143">
        <v>2203</v>
      </c>
      <c r="D1143">
        <v>2246.75</v>
      </c>
      <c r="E1143" s="136">
        <v>40823</v>
      </c>
      <c r="F1143">
        <v>23.495000000000001</v>
      </c>
      <c r="G1143">
        <v>22.132999999999999</v>
      </c>
      <c r="H1143">
        <v>23.788</v>
      </c>
      <c r="I1143" s="136">
        <v>40823</v>
      </c>
      <c r="J1143">
        <v>32.58</v>
      </c>
      <c r="K1143">
        <v>30.65</v>
      </c>
      <c r="L1143">
        <v>32.61</v>
      </c>
    </row>
    <row r="1144" spans="1:12">
      <c r="A1144" s="136">
        <v>40824</v>
      </c>
      <c r="B1144">
        <v>2233</v>
      </c>
      <c r="C1144">
        <v>2203</v>
      </c>
      <c r="D1144">
        <v>2246.75</v>
      </c>
      <c r="E1144" s="136">
        <v>40824</v>
      </c>
      <c r="F1144">
        <v>23.495000000000001</v>
      </c>
      <c r="G1144">
        <v>22.132999999999999</v>
      </c>
      <c r="H1144">
        <v>23.788</v>
      </c>
      <c r="I1144" s="136">
        <v>40824</v>
      </c>
      <c r="J1144">
        <v>32.58</v>
      </c>
      <c r="K1144">
        <v>30.65</v>
      </c>
      <c r="L1144">
        <v>32.61</v>
      </c>
    </row>
    <row r="1145" spans="1:12">
      <c r="A1145" s="136">
        <v>40825</v>
      </c>
      <c r="B1145">
        <v>2233</v>
      </c>
      <c r="C1145">
        <v>2203</v>
      </c>
      <c r="D1145">
        <v>2246.75</v>
      </c>
      <c r="E1145" s="136">
        <v>40825</v>
      </c>
      <c r="F1145">
        <v>23.495000000000001</v>
      </c>
      <c r="G1145">
        <v>22.132999999999999</v>
      </c>
      <c r="H1145">
        <v>23.788</v>
      </c>
      <c r="I1145" s="136">
        <v>40825</v>
      </c>
      <c r="J1145">
        <v>32.58</v>
      </c>
      <c r="K1145">
        <v>30.65</v>
      </c>
      <c r="L1145">
        <v>32.61</v>
      </c>
    </row>
    <row r="1146" spans="1:12">
      <c r="A1146" s="136">
        <v>40826</v>
      </c>
      <c r="B1146">
        <v>2210</v>
      </c>
      <c r="C1146">
        <v>2185.65</v>
      </c>
      <c r="D1146">
        <v>2264.75</v>
      </c>
      <c r="E1146" s="136">
        <v>40826</v>
      </c>
      <c r="F1146">
        <v>22.558</v>
      </c>
      <c r="G1146">
        <v>22.32</v>
      </c>
      <c r="H1146">
        <v>23.529</v>
      </c>
      <c r="I1146" s="136">
        <v>40826</v>
      </c>
      <c r="J1146">
        <v>31.6</v>
      </c>
      <c r="K1146">
        <v>31.58</v>
      </c>
      <c r="L1146">
        <v>32.32</v>
      </c>
    </row>
    <row r="1147" spans="1:12">
      <c r="A1147" s="136">
        <v>40827</v>
      </c>
      <c r="B1147">
        <v>2249</v>
      </c>
      <c r="C1147">
        <v>2200.25</v>
      </c>
      <c r="D1147">
        <v>2262</v>
      </c>
      <c r="E1147" s="136">
        <v>40827</v>
      </c>
      <c r="F1147">
        <v>23.401</v>
      </c>
      <c r="G1147">
        <v>22.984000000000002</v>
      </c>
      <c r="H1147">
        <v>23.771000000000001</v>
      </c>
      <c r="I1147" s="136">
        <v>40827</v>
      </c>
      <c r="J1147">
        <v>31.98</v>
      </c>
      <c r="K1147">
        <v>31.41</v>
      </c>
      <c r="L1147">
        <v>32.68</v>
      </c>
    </row>
    <row r="1148" spans="1:12">
      <c r="A1148" s="136">
        <v>40828</v>
      </c>
      <c r="B1148">
        <v>2226.75</v>
      </c>
      <c r="C1148">
        <v>2215</v>
      </c>
      <c r="D1148">
        <v>2270</v>
      </c>
      <c r="E1148" s="136">
        <v>40828</v>
      </c>
      <c r="F1148">
        <v>23.486000000000001</v>
      </c>
      <c r="G1148">
        <v>23.282</v>
      </c>
      <c r="H1148">
        <v>25.184000000000001</v>
      </c>
      <c r="I1148" s="136">
        <v>40828</v>
      </c>
      <c r="J1148">
        <v>32.76</v>
      </c>
      <c r="K1148">
        <v>32.69</v>
      </c>
      <c r="L1148">
        <v>33.869999999999997</v>
      </c>
    </row>
    <row r="1149" spans="1:12">
      <c r="A1149" s="136">
        <v>40829</v>
      </c>
      <c r="B1149">
        <v>2237</v>
      </c>
      <c r="C1149">
        <v>2202</v>
      </c>
      <c r="D1149">
        <v>2246.25</v>
      </c>
      <c r="E1149" s="136">
        <v>40829</v>
      </c>
      <c r="F1149">
        <v>24.899000000000001</v>
      </c>
      <c r="G1149">
        <v>23.227</v>
      </c>
      <c r="H1149">
        <v>25.588999999999999</v>
      </c>
      <c r="I1149" s="136">
        <v>40829</v>
      </c>
      <c r="J1149">
        <v>32.450000000000003</v>
      </c>
      <c r="K1149">
        <v>30.92</v>
      </c>
      <c r="L1149">
        <v>32.49</v>
      </c>
    </row>
    <row r="1150" spans="1:12">
      <c r="A1150" s="136">
        <v>40830</v>
      </c>
      <c r="B1150">
        <v>2219</v>
      </c>
      <c r="C1150">
        <v>2195.5</v>
      </c>
      <c r="D1150">
        <v>2228</v>
      </c>
      <c r="E1150" s="136">
        <v>40830</v>
      </c>
      <c r="F1150">
        <v>23.75</v>
      </c>
      <c r="G1150">
        <v>22.609000000000002</v>
      </c>
      <c r="H1150">
        <v>23.899000000000001</v>
      </c>
      <c r="I1150" s="136">
        <v>40830</v>
      </c>
      <c r="J1150">
        <v>31.87</v>
      </c>
      <c r="K1150">
        <v>31.4</v>
      </c>
      <c r="L1150">
        <v>32.32</v>
      </c>
    </row>
    <row r="1151" spans="1:12">
      <c r="A1151" s="136">
        <v>40831</v>
      </c>
      <c r="B1151">
        <v>2219</v>
      </c>
      <c r="C1151">
        <v>2195.5</v>
      </c>
      <c r="D1151">
        <v>2228</v>
      </c>
      <c r="E1151" s="136">
        <v>40831</v>
      </c>
      <c r="F1151">
        <v>23.75</v>
      </c>
      <c r="G1151">
        <v>22.609000000000002</v>
      </c>
      <c r="H1151">
        <v>23.899000000000001</v>
      </c>
      <c r="I1151" s="136">
        <v>40831</v>
      </c>
      <c r="J1151">
        <v>31.87</v>
      </c>
      <c r="K1151">
        <v>31.4</v>
      </c>
      <c r="L1151">
        <v>32.32</v>
      </c>
    </row>
    <row r="1152" spans="1:12">
      <c r="A1152" s="136">
        <v>40832</v>
      </c>
      <c r="B1152">
        <v>2219</v>
      </c>
      <c r="C1152">
        <v>2195.5</v>
      </c>
      <c r="D1152">
        <v>2228</v>
      </c>
      <c r="E1152" s="136">
        <v>40832</v>
      </c>
      <c r="F1152">
        <v>23.75</v>
      </c>
      <c r="G1152">
        <v>22.609000000000002</v>
      </c>
      <c r="H1152">
        <v>23.899000000000001</v>
      </c>
      <c r="I1152" s="136">
        <v>40832</v>
      </c>
      <c r="J1152">
        <v>31.87</v>
      </c>
      <c r="K1152">
        <v>31.4</v>
      </c>
      <c r="L1152">
        <v>32.32</v>
      </c>
    </row>
    <row r="1153" spans="1:12">
      <c r="A1153" s="136">
        <v>40833</v>
      </c>
      <c r="B1153">
        <v>2221</v>
      </c>
      <c r="C1153">
        <v>2199.75</v>
      </c>
      <c r="D1153">
        <v>2256.5</v>
      </c>
      <c r="E1153" s="136">
        <v>40833</v>
      </c>
      <c r="F1153">
        <v>23.341999999999999</v>
      </c>
      <c r="G1153">
        <v>22.273</v>
      </c>
      <c r="H1153">
        <v>23.971</v>
      </c>
      <c r="I1153" s="136">
        <v>40833</v>
      </c>
      <c r="J1153">
        <v>31.64</v>
      </c>
      <c r="K1153">
        <v>30.97</v>
      </c>
      <c r="L1153">
        <v>32.090000000000003</v>
      </c>
    </row>
    <row r="1154" spans="1:12">
      <c r="A1154" s="136">
        <v>40834</v>
      </c>
      <c r="B1154">
        <v>2195</v>
      </c>
      <c r="C1154">
        <v>2181</v>
      </c>
      <c r="D1154">
        <v>2212.5</v>
      </c>
      <c r="E1154" s="136">
        <v>40834</v>
      </c>
      <c r="F1154">
        <v>22.218</v>
      </c>
      <c r="G1154">
        <v>21.724</v>
      </c>
      <c r="H1154">
        <v>22.899000000000001</v>
      </c>
      <c r="I1154" s="136">
        <v>40834</v>
      </c>
      <c r="J1154">
        <v>31.36</v>
      </c>
      <c r="K1154">
        <v>31.14</v>
      </c>
      <c r="L1154">
        <v>33.42</v>
      </c>
    </row>
    <row r="1155" spans="1:12">
      <c r="A1155" s="136">
        <v>40835</v>
      </c>
      <c r="B1155">
        <v>2210</v>
      </c>
      <c r="C1155">
        <v>2178.75</v>
      </c>
      <c r="D1155">
        <v>2224</v>
      </c>
      <c r="E1155" s="136">
        <v>40835</v>
      </c>
      <c r="F1155">
        <v>23.193000000000001</v>
      </c>
      <c r="G1155">
        <v>22.923999999999999</v>
      </c>
      <c r="H1155">
        <v>23.75</v>
      </c>
      <c r="I1155" s="136">
        <v>40835</v>
      </c>
      <c r="J1155">
        <v>32.770000000000003</v>
      </c>
      <c r="K1155">
        <v>32.03</v>
      </c>
      <c r="L1155">
        <v>34.01</v>
      </c>
    </row>
    <row r="1156" spans="1:12">
      <c r="A1156" s="136">
        <v>40836</v>
      </c>
      <c r="B1156">
        <v>2177</v>
      </c>
      <c r="C1156">
        <v>2077.75</v>
      </c>
      <c r="D1156">
        <v>2180</v>
      </c>
      <c r="E1156" s="136">
        <v>40836</v>
      </c>
      <c r="F1156">
        <v>22.805</v>
      </c>
      <c r="G1156">
        <v>21.92</v>
      </c>
      <c r="H1156">
        <v>23.129000000000001</v>
      </c>
      <c r="I1156" s="136">
        <v>40836</v>
      </c>
      <c r="J1156">
        <v>32.32</v>
      </c>
      <c r="K1156">
        <v>31.67</v>
      </c>
      <c r="L1156">
        <v>33.19</v>
      </c>
    </row>
    <row r="1157" spans="1:12">
      <c r="A1157" s="136">
        <v>40837</v>
      </c>
      <c r="B1157">
        <v>2108</v>
      </c>
      <c r="C1157">
        <v>2100</v>
      </c>
      <c r="D1157">
        <v>2172</v>
      </c>
      <c r="E1157" s="136">
        <v>40837</v>
      </c>
      <c r="F1157">
        <v>22.465</v>
      </c>
      <c r="G1157">
        <v>22.337</v>
      </c>
      <c r="H1157">
        <v>23.81</v>
      </c>
      <c r="I1157" s="136">
        <v>40837</v>
      </c>
      <c r="J1157">
        <v>33.479999999999997</v>
      </c>
      <c r="K1157">
        <v>33.01</v>
      </c>
      <c r="L1157">
        <v>34.04</v>
      </c>
    </row>
    <row r="1158" spans="1:12">
      <c r="A1158" s="136">
        <v>40838</v>
      </c>
      <c r="B1158">
        <v>2108</v>
      </c>
      <c r="C1158">
        <v>2100</v>
      </c>
      <c r="D1158">
        <v>2172</v>
      </c>
      <c r="E1158" s="136">
        <v>40838</v>
      </c>
      <c r="F1158">
        <v>22.465</v>
      </c>
      <c r="G1158">
        <v>22.337</v>
      </c>
      <c r="H1158">
        <v>23.81</v>
      </c>
      <c r="I1158" s="136">
        <v>40838</v>
      </c>
      <c r="J1158">
        <v>33.479999999999997</v>
      </c>
      <c r="K1158">
        <v>33.01</v>
      </c>
      <c r="L1158">
        <v>34.04</v>
      </c>
    </row>
    <row r="1159" spans="1:12">
      <c r="A1159" s="136">
        <v>40839</v>
      </c>
      <c r="B1159">
        <v>2108</v>
      </c>
      <c r="C1159">
        <v>2100</v>
      </c>
      <c r="D1159">
        <v>2172</v>
      </c>
      <c r="E1159" s="136">
        <v>40839</v>
      </c>
      <c r="F1159">
        <v>22.465</v>
      </c>
      <c r="G1159">
        <v>22.337</v>
      </c>
      <c r="H1159">
        <v>23.81</v>
      </c>
      <c r="I1159" s="136">
        <v>40839</v>
      </c>
      <c r="J1159">
        <v>33.479999999999997</v>
      </c>
      <c r="K1159">
        <v>33.01</v>
      </c>
      <c r="L1159">
        <v>34.04</v>
      </c>
    </row>
    <row r="1160" spans="1:12">
      <c r="A1160" s="136">
        <v>40840</v>
      </c>
      <c r="B1160">
        <v>2131</v>
      </c>
      <c r="C1160">
        <v>2131</v>
      </c>
      <c r="D1160">
        <v>2222</v>
      </c>
      <c r="E1160" s="136">
        <v>40840</v>
      </c>
      <c r="F1160">
        <v>23.835000000000001</v>
      </c>
      <c r="G1160">
        <v>23.346</v>
      </c>
      <c r="H1160">
        <v>24.417999999999999</v>
      </c>
      <c r="I1160" s="136">
        <v>40840</v>
      </c>
      <c r="J1160">
        <v>33.61</v>
      </c>
      <c r="K1160">
        <v>33.57</v>
      </c>
      <c r="L1160">
        <v>34.69</v>
      </c>
    </row>
    <row r="1161" spans="1:12">
      <c r="A1161" s="136">
        <v>40841</v>
      </c>
      <c r="B1161">
        <v>2210.25</v>
      </c>
      <c r="C1161">
        <v>2196</v>
      </c>
      <c r="D1161">
        <v>2254.5</v>
      </c>
      <c r="E1161" s="136">
        <v>40841</v>
      </c>
      <c r="F1161">
        <v>24.260999999999999</v>
      </c>
      <c r="G1161">
        <v>23.707999999999998</v>
      </c>
      <c r="H1161">
        <v>25.006</v>
      </c>
      <c r="I1161" s="136">
        <v>40841</v>
      </c>
      <c r="J1161">
        <v>34.18</v>
      </c>
      <c r="K1161">
        <v>33.36</v>
      </c>
      <c r="L1161">
        <v>34.249899999999997</v>
      </c>
    </row>
    <row r="1162" spans="1:12">
      <c r="A1162" s="136">
        <v>40842</v>
      </c>
      <c r="B1162">
        <v>2210</v>
      </c>
      <c r="C1162">
        <v>2206.75</v>
      </c>
      <c r="D1162">
        <v>2251</v>
      </c>
      <c r="E1162" s="136">
        <v>40842</v>
      </c>
      <c r="F1162">
        <v>24.222999999999999</v>
      </c>
      <c r="G1162">
        <v>23.844000000000001</v>
      </c>
      <c r="H1162">
        <v>25.07</v>
      </c>
      <c r="I1162" s="136">
        <v>40842</v>
      </c>
      <c r="J1162">
        <v>34.11</v>
      </c>
      <c r="K1162">
        <v>33.5</v>
      </c>
      <c r="L1162">
        <v>34.409999999999997</v>
      </c>
    </row>
    <row r="1163" spans="1:12">
      <c r="A1163" s="136">
        <v>40843</v>
      </c>
      <c r="B1163">
        <v>2208</v>
      </c>
      <c r="C1163">
        <v>2208</v>
      </c>
      <c r="D1163">
        <v>2295</v>
      </c>
      <c r="E1163" s="136">
        <v>40843</v>
      </c>
      <c r="F1163">
        <v>25.01</v>
      </c>
      <c r="G1163">
        <v>25.01</v>
      </c>
      <c r="H1163">
        <v>28.564</v>
      </c>
      <c r="I1163" s="136">
        <v>40843</v>
      </c>
      <c r="J1163">
        <v>36.56</v>
      </c>
      <c r="K1163">
        <v>35.700000000000003</v>
      </c>
      <c r="L1163">
        <v>37.54</v>
      </c>
    </row>
    <row r="1164" spans="1:12">
      <c r="A1164" s="136">
        <v>40844</v>
      </c>
      <c r="B1164">
        <v>2260</v>
      </c>
      <c r="C1164">
        <v>2230.25</v>
      </c>
      <c r="D1164">
        <v>2265.5</v>
      </c>
      <c r="E1164" s="136">
        <v>40844</v>
      </c>
      <c r="F1164">
        <v>28.134</v>
      </c>
      <c r="G1164">
        <v>27.64</v>
      </c>
      <c r="H1164">
        <v>28.824000000000002</v>
      </c>
      <c r="I1164" s="136">
        <v>40844</v>
      </c>
      <c r="J1164">
        <v>36.61</v>
      </c>
      <c r="K1164">
        <v>36.19</v>
      </c>
      <c r="L1164">
        <v>36.979999999999997</v>
      </c>
    </row>
    <row r="1165" spans="1:12">
      <c r="A1165" s="136">
        <v>40845</v>
      </c>
      <c r="B1165">
        <v>2260</v>
      </c>
      <c r="C1165">
        <v>2230.25</v>
      </c>
      <c r="D1165">
        <v>2265.5</v>
      </c>
      <c r="E1165" s="136">
        <v>40845</v>
      </c>
      <c r="F1165">
        <v>28.134</v>
      </c>
      <c r="G1165">
        <v>27.64</v>
      </c>
      <c r="H1165">
        <v>28.824000000000002</v>
      </c>
      <c r="I1165" s="136">
        <v>40845</v>
      </c>
      <c r="J1165">
        <v>36.61</v>
      </c>
      <c r="K1165">
        <v>36.19</v>
      </c>
      <c r="L1165">
        <v>36.979999999999997</v>
      </c>
    </row>
    <row r="1166" spans="1:12">
      <c r="A1166" s="136">
        <v>40846</v>
      </c>
      <c r="B1166">
        <v>2260</v>
      </c>
      <c r="C1166">
        <v>2230.25</v>
      </c>
      <c r="D1166">
        <v>2265.5</v>
      </c>
      <c r="E1166" s="136">
        <v>40846</v>
      </c>
      <c r="F1166">
        <v>28.134</v>
      </c>
      <c r="G1166">
        <v>27.64</v>
      </c>
      <c r="H1166">
        <v>28.824000000000002</v>
      </c>
      <c r="I1166" s="136">
        <v>40846</v>
      </c>
      <c r="J1166">
        <v>36.61</v>
      </c>
      <c r="K1166">
        <v>36.19</v>
      </c>
      <c r="L1166">
        <v>36.979999999999997</v>
      </c>
    </row>
    <row r="1167" spans="1:12">
      <c r="A1167" s="136">
        <v>40847</v>
      </c>
      <c r="B1167">
        <v>2229</v>
      </c>
      <c r="C1167">
        <v>2182</v>
      </c>
      <c r="D1167">
        <v>2245</v>
      </c>
      <c r="E1167" s="136">
        <v>40847</v>
      </c>
      <c r="F1167">
        <v>27.835999999999999</v>
      </c>
      <c r="G1167">
        <v>25.562999999999999</v>
      </c>
      <c r="H1167">
        <v>27.853000000000002</v>
      </c>
      <c r="I1167" s="136">
        <v>40847</v>
      </c>
      <c r="J1167">
        <v>35.93</v>
      </c>
      <c r="K1167">
        <v>34.729999999999997</v>
      </c>
      <c r="L1167">
        <v>36</v>
      </c>
    </row>
    <row r="1168" spans="1:12">
      <c r="A1168" s="136">
        <v>40848</v>
      </c>
      <c r="B1168">
        <v>2215</v>
      </c>
      <c r="C1168">
        <v>2096.25</v>
      </c>
      <c r="D1168">
        <v>2215</v>
      </c>
      <c r="E1168" s="136">
        <v>40848</v>
      </c>
      <c r="F1168">
        <v>24.771999999999998</v>
      </c>
      <c r="G1168">
        <v>22.831</v>
      </c>
      <c r="H1168">
        <v>24.899000000000001</v>
      </c>
      <c r="I1168" s="136">
        <v>40848</v>
      </c>
      <c r="J1168">
        <v>32.47</v>
      </c>
      <c r="K1168">
        <v>31.84</v>
      </c>
      <c r="L1168">
        <v>33.64</v>
      </c>
    </row>
    <row r="1169" spans="1:12">
      <c r="A1169" s="136">
        <v>40849</v>
      </c>
      <c r="B1169">
        <v>2122</v>
      </c>
      <c r="C1169">
        <v>2116.75</v>
      </c>
      <c r="D1169">
        <v>2145.25</v>
      </c>
      <c r="E1169" s="136">
        <v>40849</v>
      </c>
      <c r="F1169">
        <v>24.515999999999998</v>
      </c>
      <c r="G1169">
        <v>22.984000000000002</v>
      </c>
      <c r="H1169">
        <v>24.818000000000001</v>
      </c>
      <c r="I1169" s="136">
        <v>40849</v>
      </c>
      <c r="J1169">
        <v>33.71</v>
      </c>
      <c r="K1169">
        <v>33.06</v>
      </c>
      <c r="L1169">
        <v>33.74</v>
      </c>
    </row>
    <row r="1170" spans="1:12">
      <c r="A1170" s="136">
        <v>40850</v>
      </c>
      <c r="B1170">
        <v>2130</v>
      </c>
      <c r="C1170">
        <v>2111</v>
      </c>
      <c r="D1170">
        <v>2159.75</v>
      </c>
      <c r="E1170" s="136">
        <v>40850</v>
      </c>
      <c r="F1170">
        <v>23.251999999999999</v>
      </c>
      <c r="G1170">
        <v>23.251999999999999</v>
      </c>
      <c r="H1170">
        <v>25.759</v>
      </c>
      <c r="I1170" s="136">
        <v>40850</v>
      </c>
      <c r="J1170">
        <v>34.119999999999997</v>
      </c>
      <c r="K1170">
        <v>32.840000000000003</v>
      </c>
      <c r="L1170">
        <v>34.520000000000003</v>
      </c>
    </row>
    <row r="1171" spans="1:12">
      <c r="A1171" s="136">
        <v>40851</v>
      </c>
      <c r="B1171">
        <v>2150</v>
      </c>
      <c r="C1171">
        <v>2136.25</v>
      </c>
      <c r="D1171">
        <v>2169.75</v>
      </c>
      <c r="E1171" s="136">
        <v>40851</v>
      </c>
      <c r="F1171">
        <v>25.538</v>
      </c>
      <c r="G1171">
        <v>23.707999999999998</v>
      </c>
      <c r="H1171">
        <v>25.623000000000001</v>
      </c>
      <c r="I1171" s="136">
        <v>40851</v>
      </c>
      <c r="J1171">
        <v>33.99</v>
      </c>
      <c r="K1171">
        <v>33.450000000000003</v>
      </c>
      <c r="L1171">
        <v>34.06</v>
      </c>
    </row>
    <row r="1172" spans="1:12">
      <c r="A1172" s="136">
        <v>40852</v>
      </c>
      <c r="B1172">
        <v>2150</v>
      </c>
      <c r="C1172">
        <v>2136.25</v>
      </c>
      <c r="D1172">
        <v>2169.75</v>
      </c>
      <c r="E1172" s="136">
        <v>40852</v>
      </c>
      <c r="F1172">
        <v>25.538</v>
      </c>
      <c r="G1172">
        <v>23.707999999999998</v>
      </c>
      <c r="H1172">
        <v>25.623000000000001</v>
      </c>
      <c r="I1172" s="136">
        <v>40852</v>
      </c>
      <c r="J1172">
        <v>33.99</v>
      </c>
      <c r="K1172">
        <v>33.450000000000003</v>
      </c>
      <c r="L1172">
        <v>34.06</v>
      </c>
    </row>
    <row r="1173" spans="1:12">
      <c r="A1173" s="136">
        <v>40853</v>
      </c>
      <c r="B1173">
        <v>2150</v>
      </c>
      <c r="C1173">
        <v>2136.25</v>
      </c>
      <c r="D1173">
        <v>2169.75</v>
      </c>
      <c r="E1173" s="136">
        <v>40853</v>
      </c>
      <c r="F1173">
        <v>25.538</v>
      </c>
      <c r="G1173">
        <v>23.707999999999998</v>
      </c>
      <c r="H1173">
        <v>25.623000000000001</v>
      </c>
      <c r="I1173" s="136">
        <v>40853</v>
      </c>
      <c r="J1173">
        <v>33.99</v>
      </c>
      <c r="K1173">
        <v>33.450000000000003</v>
      </c>
      <c r="L1173">
        <v>34.06</v>
      </c>
    </row>
    <row r="1174" spans="1:12">
      <c r="A1174" s="136">
        <v>40854</v>
      </c>
      <c r="B1174">
        <v>2150</v>
      </c>
      <c r="C1174">
        <v>2120.8000000000002</v>
      </c>
      <c r="D1174">
        <v>2155.25</v>
      </c>
      <c r="E1174" s="136">
        <v>40854</v>
      </c>
      <c r="F1174">
        <v>24.678000000000001</v>
      </c>
      <c r="G1174">
        <v>23.111999999999998</v>
      </c>
      <c r="H1174">
        <v>24.856999999999999</v>
      </c>
      <c r="I1174" s="136">
        <v>40854</v>
      </c>
      <c r="J1174">
        <v>34.03</v>
      </c>
      <c r="K1174">
        <v>33.71</v>
      </c>
      <c r="L1174">
        <v>34.340000000000003</v>
      </c>
    </row>
    <row r="1175" spans="1:12">
      <c r="A1175" s="136">
        <v>40855</v>
      </c>
      <c r="B1175">
        <v>2130</v>
      </c>
      <c r="C1175">
        <v>2103</v>
      </c>
      <c r="D1175">
        <v>2151</v>
      </c>
      <c r="E1175" s="136">
        <v>40855</v>
      </c>
      <c r="F1175">
        <v>24.035</v>
      </c>
      <c r="G1175">
        <v>24.035</v>
      </c>
      <c r="H1175">
        <v>24.954999999999998</v>
      </c>
      <c r="I1175" s="136">
        <v>40855</v>
      </c>
      <c r="J1175">
        <v>34.53</v>
      </c>
      <c r="K1175">
        <v>34.020000000000003</v>
      </c>
      <c r="L1175">
        <v>35.18</v>
      </c>
    </row>
    <row r="1176" spans="1:12">
      <c r="A1176" s="136">
        <v>40856</v>
      </c>
      <c r="B1176">
        <v>2150</v>
      </c>
      <c r="C1176">
        <v>2108</v>
      </c>
      <c r="D1176">
        <v>2170</v>
      </c>
      <c r="E1176" s="136">
        <v>40856</v>
      </c>
      <c r="F1176">
        <v>24.911999999999999</v>
      </c>
      <c r="G1176">
        <v>22.882000000000001</v>
      </c>
      <c r="H1176">
        <v>25.452999999999999</v>
      </c>
      <c r="I1176" s="136">
        <v>40856</v>
      </c>
      <c r="J1176">
        <v>33.840000000000003</v>
      </c>
      <c r="K1176">
        <v>32.380000000000003</v>
      </c>
      <c r="L1176">
        <v>33.984999999999999</v>
      </c>
    </row>
    <row r="1177" spans="1:12">
      <c r="A1177" s="136">
        <v>40857</v>
      </c>
      <c r="B1177">
        <v>2120</v>
      </c>
      <c r="C1177">
        <v>2097</v>
      </c>
      <c r="D1177">
        <v>2150</v>
      </c>
      <c r="E1177" s="136">
        <v>40857</v>
      </c>
      <c r="F1177">
        <v>22.728999999999999</v>
      </c>
      <c r="G1177">
        <v>22.218</v>
      </c>
      <c r="H1177">
        <v>24.035</v>
      </c>
      <c r="I1177" s="136">
        <v>40857</v>
      </c>
      <c r="J1177">
        <v>32.92</v>
      </c>
      <c r="K1177">
        <v>32.28</v>
      </c>
      <c r="L1177">
        <v>33.229999999999997</v>
      </c>
    </row>
    <row r="1178" spans="1:12">
      <c r="A1178" s="136">
        <v>40858</v>
      </c>
      <c r="B1178">
        <v>2140</v>
      </c>
      <c r="C1178">
        <v>2127</v>
      </c>
      <c r="D1178">
        <v>2183</v>
      </c>
      <c r="E1178" s="136">
        <v>40858</v>
      </c>
      <c r="F1178">
        <v>23.58</v>
      </c>
      <c r="G1178">
        <v>23.265000000000001</v>
      </c>
      <c r="H1178">
        <v>24.687000000000001</v>
      </c>
      <c r="I1178" s="136">
        <v>40858</v>
      </c>
      <c r="J1178">
        <v>33.28</v>
      </c>
      <c r="K1178">
        <v>33.020000000000003</v>
      </c>
      <c r="L1178">
        <v>33.85</v>
      </c>
    </row>
    <row r="1179" spans="1:12">
      <c r="A1179" s="136">
        <v>40859</v>
      </c>
      <c r="B1179">
        <v>2140</v>
      </c>
      <c r="C1179">
        <v>2127</v>
      </c>
      <c r="D1179">
        <v>2183</v>
      </c>
      <c r="E1179" s="136">
        <v>40859</v>
      </c>
      <c r="F1179">
        <v>23.58</v>
      </c>
      <c r="G1179">
        <v>23.265000000000001</v>
      </c>
      <c r="H1179">
        <v>24.687000000000001</v>
      </c>
      <c r="I1179" s="136">
        <v>40859</v>
      </c>
      <c r="J1179">
        <v>33.28</v>
      </c>
      <c r="K1179">
        <v>33.020000000000003</v>
      </c>
      <c r="L1179">
        <v>33.85</v>
      </c>
    </row>
    <row r="1180" spans="1:12">
      <c r="A1180" s="136">
        <v>40860</v>
      </c>
      <c r="B1180">
        <v>2140</v>
      </c>
      <c r="C1180">
        <v>2127</v>
      </c>
      <c r="D1180">
        <v>2183</v>
      </c>
      <c r="E1180" s="136">
        <v>40860</v>
      </c>
      <c r="F1180">
        <v>23.58</v>
      </c>
      <c r="G1180">
        <v>23.265000000000001</v>
      </c>
      <c r="H1180">
        <v>24.687000000000001</v>
      </c>
      <c r="I1180" s="136">
        <v>40860</v>
      </c>
      <c r="J1180">
        <v>33.28</v>
      </c>
      <c r="K1180">
        <v>33.020000000000003</v>
      </c>
      <c r="L1180">
        <v>33.85</v>
      </c>
    </row>
    <row r="1181" spans="1:12">
      <c r="A1181" s="136">
        <v>40861</v>
      </c>
      <c r="B1181">
        <v>2175</v>
      </c>
      <c r="C1181">
        <v>2146</v>
      </c>
      <c r="D1181">
        <v>2197</v>
      </c>
      <c r="E1181" s="136">
        <v>40861</v>
      </c>
      <c r="F1181">
        <v>25.24</v>
      </c>
      <c r="G1181">
        <v>23.942</v>
      </c>
      <c r="H1181">
        <v>25.623000000000001</v>
      </c>
      <c r="I1181" s="136">
        <v>40861</v>
      </c>
      <c r="J1181">
        <v>32.950000000000003</v>
      </c>
      <c r="K1181">
        <v>32.22</v>
      </c>
      <c r="L1181">
        <v>32.979999999999997</v>
      </c>
    </row>
    <row r="1182" spans="1:12">
      <c r="A1182" s="136">
        <v>40862</v>
      </c>
      <c r="B1182">
        <v>2160</v>
      </c>
      <c r="C1182">
        <v>2116.5</v>
      </c>
      <c r="D1182">
        <v>2169.75</v>
      </c>
      <c r="E1182" s="136">
        <v>40862</v>
      </c>
      <c r="F1182">
        <v>24.047999999999998</v>
      </c>
      <c r="G1182">
        <v>23.427</v>
      </c>
      <c r="H1182">
        <v>24.341999999999999</v>
      </c>
      <c r="I1182" s="136">
        <v>40862</v>
      </c>
      <c r="J1182">
        <v>32.090000000000003</v>
      </c>
      <c r="K1182">
        <v>32.08</v>
      </c>
      <c r="L1182">
        <v>33.11</v>
      </c>
    </row>
    <row r="1183" spans="1:12">
      <c r="A1183" s="136">
        <v>40863</v>
      </c>
      <c r="B1183">
        <v>2140</v>
      </c>
      <c r="C1183">
        <v>2113</v>
      </c>
      <c r="D1183">
        <v>2165</v>
      </c>
      <c r="E1183" s="136">
        <v>40863</v>
      </c>
      <c r="F1183">
        <v>23.495000000000001</v>
      </c>
      <c r="G1183">
        <v>23.103000000000002</v>
      </c>
      <c r="H1183">
        <v>24.478000000000002</v>
      </c>
      <c r="I1183" s="136">
        <v>40863</v>
      </c>
      <c r="J1183">
        <v>32.340000000000003</v>
      </c>
      <c r="K1183">
        <v>31.4</v>
      </c>
      <c r="L1183">
        <v>32.488</v>
      </c>
    </row>
    <row r="1184" spans="1:12">
      <c r="A1184" s="136">
        <v>40864</v>
      </c>
      <c r="B1184">
        <v>2150</v>
      </c>
      <c r="C1184">
        <v>2080</v>
      </c>
      <c r="D1184">
        <v>2152.25</v>
      </c>
      <c r="E1184" s="136">
        <v>40864</v>
      </c>
      <c r="F1184">
        <v>23.728999999999999</v>
      </c>
      <c r="G1184">
        <v>22.771000000000001</v>
      </c>
      <c r="H1184">
        <v>24.01</v>
      </c>
      <c r="I1184" s="136">
        <v>40864</v>
      </c>
      <c r="J1184">
        <v>31.4</v>
      </c>
      <c r="K1184">
        <v>30.34</v>
      </c>
      <c r="L1184">
        <v>31.5</v>
      </c>
    </row>
    <row r="1185" spans="1:12">
      <c r="A1185" s="136">
        <v>40865</v>
      </c>
      <c r="B1185">
        <v>2090</v>
      </c>
      <c r="C1185">
        <v>2084</v>
      </c>
      <c r="D1185">
        <v>2130</v>
      </c>
      <c r="E1185" s="136">
        <v>40865</v>
      </c>
      <c r="F1185">
        <v>22.847999999999999</v>
      </c>
      <c r="G1185">
        <v>22.635000000000002</v>
      </c>
      <c r="H1185">
        <v>23.388000000000002</v>
      </c>
      <c r="I1185" s="136">
        <v>40865</v>
      </c>
      <c r="J1185">
        <v>30.67</v>
      </c>
      <c r="K1185">
        <v>30.33</v>
      </c>
      <c r="L1185">
        <v>30.844999999999999</v>
      </c>
    </row>
    <row r="1186" spans="1:12">
      <c r="A1186" s="136">
        <v>40866</v>
      </c>
      <c r="B1186">
        <v>2090</v>
      </c>
      <c r="C1186">
        <v>2084</v>
      </c>
      <c r="D1186">
        <v>2130</v>
      </c>
      <c r="E1186" s="136">
        <v>40866</v>
      </c>
      <c r="F1186">
        <v>22.847999999999999</v>
      </c>
      <c r="G1186">
        <v>22.635000000000002</v>
      </c>
      <c r="H1186">
        <v>23.388000000000002</v>
      </c>
      <c r="I1186" s="136">
        <v>40866</v>
      </c>
      <c r="J1186">
        <v>30.67</v>
      </c>
      <c r="K1186">
        <v>30.33</v>
      </c>
      <c r="L1186">
        <v>30.844999999999999</v>
      </c>
    </row>
    <row r="1187" spans="1:12">
      <c r="A1187" s="136">
        <v>40867</v>
      </c>
      <c r="B1187">
        <v>2090</v>
      </c>
      <c r="C1187">
        <v>2084</v>
      </c>
      <c r="D1187">
        <v>2130</v>
      </c>
      <c r="E1187" s="136">
        <v>40867</v>
      </c>
      <c r="F1187">
        <v>22.847999999999999</v>
      </c>
      <c r="G1187">
        <v>22.635000000000002</v>
      </c>
      <c r="H1187">
        <v>23.388000000000002</v>
      </c>
      <c r="I1187" s="136">
        <v>40867</v>
      </c>
      <c r="J1187">
        <v>30.67</v>
      </c>
      <c r="K1187">
        <v>30.33</v>
      </c>
      <c r="L1187">
        <v>30.844999999999999</v>
      </c>
    </row>
    <row r="1188" spans="1:12">
      <c r="A1188" s="136">
        <v>40868</v>
      </c>
      <c r="B1188">
        <v>2125</v>
      </c>
      <c r="C1188">
        <v>2054.75</v>
      </c>
      <c r="D1188">
        <v>2125</v>
      </c>
      <c r="E1188" s="136">
        <v>40868</v>
      </c>
      <c r="F1188">
        <v>22.728999999999999</v>
      </c>
      <c r="G1188">
        <v>21.622</v>
      </c>
      <c r="H1188">
        <v>22.928999999999998</v>
      </c>
      <c r="I1188" s="136">
        <v>40868</v>
      </c>
      <c r="J1188">
        <v>30.02</v>
      </c>
      <c r="K1188">
        <v>29.6</v>
      </c>
      <c r="L1188">
        <v>30.19</v>
      </c>
    </row>
    <row r="1189" spans="1:12">
      <c r="A1189" s="136">
        <v>40869</v>
      </c>
      <c r="B1189">
        <v>2077</v>
      </c>
      <c r="C1189">
        <v>2064</v>
      </c>
      <c r="D1189">
        <v>2102</v>
      </c>
      <c r="E1189" s="136">
        <v>40869</v>
      </c>
      <c r="F1189">
        <v>21.92</v>
      </c>
      <c r="G1189">
        <v>20.92</v>
      </c>
      <c r="H1189">
        <v>22.192</v>
      </c>
      <c r="I1189" s="136">
        <v>40869</v>
      </c>
      <c r="J1189">
        <v>29.9</v>
      </c>
      <c r="K1189">
        <v>29.38</v>
      </c>
      <c r="L1189">
        <v>30.1</v>
      </c>
    </row>
    <row r="1190" spans="1:12">
      <c r="A1190" s="136">
        <v>40870</v>
      </c>
      <c r="B1190">
        <v>2080</v>
      </c>
      <c r="C1190">
        <v>2003</v>
      </c>
      <c r="D1190">
        <v>2087</v>
      </c>
      <c r="E1190" s="136">
        <v>40870</v>
      </c>
      <c r="F1190">
        <v>20.771000000000001</v>
      </c>
      <c r="G1190">
        <v>20.527999999999999</v>
      </c>
      <c r="H1190">
        <v>21.562000000000001</v>
      </c>
      <c r="I1190" s="136">
        <v>40870</v>
      </c>
      <c r="J1190">
        <v>29.11</v>
      </c>
      <c r="K1190">
        <v>28.33</v>
      </c>
      <c r="L1190">
        <v>29.15</v>
      </c>
    </row>
    <row r="1191" spans="1:12">
      <c r="A1191" s="136">
        <v>40871</v>
      </c>
      <c r="B1191">
        <v>2035</v>
      </c>
      <c r="C1191">
        <v>2010.25</v>
      </c>
      <c r="D1191">
        <v>2048</v>
      </c>
      <c r="E1191" s="136">
        <v>40871</v>
      </c>
      <c r="F1191">
        <v>20.728000000000002</v>
      </c>
      <c r="G1191">
        <v>20.481000000000002</v>
      </c>
      <c r="H1191">
        <v>21.446999999999999</v>
      </c>
      <c r="I1191" s="136">
        <v>40871</v>
      </c>
      <c r="J1191">
        <v>29.11</v>
      </c>
      <c r="K1191">
        <v>28.33</v>
      </c>
      <c r="L1191">
        <v>29.15</v>
      </c>
    </row>
    <row r="1192" spans="1:12">
      <c r="A1192" s="136">
        <v>40872</v>
      </c>
      <c r="B1192">
        <v>2021</v>
      </c>
      <c r="C1192">
        <v>1989</v>
      </c>
      <c r="D1192">
        <v>2032</v>
      </c>
      <c r="E1192" s="136">
        <v>40872</v>
      </c>
      <c r="F1192">
        <v>20.818000000000001</v>
      </c>
      <c r="G1192">
        <v>20.268000000000001</v>
      </c>
      <c r="H1192">
        <v>21.213000000000001</v>
      </c>
      <c r="I1192" s="136">
        <v>40872</v>
      </c>
      <c r="J1192">
        <v>28.28</v>
      </c>
      <c r="K1192">
        <v>28.28</v>
      </c>
      <c r="L1192">
        <v>29.17</v>
      </c>
    </row>
    <row r="1193" spans="1:12">
      <c r="A1193" s="136">
        <v>40873</v>
      </c>
      <c r="B1193">
        <v>2021</v>
      </c>
      <c r="C1193">
        <v>1989</v>
      </c>
      <c r="D1193">
        <v>2032</v>
      </c>
      <c r="E1193" s="136">
        <v>40873</v>
      </c>
      <c r="F1193">
        <v>20.818000000000001</v>
      </c>
      <c r="G1193">
        <v>20.268000000000001</v>
      </c>
      <c r="H1193">
        <v>21.213000000000001</v>
      </c>
      <c r="I1193" s="136">
        <v>40873</v>
      </c>
      <c r="J1193">
        <v>28.28</v>
      </c>
      <c r="K1193">
        <v>28.28</v>
      </c>
      <c r="L1193">
        <v>29.17</v>
      </c>
    </row>
    <row r="1194" spans="1:12">
      <c r="A1194" s="136">
        <v>40874</v>
      </c>
      <c r="B1194">
        <v>2021</v>
      </c>
      <c r="C1194">
        <v>1989</v>
      </c>
      <c r="D1194">
        <v>2032</v>
      </c>
      <c r="E1194" s="136">
        <v>40874</v>
      </c>
      <c r="F1194">
        <v>20.818000000000001</v>
      </c>
      <c r="G1194">
        <v>20.268000000000001</v>
      </c>
      <c r="H1194">
        <v>21.213000000000001</v>
      </c>
      <c r="I1194" s="136">
        <v>40874</v>
      </c>
      <c r="J1194">
        <v>28.28</v>
      </c>
      <c r="K1194">
        <v>28.28</v>
      </c>
      <c r="L1194">
        <v>29.17</v>
      </c>
    </row>
    <row r="1195" spans="1:12">
      <c r="A1195" s="136">
        <v>40875</v>
      </c>
      <c r="B1195">
        <v>2005</v>
      </c>
      <c r="C1195">
        <v>2005</v>
      </c>
      <c r="D1195">
        <v>2040</v>
      </c>
      <c r="E1195" s="136">
        <v>40875</v>
      </c>
      <c r="F1195">
        <v>22.013999999999999</v>
      </c>
      <c r="G1195">
        <v>21.469000000000001</v>
      </c>
      <c r="H1195">
        <v>22.838999999999999</v>
      </c>
      <c r="I1195" s="136">
        <v>40875</v>
      </c>
      <c r="J1195">
        <v>29.71</v>
      </c>
      <c r="K1195">
        <v>28.82</v>
      </c>
      <c r="L1195">
        <v>30.07</v>
      </c>
    </row>
    <row r="1196" spans="1:12">
      <c r="A1196" s="136">
        <v>40876</v>
      </c>
      <c r="B1196">
        <v>2027</v>
      </c>
      <c r="C1196">
        <v>1995.5</v>
      </c>
      <c r="D1196">
        <v>2034</v>
      </c>
      <c r="E1196" s="136">
        <v>40876</v>
      </c>
      <c r="F1196">
        <v>22.643000000000001</v>
      </c>
      <c r="G1196">
        <v>22.030999999999999</v>
      </c>
      <c r="H1196">
        <v>23.268999999999998</v>
      </c>
      <c r="I1196" s="136">
        <v>40876</v>
      </c>
      <c r="J1196">
        <v>28.98</v>
      </c>
      <c r="K1196">
        <v>28.48</v>
      </c>
      <c r="L1196">
        <v>29.13</v>
      </c>
    </row>
    <row r="1197" spans="1:12">
      <c r="A1197" s="136">
        <v>40877</v>
      </c>
      <c r="B1197">
        <v>2000</v>
      </c>
      <c r="C1197">
        <v>1975.5</v>
      </c>
      <c r="D1197">
        <v>2116</v>
      </c>
      <c r="E1197" s="136">
        <v>40877</v>
      </c>
      <c r="F1197">
        <v>22.26</v>
      </c>
      <c r="G1197">
        <v>22.26</v>
      </c>
      <c r="H1197">
        <v>24.623000000000001</v>
      </c>
      <c r="I1197" s="136">
        <v>40877</v>
      </c>
      <c r="J1197">
        <v>30.15</v>
      </c>
      <c r="K1197">
        <v>29.8</v>
      </c>
      <c r="L1197">
        <v>31</v>
      </c>
    </row>
    <row r="1198" spans="1:12">
      <c r="A1198" s="136">
        <v>40878</v>
      </c>
      <c r="B1198">
        <v>2100</v>
      </c>
      <c r="C1198">
        <v>2076.25</v>
      </c>
      <c r="D1198">
        <v>2158</v>
      </c>
      <c r="E1198" s="136">
        <v>40878</v>
      </c>
      <c r="F1198">
        <v>24.695</v>
      </c>
      <c r="G1198">
        <v>24.074000000000002</v>
      </c>
      <c r="H1198">
        <v>24.814</v>
      </c>
      <c r="I1198" s="136">
        <v>40878</v>
      </c>
      <c r="J1198">
        <v>30.86</v>
      </c>
      <c r="K1198">
        <v>30.03</v>
      </c>
      <c r="L1198">
        <v>30.97</v>
      </c>
    </row>
    <row r="1199" spans="1:12">
      <c r="A1199" s="136">
        <v>40879</v>
      </c>
      <c r="B1199">
        <v>2130</v>
      </c>
      <c r="C1199">
        <v>2116</v>
      </c>
      <c r="D1199">
        <v>2168</v>
      </c>
      <c r="E1199" s="136">
        <v>40879</v>
      </c>
      <c r="F1199">
        <v>24.635000000000002</v>
      </c>
      <c r="G1199">
        <v>24.515999999999998</v>
      </c>
      <c r="H1199">
        <v>25.963000000000001</v>
      </c>
      <c r="I1199" s="136">
        <v>40879</v>
      </c>
      <c r="J1199">
        <v>30.88</v>
      </c>
      <c r="K1199">
        <v>30.81</v>
      </c>
      <c r="L1199">
        <v>33.270000000000003</v>
      </c>
    </row>
    <row r="1200" spans="1:12">
      <c r="A1200" s="136">
        <v>40880</v>
      </c>
      <c r="B1200">
        <v>2130</v>
      </c>
      <c r="C1200">
        <v>2116</v>
      </c>
      <c r="D1200">
        <v>2168</v>
      </c>
      <c r="E1200" s="136">
        <v>40880</v>
      </c>
      <c r="F1200">
        <v>24.635000000000002</v>
      </c>
      <c r="G1200">
        <v>24.515999999999998</v>
      </c>
      <c r="H1200">
        <v>25.963000000000001</v>
      </c>
      <c r="I1200" s="136">
        <v>40880</v>
      </c>
      <c r="J1200">
        <v>30.88</v>
      </c>
      <c r="K1200">
        <v>30.81</v>
      </c>
      <c r="L1200">
        <v>33.270000000000003</v>
      </c>
    </row>
    <row r="1201" spans="1:12">
      <c r="A1201" s="136">
        <v>40881</v>
      </c>
      <c r="B1201">
        <v>2130</v>
      </c>
      <c r="C1201">
        <v>2116</v>
      </c>
      <c r="D1201">
        <v>2168</v>
      </c>
      <c r="E1201" s="136">
        <v>40881</v>
      </c>
      <c r="F1201">
        <v>24.635000000000002</v>
      </c>
      <c r="G1201">
        <v>24.515999999999998</v>
      </c>
      <c r="H1201">
        <v>25.963000000000001</v>
      </c>
      <c r="I1201" s="136">
        <v>40881</v>
      </c>
      <c r="J1201">
        <v>30.88</v>
      </c>
      <c r="K1201">
        <v>30.81</v>
      </c>
      <c r="L1201">
        <v>33.270000000000003</v>
      </c>
    </row>
    <row r="1202" spans="1:12">
      <c r="A1202" s="136">
        <v>40882</v>
      </c>
      <c r="B1202">
        <v>2129</v>
      </c>
      <c r="C1202">
        <v>2097.75</v>
      </c>
      <c r="D1202">
        <v>2140</v>
      </c>
      <c r="E1202" s="136">
        <v>40882</v>
      </c>
      <c r="F1202">
        <v>25.707999999999998</v>
      </c>
      <c r="G1202">
        <v>25.24</v>
      </c>
      <c r="H1202">
        <v>26.303999999999998</v>
      </c>
      <c r="I1202" s="136">
        <v>40882</v>
      </c>
      <c r="J1202">
        <v>33.64</v>
      </c>
      <c r="K1202">
        <v>33.22</v>
      </c>
      <c r="L1202">
        <v>34.1</v>
      </c>
    </row>
    <row r="1203" spans="1:12">
      <c r="A1203" s="136">
        <v>40883</v>
      </c>
      <c r="B1203">
        <v>2124</v>
      </c>
      <c r="C1203">
        <v>2098.25</v>
      </c>
      <c r="D1203">
        <v>2124</v>
      </c>
      <c r="E1203" s="136">
        <v>40883</v>
      </c>
      <c r="F1203">
        <v>24.515999999999998</v>
      </c>
      <c r="G1203">
        <v>24.388999999999999</v>
      </c>
      <c r="H1203">
        <v>25.661000000000001</v>
      </c>
      <c r="I1203" s="136">
        <v>40883</v>
      </c>
      <c r="J1203">
        <v>33.26</v>
      </c>
      <c r="K1203">
        <v>32.68</v>
      </c>
      <c r="L1203">
        <v>33.58</v>
      </c>
    </row>
    <row r="1204" spans="1:12">
      <c r="A1204" s="136">
        <v>40884</v>
      </c>
      <c r="B1204">
        <v>2117</v>
      </c>
      <c r="C1204">
        <v>2070.25</v>
      </c>
      <c r="D1204">
        <v>2134.25</v>
      </c>
      <c r="E1204" s="136">
        <v>40884</v>
      </c>
      <c r="F1204">
        <v>25.623000000000001</v>
      </c>
      <c r="G1204">
        <v>24.303000000000001</v>
      </c>
      <c r="H1204">
        <v>26.111999999999998</v>
      </c>
      <c r="I1204" s="136">
        <v>40884</v>
      </c>
      <c r="J1204">
        <v>32.82</v>
      </c>
      <c r="K1204">
        <v>32.72</v>
      </c>
      <c r="L1204">
        <v>34.19</v>
      </c>
    </row>
    <row r="1205" spans="1:12">
      <c r="A1205" s="136">
        <v>40885</v>
      </c>
      <c r="B1205">
        <v>2085</v>
      </c>
      <c r="C1205">
        <v>2045</v>
      </c>
      <c r="D1205">
        <v>2092</v>
      </c>
      <c r="E1205" s="136">
        <v>40885</v>
      </c>
      <c r="F1205">
        <v>25.521000000000001</v>
      </c>
      <c r="G1205">
        <v>23.835000000000001</v>
      </c>
      <c r="H1205">
        <v>25.934000000000001</v>
      </c>
      <c r="I1205" s="136">
        <v>40885</v>
      </c>
      <c r="J1205">
        <v>33.549999999999997</v>
      </c>
      <c r="K1205">
        <v>32.08</v>
      </c>
      <c r="L1205">
        <v>33.700000000000003</v>
      </c>
    </row>
    <row r="1206" spans="1:12">
      <c r="A1206" s="136">
        <v>40886</v>
      </c>
      <c r="B1206">
        <v>2068</v>
      </c>
      <c r="C1206">
        <v>2046.25</v>
      </c>
      <c r="D1206">
        <v>2088.25</v>
      </c>
      <c r="E1206" s="136">
        <v>40886</v>
      </c>
      <c r="F1206">
        <v>23.818000000000001</v>
      </c>
      <c r="G1206">
        <v>23.591000000000001</v>
      </c>
      <c r="H1206">
        <v>25.324999999999999</v>
      </c>
      <c r="I1206" s="136">
        <v>40886</v>
      </c>
      <c r="J1206">
        <v>32.36</v>
      </c>
      <c r="K1206">
        <v>32.36</v>
      </c>
      <c r="L1206">
        <v>33.31</v>
      </c>
    </row>
    <row r="1207" spans="1:12">
      <c r="A1207" s="136">
        <v>40887</v>
      </c>
      <c r="B1207">
        <v>2068</v>
      </c>
      <c r="C1207">
        <v>2046.25</v>
      </c>
      <c r="D1207">
        <v>2088.25</v>
      </c>
      <c r="E1207" s="136">
        <v>40887</v>
      </c>
      <c r="F1207">
        <v>23.818000000000001</v>
      </c>
      <c r="G1207">
        <v>23.591000000000001</v>
      </c>
      <c r="H1207">
        <v>25.324999999999999</v>
      </c>
      <c r="I1207" s="136">
        <v>40887</v>
      </c>
      <c r="J1207">
        <v>32.36</v>
      </c>
      <c r="K1207">
        <v>32.36</v>
      </c>
      <c r="L1207">
        <v>33.31</v>
      </c>
    </row>
    <row r="1208" spans="1:12">
      <c r="A1208" s="136">
        <v>40888</v>
      </c>
      <c r="B1208">
        <v>2068</v>
      </c>
      <c r="C1208">
        <v>2046.25</v>
      </c>
      <c r="D1208">
        <v>2088.25</v>
      </c>
      <c r="E1208" s="136">
        <v>40888</v>
      </c>
      <c r="F1208">
        <v>23.818000000000001</v>
      </c>
      <c r="G1208">
        <v>23.591000000000001</v>
      </c>
      <c r="H1208">
        <v>25.324999999999999</v>
      </c>
      <c r="I1208" s="136">
        <v>40888</v>
      </c>
      <c r="J1208">
        <v>32.36</v>
      </c>
      <c r="K1208">
        <v>32.36</v>
      </c>
      <c r="L1208">
        <v>33.31</v>
      </c>
    </row>
    <row r="1209" spans="1:12">
      <c r="A1209" s="136">
        <v>40889</v>
      </c>
      <c r="B1209">
        <v>2073</v>
      </c>
      <c r="C1209">
        <v>2005</v>
      </c>
      <c r="D1209">
        <v>2073</v>
      </c>
      <c r="E1209" s="136">
        <v>40889</v>
      </c>
      <c r="F1209">
        <v>25.282</v>
      </c>
      <c r="G1209">
        <v>23.611999999999998</v>
      </c>
      <c r="H1209">
        <v>25.332999999999998</v>
      </c>
      <c r="I1209" s="136">
        <v>40889</v>
      </c>
      <c r="J1209">
        <v>32.549999999999997</v>
      </c>
      <c r="K1209">
        <v>31.76</v>
      </c>
      <c r="L1209">
        <v>32.6</v>
      </c>
    </row>
    <row r="1210" spans="1:12">
      <c r="A1210" s="136">
        <v>40890</v>
      </c>
      <c r="B1210">
        <v>2028</v>
      </c>
      <c r="C1210">
        <v>1997</v>
      </c>
      <c r="D1210">
        <v>2040</v>
      </c>
      <c r="E1210" s="136">
        <v>40890</v>
      </c>
      <c r="F1210">
        <v>24.082000000000001</v>
      </c>
      <c r="G1210">
        <v>23.204999999999998</v>
      </c>
      <c r="H1210">
        <v>24.260999999999999</v>
      </c>
      <c r="I1210" s="136">
        <v>40890</v>
      </c>
      <c r="J1210">
        <v>32.369999999999997</v>
      </c>
      <c r="K1210">
        <v>30.87</v>
      </c>
      <c r="L1210">
        <v>32.630000000000003</v>
      </c>
    </row>
    <row r="1211" spans="1:12">
      <c r="A1211" s="136">
        <v>40891</v>
      </c>
      <c r="B1211">
        <v>2005</v>
      </c>
      <c r="C1211">
        <v>1955.75</v>
      </c>
      <c r="D1211">
        <v>2019</v>
      </c>
      <c r="E1211" s="136">
        <v>40891</v>
      </c>
      <c r="F1211">
        <v>23.41</v>
      </c>
      <c r="G1211">
        <v>23.170999999999999</v>
      </c>
      <c r="H1211">
        <v>23.908000000000001</v>
      </c>
      <c r="I1211" s="136">
        <v>40891</v>
      </c>
      <c r="J1211">
        <v>30.88</v>
      </c>
      <c r="K1211">
        <v>30.83</v>
      </c>
      <c r="L1211">
        <v>31.94</v>
      </c>
    </row>
    <row r="1212" spans="1:12">
      <c r="A1212" s="136">
        <v>40892</v>
      </c>
      <c r="B1212">
        <v>1969</v>
      </c>
      <c r="C1212">
        <v>1967.25</v>
      </c>
      <c r="D1212">
        <v>2000</v>
      </c>
      <c r="E1212" s="136">
        <v>40892</v>
      </c>
      <c r="F1212">
        <v>23.18</v>
      </c>
      <c r="G1212">
        <v>23.085999999999999</v>
      </c>
      <c r="H1212">
        <v>24.196999999999999</v>
      </c>
      <c r="I1212" s="136">
        <v>40892</v>
      </c>
      <c r="J1212">
        <v>32.1</v>
      </c>
      <c r="K1212">
        <v>31.57</v>
      </c>
      <c r="L1212">
        <v>32.28</v>
      </c>
    </row>
    <row r="1213" spans="1:12">
      <c r="A1213" s="136">
        <v>40893</v>
      </c>
      <c r="B1213">
        <v>1990</v>
      </c>
      <c r="C1213">
        <v>1987.75</v>
      </c>
      <c r="D1213">
        <v>2020.5</v>
      </c>
      <c r="E1213" s="136">
        <v>40893</v>
      </c>
      <c r="F1213">
        <v>23.503</v>
      </c>
      <c r="G1213">
        <v>22.916</v>
      </c>
      <c r="H1213">
        <v>23.98</v>
      </c>
      <c r="I1213" s="136">
        <v>40893</v>
      </c>
      <c r="J1213">
        <v>32.159999999999997</v>
      </c>
      <c r="K1213">
        <v>31.809100000000001</v>
      </c>
      <c r="L1213">
        <v>32.6</v>
      </c>
    </row>
    <row r="1214" spans="1:12">
      <c r="A1214" s="136">
        <v>40894</v>
      </c>
      <c r="B1214">
        <v>1990</v>
      </c>
      <c r="C1214">
        <v>1987.75</v>
      </c>
      <c r="D1214">
        <v>2020.5</v>
      </c>
      <c r="E1214" s="136">
        <v>40894</v>
      </c>
      <c r="F1214">
        <v>23.503</v>
      </c>
      <c r="G1214">
        <v>22.916</v>
      </c>
      <c r="H1214">
        <v>23.98</v>
      </c>
      <c r="I1214" s="136">
        <v>40894</v>
      </c>
      <c r="J1214">
        <v>32.159999999999997</v>
      </c>
      <c r="K1214">
        <v>31.809100000000001</v>
      </c>
      <c r="L1214">
        <v>32.6</v>
      </c>
    </row>
    <row r="1215" spans="1:12">
      <c r="A1215" s="136">
        <v>40895</v>
      </c>
      <c r="B1215">
        <v>1990</v>
      </c>
      <c r="C1215">
        <v>1987.75</v>
      </c>
      <c r="D1215">
        <v>2020.5</v>
      </c>
      <c r="E1215" s="136">
        <v>40895</v>
      </c>
      <c r="F1215">
        <v>23.503</v>
      </c>
      <c r="G1215">
        <v>22.916</v>
      </c>
      <c r="H1215">
        <v>23.98</v>
      </c>
      <c r="I1215" s="136">
        <v>40895</v>
      </c>
      <c r="J1215">
        <v>32.159999999999997</v>
      </c>
      <c r="K1215">
        <v>31.809100000000001</v>
      </c>
      <c r="L1215">
        <v>32.6</v>
      </c>
    </row>
    <row r="1216" spans="1:12">
      <c r="A1216" s="136">
        <v>40896</v>
      </c>
      <c r="B1216">
        <v>2010</v>
      </c>
      <c r="C1216">
        <v>1961</v>
      </c>
      <c r="D1216">
        <v>2010</v>
      </c>
      <c r="E1216" s="136">
        <v>40896</v>
      </c>
      <c r="F1216">
        <v>22.940999999999999</v>
      </c>
      <c r="G1216">
        <v>22.741</v>
      </c>
      <c r="H1216">
        <v>23.818000000000001</v>
      </c>
      <c r="I1216" s="136">
        <v>40896</v>
      </c>
      <c r="J1216">
        <v>31.87</v>
      </c>
      <c r="K1216">
        <v>30.42</v>
      </c>
      <c r="L1216">
        <v>31.9</v>
      </c>
    </row>
    <row r="1217" spans="1:12">
      <c r="A1217" s="136">
        <v>40897</v>
      </c>
      <c r="B1217">
        <v>1965.25</v>
      </c>
      <c r="C1217">
        <v>1965.25</v>
      </c>
      <c r="D1217">
        <v>2017</v>
      </c>
      <c r="E1217" s="136">
        <v>40897</v>
      </c>
      <c r="F1217">
        <v>23.068999999999999</v>
      </c>
      <c r="G1217">
        <v>23.001000000000001</v>
      </c>
      <c r="H1217">
        <v>24.393000000000001</v>
      </c>
      <c r="I1217" s="136">
        <v>40897</v>
      </c>
      <c r="J1217">
        <v>31.4</v>
      </c>
      <c r="K1217">
        <v>31.24</v>
      </c>
      <c r="L1217">
        <v>32.44</v>
      </c>
    </row>
    <row r="1218" spans="1:12">
      <c r="A1218" s="136">
        <v>40898</v>
      </c>
      <c r="B1218">
        <v>2003.75</v>
      </c>
      <c r="C1218">
        <v>1969.5</v>
      </c>
      <c r="D1218">
        <v>2023</v>
      </c>
      <c r="E1218" s="136">
        <v>40898</v>
      </c>
      <c r="F1218">
        <v>24.635000000000002</v>
      </c>
      <c r="G1218">
        <v>24.006</v>
      </c>
      <c r="H1218">
        <v>25.521000000000001</v>
      </c>
      <c r="I1218" s="136">
        <v>40898</v>
      </c>
      <c r="J1218">
        <v>32</v>
      </c>
      <c r="K1218">
        <v>31.9</v>
      </c>
      <c r="L1218">
        <v>32.409999999999997</v>
      </c>
    </row>
    <row r="1219" spans="1:12">
      <c r="A1219" s="136">
        <v>40899</v>
      </c>
      <c r="B1219">
        <v>2000</v>
      </c>
      <c r="C1219">
        <v>1985</v>
      </c>
      <c r="D1219">
        <v>2024.5</v>
      </c>
      <c r="E1219" s="136">
        <v>40899</v>
      </c>
      <c r="F1219">
        <v>24.329000000000001</v>
      </c>
      <c r="G1219">
        <v>24.137</v>
      </c>
      <c r="H1219">
        <v>25.239000000000001</v>
      </c>
      <c r="I1219" s="136">
        <v>40899</v>
      </c>
      <c r="J1219">
        <v>32.69</v>
      </c>
      <c r="K1219">
        <v>32.540100000000002</v>
      </c>
      <c r="L1219">
        <v>33.549999999999997</v>
      </c>
    </row>
    <row r="1220" spans="1:12">
      <c r="A1220" s="136">
        <v>40900</v>
      </c>
      <c r="B1220">
        <v>2021</v>
      </c>
      <c r="C1220">
        <v>2007.5</v>
      </c>
      <c r="D1220">
        <v>2033.75</v>
      </c>
      <c r="E1220" s="136">
        <v>40900</v>
      </c>
      <c r="F1220">
        <v>25.24</v>
      </c>
      <c r="G1220">
        <v>24.942</v>
      </c>
      <c r="H1220">
        <v>25.507999999999999</v>
      </c>
      <c r="I1220" s="136">
        <v>40900</v>
      </c>
      <c r="J1220">
        <v>33.619999999999997</v>
      </c>
      <c r="K1220">
        <v>33.130000000000003</v>
      </c>
      <c r="L1220">
        <v>33.700000000000003</v>
      </c>
    </row>
    <row r="1221" spans="1:12">
      <c r="A1221" s="136">
        <v>40901</v>
      </c>
      <c r="B1221">
        <v>2021</v>
      </c>
      <c r="C1221">
        <v>2007.5</v>
      </c>
      <c r="D1221">
        <v>2033.75</v>
      </c>
      <c r="E1221" s="136">
        <v>40901</v>
      </c>
      <c r="F1221">
        <v>25.24</v>
      </c>
      <c r="G1221">
        <v>24.942</v>
      </c>
      <c r="H1221">
        <v>25.507999999999999</v>
      </c>
      <c r="I1221" s="136">
        <v>40901</v>
      </c>
      <c r="J1221">
        <v>33.619999999999997</v>
      </c>
      <c r="K1221">
        <v>33.130000000000003</v>
      </c>
      <c r="L1221">
        <v>33.700000000000003</v>
      </c>
    </row>
    <row r="1222" spans="1:12">
      <c r="A1222" s="136">
        <v>40902</v>
      </c>
      <c r="B1222">
        <v>2021</v>
      </c>
      <c r="C1222">
        <v>2007.5</v>
      </c>
      <c r="D1222">
        <v>2033.75</v>
      </c>
      <c r="E1222" s="136">
        <v>40902</v>
      </c>
      <c r="F1222">
        <v>25.24</v>
      </c>
      <c r="G1222">
        <v>24.942</v>
      </c>
      <c r="H1222">
        <v>25.507999999999999</v>
      </c>
      <c r="I1222" s="136">
        <v>40902</v>
      </c>
      <c r="J1222">
        <v>33.619999999999997</v>
      </c>
      <c r="K1222">
        <v>33.130000000000003</v>
      </c>
      <c r="L1222">
        <v>33.700000000000003</v>
      </c>
    </row>
    <row r="1223" spans="1:12">
      <c r="A1223" s="136">
        <v>40903</v>
      </c>
      <c r="B1223">
        <v>2021</v>
      </c>
      <c r="C1223">
        <v>2007.5</v>
      </c>
      <c r="D1223">
        <v>2033.75</v>
      </c>
      <c r="E1223" s="136">
        <v>40903</v>
      </c>
      <c r="F1223">
        <v>25.24</v>
      </c>
      <c r="G1223">
        <v>24.942</v>
      </c>
      <c r="H1223">
        <v>25.507999999999999</v>
      </c>
      <c r="I1223" s="136">
        <v>40903</v>
      </c>
      <c r="J1223">
        <v>33.619999999999997</v>
      </c>
      <c r="K1223">
        <v>33.130000000000003</v>
      </c>
      <c r="L1223">
        <v>33.700000000000003</v>
      </c>
    </row>
    <row r="1224" spans="1:12">
      <c r="A1224" s="136">
        <v>40904</v>
      </c>
      <c r="B1224">
        <v>2021</v>
      </c>
      <c r="C1224">
        <v>2007.5</v>
      </c>
      <c r="D1224">
        <v>2033.75</v>
      </c>
      <c r="E1224" s="136">
        <v>40904</v>
      </c>
      <c r="F1224">
        <v>25.372</v>
      </c>
      <c r="G1224">
        <v>24.95</v>
      </c>
      <c r="H1224">
        <v>25.491</v>
      </c>
      <c r="I1224" s="136">
        <v>40904</v>
      </c>
      <c r="J1224">
        <v>33.22</v>
      </c>
      <c r="K1224">
        <v>33.03</v>
      </c>
      <c r="L1224">
        <v>33.69</v>
      </c>
    </row>
    <row r="1225" spans="1:12">
      <c r="A1225" s="136">
        <v>40905</v>
      </c>
      <c r="B1225">
        <v>2016</v>
      </c>
      <c r="C1225">
        <v>1983</v>
      </c>
      <c r="D1225">
        <v>2018</v>
      </c>
      <c r="E1225" s="136">
        <v>40905</v>
      </c>
      <c r="F1225">
        <v>25.196999999999999</v>
      </c>
      <c r="G1225">
        <v>24.234999999999999</v>
      </c>
      <c r="H1225">
        <v>25.213999999999999</v>
      </c>
      <c r="I1225" s="136">
        <v>40905</v>
      </c>
      <c r="J1225">
        <v>32.99</v>
      </c>
      <c r="K1225">
        <v>32.573799999999999</v>
      </c>
      <c r="L1225">
        <v>33.090000000000003</v>
      </c>
    </row>
    <row r="1226" spans="1:12">
      <c r="A1226" s="136">
        <v>40906</v>
      </c>
      <c r="B1226">
        <v>1989</v>
      </c>
      <c r="C1226">
        <v>1980.5</v>
      </c>
      <c r="D1226">
        <v>2003.25</v>
      </c>
      <c r="E1226" s="136">
        <v>40906</v>
      </c>
      <c r="F1226">
        <v>24.457000000000001</v>
      </c>
      <c r="G1226">
        <v>24.234999999999999</v>
      </c>
      <c r="H1226">
        <v>25.027000000000001</v>
      </c>
      <c r="I1226" s="136">
        <v>40906</v>
      </c>
      <c r="J1226">
        <v>32.71</v>
      </c>
      <c r="K1226">
        <v>32.71</v>
      </c>
      <c r="L1226">
        <v>33.520000000000003</v>
      </c>
    </row>
    <row r="1227" spans="1:12">
      <c r="A1227" s="136">
        <v>40907</v>
      </c>
      <c r="B1227">
        <v>1994.25</v>
      </c>
      <c r="C1227">
        <v>1990</v>
      </c>
      <c r="D1227">
        <v>2020</v>
      </c>
      <c r="E1227" s="136">
        <v>40907</v>
      </c>
      <c r="F1227">
        <v>24.942</v>
      </c>
      <c r="G1227">
        <v>24.61</v>
      </c>
      <c r="H1227">
        <v>25.056999999999999</v>
      </c>
      <c r="I1227" s="136">
        <v>40907</v>
      </c>
      <c r="J1227">
        <v>33.11</v>
      </c>
      <c r="K1227">
        <v>33.06</v>
      </c>
      <c r="L1227">
        <v>33.42</v>
      </c>
    </row>
    <row r="1228" spans="1:12">
      <c r="A1228" s="136">
        <v>40908</v>
      </c>
      <c r="B1228">
        <v>1994.25</v>
      </c>
      <c r="C1228">
        <v>1990</v>
      </c>
      <c r="D1228">
        <v>2020</v>
      </c>
      <c r="E1228" s="136">
        <v>40908</v>
      </c>
      <c r="F1228">
        <v>24.942</v>
      </c>
      <c r="G1228">
        <v>24.61</v>
      </c>
      <c r="H1228">
        <v>25.056999999999999</v>
      </c>
      <c r="I1228" s="136">
        <v>40908</v>
      </c>
      <c r="J1228">
        <v>33.11</v>
      </c>
      <c r="K1228">
        <v>33.06</v>
      </c>
      <c r="L1228">
        <v>33.42</v>
      </c>
    </row>
    <row r="1229" spans="1:12">
      <c r="A1229" s="136">
        <v>40909</v>
      </c>
      <c r="B1229">
        <v>1994.25</v>
      </c>
      <c r="C1229">
        <v>1990</v>
      </c>
      <c r="D1229">
        <v>2020</v>
      </c>
      <c r="E1229" s="136">
        <v>40909</v>
      </c>
      <c r="F1229">
        <v>24.942</v>
      </c>
      <c r="G1229">
        <v>24.61</v>
      </c>
      <c r="H1229">
        <v>25.056999999999999</v>
      </c>
      <c r="I1229" s="136">
        <v>40909</v>
      </c>
      <c r="J1229">
        <v>33.11</v>
      </c>
      <c r="K1229">
        <v>33.06</v>
      </c>
      <c r="L1229">
        <v>33.42</v>
      </c>
    </row>
    <row r="1230" spans="1:12">
      <c r="A1230" s="136">
        <v>40910</v>
      </c>
      <c r="B1230">
        <v>1994.25</v>
      </c>
      <c r="C1230">
        <v>1990</v>
      </c>
      <c r="D1230">
        <v>2020</v>
      </c>
      <c r="E1230" s="136">
        <v>40910</v>
      </c>
      <c r="F1230">
        <v>24.942</v>
      </c>
      <c r="G1230">
        <v>24.783999999999999</v>
      </c>
      <c r="H1230">
        <v>25.84</v>
      </c>
      <c r="I1230" s="136">
        <v>40910</v>
      </c>
      <c r="J1230">
        <v>33.11</v>
      </c>
      <c r="K1230">
        <v>33.06</v>
      </c>
      <c r="L1230">
        <v>33.42</v>
      </c>
    </row>
    <row r="1231" spans="1:12">
      <c r="A1231" s="136">
        <v>40911</v>
      </c>
      <c r="B1231">
        <v>2020</v>
      </c>
      <c r="C1231">
        <v>2016</v>
      </c>
      <c r="D1231">
        <v>2078.25</v>
      </c>
      <c r="E1231" s="136">
        <v>40911</v>
      </c>
      <c r="F1231">
        <v>25.61</v>
      </c>
      <c r="G1231">
        <v>25.58</v>
      </c>
      <c r="H1231">
        <v>26.202000000000002</v>
      </c>
      <c r="I1231" s="136">
        <v>40911</v>
      </c>
      <c r="J1231">
        <v>34.06</v>
      </c>
      <c r="K1231">
        <v>34.01</v>
      </c>
      <c r="L1231">
        <v>35.19</v>
      </c>
    </row>
    <row r="1232" spans="1:12">
      <c r="A1232" s="136">
        <v>40912</v>
      </c>
      <c r="B1232">
        <v>2074.75</v>
      </c>
      <c r="C1232">
        <v>2046.5</v>
      </c>
      <c r="D1232">
        <v>2087</v>
      </c>
      <c r="E1232" s="136">
        <v>40912</v>
      </c>
      <c r="F1232">
        <v>25.882999999999999</v>
      </c>
      <c r="G1232">
        <v>25.044</v>
      </c>
      <c r="H1232">
        <v>26.04</v>
      </c>
      <c r="I1232" s="136">
        <v>40912</v>
      </c>
      <c r="J1232">
        <v>34.44</v>
      </c>
      <c r="K1232">
        <v>34.33</v>
      </c>
      <c r="L1232">
        <v>35.15</v>
      </c>
    </row>
    <row r="1233" spans="1:12">
      <c r="A1233" s="136">
        <v>40913</v>
      </c>
      <c r="B1233">
        <v>2058</v>
      </c>
      <c r="C1233">
        <v>2027</v>
      </c>
      <c r="D1233">
        <v>2069.25</v>
      </c>
      <c r="E1233" s="136">
        <v>40913</v>
      </c>
      <c r="F1233">
        <v>25.398</v>
      </c>
      <c r="G1233">
        <v>23.588000000000001</v>
      </c>
      <c r="H1233">
        <v>25.474</v>
      </c>
      <c r="I1233" s="136">
        <v>40913</v>
      </c>
      <c r="J1233">
        <v>34.71</v>
      </c>
      <c r="K1233">
        <v>34.405000000000001</v>
      </c>
      <c r="L1233">
        <v>35.92</v>
      </c>
    </row>
    <row r="1234" spans="1:12">
      <c r="A1234" s="136">
        <v>40914</v>
      </c>
      <c r="B1234">
        <v>2047</v>
      </c>
      <c r="C1234">
        <v>2035</v>
      </c>
      <c r="D1234">
        <v>2069.15</v>
      </c>
      <c r="E1234" s="136">
        <v>40914</v>
      </c>
      <c r="F1234">
        <v>24.132999999999999</v>
      </c>
      <c r="G1234">
        <v>22.907</v>
      </c>
      <c r="H1234">
        <v>24.158999999999999</v>
      </c>
      <c r="I1234" s="136">
        <v>40914</v>
      </c>
      <c r="J1234">
        <v>35.69</v>
      </c>
      <c r="K1234">
        <v>35.14</v>
      </c>
      <c r="L1234">
        <v>35.770000000000003</v>
      </c>
    </row>
    <row r="1235" spans="1:12">
      <c r="A1235" s="136">
        <v>40915</v>
      </c>
      <c r="B1235">
        <v>2047</v>
      </c>
      <c r="C1235">
        <v>2035</v>
      </c>
      <c r="D1235">
        <v>2069.15</v>
      </c>
      <c r="E1235" s="136">
        <v>40915</v>
      </c>
      <c r="F1235">
        <v>24.132999999999999</v>
      </c>
      <c r="G1235">
        <v>22.907</v>
      </c>
      <c r="H1235">
        <v>24.158999999999999</v>
      </c>
      <c r="I1235" s="136">
        <v>40915</v>
      </c>
      <c r="J1235">
        <v>35.69</v>
      </c>
      <c r="K1235">
        <v>35.14</v>
      </c>
      <c r="L1235">
        <v>35.770000000000003</v>
      </c>
    </row>
    <row r="1236" spans="1:12">
      <c r="A1236" s="136">
        <v>40916</v>
      </c>
      <c r="B1236">
        <v>2047</v>
      </c>
      <c r="C1236">
        <v>2035</v>
      </c>
      <c r="D1236">
        <v>2069.15</v>
      </c>
      <c r="E1236" s="136">
        <v>40916</v>
      </c>
      <c r="F1236">
        <v>24.132999999999999</v>
      </c>
      <c r="G1236">
        <v>22.907</v>
      </c>
      <c r="H1236">
        <v>24.158999999999999</v>
      </c>
      <c r="I1236" s="136">
        <v>40916</v>
      </c>
      <c r="J1236">
        <v>35.69</v>
      </c>
      <c r="K1236">
        <v>35.14</v>
      </c>
      <c r="L1236">
        <v>35.770000000000003</v>
      </c>
    </row>
    <row r="1237" spans="1:12">
      <c r="A1237" s="136">
        <v>40917</v>
      </c>
      <c r="B1237">
        <v>2068</v>
      </c>
      <c r="C1237">
        <v>2049</v>
      </c>
      <c r="D1237">
        <v>2120</v>
      </c>
      <c r="E1237" s="136">
        <v>40917</v>
      </c>
      <c r="F1237">
        <v>23.068999999999999</v>
      </c>
      <c r="G1237">
        <v>22.273</v>
      </c>
      <c r="H1237">
        <v>23.222000000000001</v>
      </c>
      <c r="I1237" s="136">
        <v>40917</v>
      </c>
      <c r="J1237">
        <v>35.44</v>
      </c>
      <c r="K1237">
        <v>34.99</v>
      </c>
      <c r="L1237">
        <v>35.68</v>
      </c>
    </row>
    <row r="1238" spans="1:12">
      <c r="A1238" s="136">
        <v>40918</v>
      </c>
      <c r="B1238">
        <v>2095</v>
      </c>
      <c r="C1238">
        <v>2087.25</v>
      </c>
      <c r="D1238">
        <v>2165</v>
      </c>
      <c r="E1238" s="136">
        <v>40918</v>
      </c>
      <c r="F1238">
        <v>22.669</v>
      </c>
      <c r="G1238">
        <v>22.584</v>
      </c>
      <c r="H1238">
        <v>23.98</v>
      </c>
      <c r="I1238" s="136">
        <v>40918</v>
      </c>
      <c r="J1238">
        <v>36.07</v>
      </c>
      <c r="K1238">
        <v>35.76</v>
      </c>
      <c r="L1238">
        <v>36.35</v>
      </c>
    </row>
    <row r="1239" spans="1:12">
      <c r="A1239" s="136">
        <v>40919</v>
      </c>
      <c r="B1239">
        <v>2158</v>
      </c>
      <c r="C1239">
        <v>2143</v>
      </c>
      <c r="D1239">
        <v>2174</v>
      </c>
      <c r="E1239" s="136">
        <v>40919</v>
      </c>
      <c r="F1239">
        <v>23.363</v>
      </c>
      <c r="G1239">
        <v>23.213999999999999</v>
      </c>
      <c r="H1239">
        <v>24.006</v>
      </c>
      <c r="I1239" s="136">
        <v>40919</v>
      </c>
      <c r="J1239">
        <v>35.799999999999997</v>
      </c>
      <c r="K1239">
        <v>35.659999999999997</v>
      </c>
      <c r="L1239">
        <v>36.74</v>
      </c>
    </row>
    <row r="1240" spans="1:12">
      <c r="A1240" s="136">
        <v>40920</v>
      </c>
      <c r="B1240">
        <v>2166.5</v>
      </c>
      <c r="C1240">
        <v>2150</v>
      </c>
      <c r="D1240">
        <v>2197</v>
      </c>
      <c r="E1240" s="136">
        <v>40920</v>
      </c>
      <c r="F1240">
        <v>23.928999999999998</v>
      </c>
      <c r="G1240">
        <v>23.844000000000001</v>
      </c>
      <c r="H1240">
        <v>25.163</v>
      </c>
      <c r="I1240" s="136">
        <v>40920</v>
      </c>
      <c r="J1240">
        <v>36.82</v>
      </c>
      <c r="K1240">
        <v>36.17</v>
      </c>
      <c r="L1240">
        <v>37.049999999999997</v>
      </c>
    </row>
    <row r="1241" spans="1:12">
      <c r="A1241" s="136">
        <v>40921</v>
      </c>
      <c r="B1241">
        <v>2158</v>
      </c>
      <c r="C1241">
        <v>2116</v>
      </c>
      <c r="D1241">
        <v>2168.25</v>
      </c>
      <c r="E1241" s="136">
        <v>40921</v>
      </c>
      <c r="F1241">
        <v>24.643999999999998</v>
      </c>
      <c r="G1241">
        <v>23.814</v>
      </c>
      <c r="H1241">
        <v>25.27</v>
      </c>
      <c r="I1241" s="136">
        <v>40921</v>
      </c>
      <c r="J1241">
        <v>35.26</v>
      </c>
      <c r="K1241">
        <v>35.130000000000003</v>
      </c>
      <c r="L1241">
        <v>35.92</v>
      </c>
    </row>
    <row r="1242" spans="1:12">
      <c r="A1242" s="136">
        <v>40922</v>
      </c>
      <c r="B1242">
        <v>2158</v>
      </c>
      <c r="C1242">
        <v>2116</v>
      </c>
      <c r="D1242">
        <v>2168.25</v>
      </c>
      <c r="E1242" s="136">
        <v>40922</v>
      </c>
      <c r="F1242">
        <v>24.643999999999998</v>
      </c>
      <c r="G1242">
        <v>23.814</v>
      </c>
      <c r="H1242">
        <v>25.27</v>
      </c>
      <c r="I1242" s="136">
        <v>40922</v>
      </c>
      <c r="J1242">
        <v>35.26</v>
      </c>
      <c r="K1242">
        <v>35.130000000000003</v>
      </c>
      <c r="L1242">
        <v>35.92</v>
      </c>
    </row>
    <row r="1243" spans="1:12">
      <c r="A1243" s="136">
        <v>40923</v>
      </c>
      <c r="B1243">
        <v>2158</v>
      </c>
      <c r="C1243">
        <v>2116</v>
      </c>
      <c r="D1243">
        <v>2168.25</v>
      </c>
      <c r="E1243" s="136">
        <v>40923</v>
      </c>
      <c r="F1243">
        <v>24.643999999999998</v>
      </c>
      <c r="G1243">
        <v>23.814</v>
      </c>
      <c r="H1243">
        <v>25.27</v>
      </c>
      <c r="I1243" s="136">
        <v>40923</v>
      </c>
      <c r="J1243">
        <v>35.26</v>
      </c>
      <c r="K1243">
        <v>35.130000000000003</v>
      </c>
      <c r="L1243">
        <v>35.92</v>
      </c>
    </row>
    <row r="1244" spans="1:12">
      <c r="A1244" s="136">
        <v>40924</v>
      </c>
      <c r="B1244">
        <v>2140</v>
      </c>
      <c r="C1244">
        <v>2132.25</v>
      </c>
      <c r="D1244">
        <v>2170</v>
      </c>
      <c r="E1244" s="136">
        <v>40924</v>
      </c>
      <c r="F1244">
        <v>24.091000000000001</v>
      </c>
      <c r="G1244">
        <v>23.963000000000001</v>
      </c>
      <c r="H1244">
        <v>24.98</v>
      </c>
      <c r="I1244" s="136">
        <v>40924</v>
      </c>
      <c r="J1244">
        <v>35.26</v>
      </c>
      <c r="K1244">
        <v>35.130000000000003</v>
      </c>
      <c r="L1244">
        <v>35.92</v>
      </c>
    </row>
    <row r="1245" spans="1:12">
      <c r="A1245" s="136">
        <v>40925</v>
      </c>
      <c r="B1245">
        <v>2163</v>
      </c>
      <c r="C1245">
        <v>2163</v>
      </c>
      <c r="D1245">
        <v>2230</v>
      </c>
      <c r="E1245" s="136">
        <v>40925</v>
      </c>
      <c r="F1245">
        <v>24.984000000000002</v>
      </c>
      <c r="G1245">
        <v>24.966999999999999</v>
      </c>
      <c r="H1245">
        <v>25.768000000000001</v>
      </c>
      <c r="I1245" s="136">
        <v>40925</v>
      </c>
      <c r="J1245">
        <v>34.85</v>
      </c>
      <c r="K1245">
        <v>34.5</v>
      </c>
      <c r="L1245">
        <v>35.68</v>
      </c>
    </row>
    <row r="1246" spans="1:12">
      <c r="A1246" s="136">
        <v>40926</v>
      </c>
      <c r="B1246">
        <v>2217</v>
      </c>
      <c r="C1246">
        <v>2189.75</v>
      </c>
      <c r="D1246">
        <v>2226</v>
      </c>
      <c r="E1246" s="136">
        <v>40926</v>
      </c>
      <c r="F1246">
        <v>25.146000000000001</v>
      </c>
      <c r="G1246">
        <v>25.027000000000001</v>
      </c>
      <c r="H1246">
        <v>26.044</v>
      </c>
      <c r="I1246" s="136">
        <v>40926</v>
      </c>
      <c r="J1246">
        <v>34.54</v>
      </c>
      <c r="K1246">
        <v>34.53</v>
      </c>
      <c r="L1246">
        <v>36.68</v>
      </c>
    </row>
    <row r="1247" spans="1:12">
      <c r="A1247" s="136">
        <v>40927</v>
      </c>
      <c r="B1247">
        <v>2210</v>
      </c>
      <c r="C1247">
        <v>2208</v>
      </c>
      <c r="D1247">
        <v>2237.75</v>
      </c>
      <c r="E1247" s="136">
        <v>40927</v>
      </c>
      <c r="F1247">
        <v>25.687000000000001</v>
      </c>
      <c r="G1247">
        <v>25.678000000000001</v>
      </c>
      <c r="H1247">
        <v>28.172000000000001</v>
      </c>
      <c r="I1247" s="136">
        <v>40927</v>
      </c>
      <c r="J1247">
        <v>36.840000000000003</v>
      </c>
      <c r="K1247">
        <v>36.71</v>
      </c>
      <c r="L1247">
        <v>37.15</v>
      </c>
    </row>
    <row r="1248" spans="1:12">
      <c r="A1248" s="136">
        <v>40928</v>
      </c>
      <c r="B1248">
        <v>2227</v>
      </c>
      <c r="C1248">
        <v>2204.5</v>
      </c>
      <c r="D1248">
        <v>2235</v>
      </c>
      <c r="E1248" s="136">
        <v>40928</v>
      </c>
      <c r="F1248">
        <v>27.486999999999998</v>
      </c>
      <c r="G1248">
        <v>27.398</v>
      </c>
      <c r="H1248">
        <v>28.045000000000002</v>
      </c>
      <c r="I1248" s="136">
        <v>40928</v>
      </c>
      <c r="J1248">
        <v>36.78</v>
      </c>
      <c r="K1248">
        <v>36.619999999999997</v>
      </c>
      <c r="L1248">
        <v>37.4</v>
      </c>
    </row>
    <row r="1249" spans="1:12">
      <c r="A1249" s="136">
        <v>40929</v>
      </c>
      <c r="B1249">
        <v>2227</v>
      </c>
      <c r="C1249">
        <v>2204.5</v>
      </c>
      <c r="D1249">
        <v>2235</v>
      </c>
      <c r="E1249" s="136">
        <v>40929</v>
      </c>
      <c r="F1249">
        <v>27.486999999999998</v>
      </c>
      <c r="G1249">
        <v>27.398</v>
      </c>
      <c r="H1249">
        <v>28.045000000000002</v>
      </c>
      <c r="I1249" s="136">
        <v>40929</v>
      </c>
      <c r="J1249">
        <v>36.78</v>
      </c>
      <c r="K1249">
        <v>36.619999999999997</v>
      </c>
      <c r="L1249">
        <v>37.4</v>
      </c>
    </row>
    <row r="1250" spans="1:12">
      <c r="A1250" s="136">
        <v>40930</v>
      </c>
      <c r="B1250">
        <v>2227</v>
      </c>
      <c r="C1250">
        <v>2204.5</v>
      </c>
      <c r="D1250">
        <v>2235</v>
      </c>
      <c r="E1250" s="136">
        <v>40930</v>
      </c>
      <c r="F1250">
        <v>27.486999999999998</v>
      </c>
      <c r="G1250">
        <v>27.398</v>
      </c>
      <c r="H1250">
        <v>28.045000000000002</v>
      </c>
      <c r="I1250" s="136">
        <v>40930</v>
      </c>
      <c r="J1250">
        <v>36.78</v>
      </c>
      <c r="K1250">
        <v>36.619999999999997</v>
      </c>
      <c r="L1250">
        <v>37.4</v>
      </c>
    </row>
    <row r="1251" spans="1:12">
      <c r="A1251" s="136">
        <v>40931</v>
      </c>
      <c r="B1251">
        <v>2218</v>
      </c>
      <c r="C1251">
        <v>2203</v>
      </c>
      <c r="D1251">
        <v>2244</v>
      </c>
      <c r="E1251" s="136">
        <v>40931</v>
      </c>
      <c r="F1251">
        <v>27.538</v>
      </c>
      <c r="G1251">
        <v>26.984999999999999</v>
      </c>
      <c r="H1251">
        <v>28.887</v>
      </c>
      <c r="I1251" s="136">
        <v>40931</v>
      </c>
      <c r="J1251">
        <v>37.31</v>
      </c>
      <c r="K1251">
        <v>37.270000000000003</v>
      </c>
      <c r="L1251">
        <v>37.94</v>
      </c>
    </row>
    <row r="1252" spans="1:12">
      <c r="A1252" s="136">
        <v>40932</v>
      </c>
      <c r="B1252">
        <v>2240</v>
      </c>
      <c r="C1252">
        <v>2220</v>
      </c>
      <c r="D1252">
        <v>2250.25</v>
      </c>
      <c r="E1252" s="136">
        <v>40932</v>
      </c>
      <c r="F1252">
        <v>28.372</v>
      </c>
      <c r="G1252">
        <v>27.138000000000002</v>
      </c>
      <c r="H1252">
        <v>28.602</v>
      </c>
      <c r="I1252" s="136">
        <v>40932</v>
      </c>
      <c r="J1252">
        <v>37.18</v>
      </c>
      <c r="K1252">
        <v>36.799999999999997</v>
      </c>
      <c r="L1252">
        <v>37.8887</v>
      </c>
    </row>
    <row r="1253" spans="1:12">
      <c r="A1253" s="136">
        <v>40933</v>
      </c>
      <c r="B1253">
        <v>2245</v>
      </c>
      <c r="C1253">
        <v>2223</v>
      </c>
      <c r="D1253">
        <v>2269</v>
      </c>
      <c r="E1253" s="136">
        <v>40933</v>
      </c>
      <c r="F1253">
        <v>28.048999999999999</v>
      </c>
      <c r="G1253">
        <v>27.317</v>
      </c>
      <c r="H1253">
        <v>28.347000000000001</v>
      </c>
      <c r="I1253" s="136">
        <v>40933</v>
      </c>
      <c r="J1253">
        <v>37.36</v>
      </c>
      <c r="K1253">
        <v>37.119999999999997</v>
      </c>
      <c r="L1253">
        <v>37.82</v>
      </c>
    </row>
    <row r="1254" spans="1:12">
      <c r="A1254" s="136">
        <v>40934</v>
      </c>
      <c r="B1254">
        <v>2260</v>
      </c>
      <c r="C1254">
        <v>2260</v>
      </c>
      <c r="D1254">
        <v>2290.25</v>
      </c>
      <c r="E1254" s="136">
        <v>40934</v>
      </c>
      <c r="F1254">
        <v>28.431999999999999</v>
      </c>
      <c r="G1254">
        <v>27.943000000000001</v>
      </c>
      <c r="H1254">
        <v>29.007000000000001</v>
      </c>
      <c r="I1254" s="136">
        <v>40934</v>
      </c>
      <c r="J1254">
        <v>37.880000000000003</v>
      </c>
      <c r="K1254">
        <v>37.25</v>
      </c>
      <c r="L1254">
        <v>38.1</v>
      </c>
    </row>
    <row r="1255" spans="1:12">
      <c r="A1255" s="136">
        <v>40935</v>
      </c>
      <c r="B1255">
        <v>2272</v>
      </c>
      <c r="C1255">
        <v>2231.25</v>
      </c>
      <c r="D1255">
        <v>2288.25</v>
      </c>
      <c r="E1255" s="136">
        <v>40935</v>
      </c>
      <c r="F1255">
        <v>28.151</v>
      </c>
      <c r="G1255">
        <v>27.794</v>
      </c>
      <c r="H1255">
        <v>28.588999999999999</v>
      </c>
      <c r="I1255" s="136">
        <v>40935</v>
      </c>
      <c r="J1255">
        <v>37.229999999999997</v>
      </c>
      <c r="K1255">
        <v>37.15</v>
      </c>
      <c r="L1255">
        <v>37.659999999999997</v>
      </c>
    </row>
    <row r="1256" spans="1:12">
      <c r="A1256" s="136">
        <v>40936</v>
      </c>
      <c r="B1256">
        <v>2272</v>
      </c>
      <c r="C1256">
        <v>2231.25</v>
      </c>
      <c r="D1256">
        <v>2288.25</v>
      </c>
      <c r="E1256" s="136">
        <v>40936</v>
      </c>
      <c r="F1256">
        <v>28.151</v>
      </c>
      <c r="G1256">
        <v>27.794</v>
      </c>
      <c r="H1256">
        <v>28.588999999999999</v>
      </c>
      <c r="I1256" s="136">
        <v>40936</v>
      </c>
      <c r="J1256">
        <v>37.229999999999997</v>
      </c>
      <c r="K1256">
        <v>37.15</v>
      </c>
      <c r="L1256">
        <v>37.659999999999997</v>
      </c>
    </row>
    <row r="1257" spans="1:12">
      <c r="A1257" s="136">
        <v>40937</v>
      </c>
      <c r="B1257">
        <v>2272</v>
      </c>
      <c r="C1257">
        <v>2231.25</v>
      </c>
      <c r="D1257">
        <v>2288.25</v>
      </c>
      <c r="E1257" s="136">
        <v>40937</v>
      </c>
      <c r="F1257">
        <v>28.151</v>
      </c>
      <c r="G1257">
        <v>27.794</v>
      </c>
      <c r="H1257">
        <v>28.588999999999999</v>
      </c>
      <c r="I1257" s="136">
        <v>40937</v>
      </c>
      <c r="J1257">
        <v>37.229999999999997</v>
      </c>
      <c r="K1257">
        <v>37.15</v>
      </c>
      <c r="L1257">
        <v>37.659999999999997</v>
      </c>
    </row>
    <row r="1258" spans="1:12">
      <c r="A1258" s="136">
        <v>40938</v>
      </c>
      <c r="B1258">
        <v>2255</v>
      </c>
      <c r="C1258">
        <v>2223</v>
      </c>
      <c r="D1258">
        <v>2279.1999999999998</v>
      </c>
      <c r="E1258" s="136">
        <v>40938</v>
      </c>
      <c r="F1258">
        <v>28.082999999999998</v>
      </c>
      <c r="G1258">
        <v>27.001999999999999</v>
      </c>
      <c r="H1258">
        <v>28.13</v>
      </c>
      <c r="I1258" s="136">
        <v>40938</v>
      </c>
      <c r="J1258">
        <v>36.659999999999997</v>
      </c>
      <c r="K1258">
        <v>36.36</v>
      </c>
      <c r="L1258">
        <v>37.17</v>
      </c>
    </row>
    <row r="1259" spans="1:12">
      <c r="A1259" s="136">
        <v>40939</v>
      </c>
      <c r="B1259">
        <v>2280.25</v>
      </c>
      <c r="C1259">
        <v>2232</v>
      </c>
      <c r="D1259">
        <v>2310</v>
      </c>
      <c r="E1259" s="136">
        <v>40939</v>
      </c>
      <c r="F1259">
        <v>27.576999999999998</v>
      </c>
      <c r="G1259">
        <v>27.21</v>
      </c>
      <c r="H1259">
        <v>28.036000000000001</v>
      </c>
      <c r="I1259" s="136">
        <v>40939</v>
      </c>
      <c r="J1259">
        <v>37.53</v>
      </c>
      <c r="K1259">
        <v>36.93</v>
      </c>
      <c r="L1259">
        <v>37.545000000000002</v>
      </c>
    </row>
    <row r="1260" spans="1:12">
      <c r="A1260" s="136">
        <v>40940</v>
      </c>
      <c r="B1260">
        <v>2254</v>
      </c>
      <c r="C1260">
        <v>2231</v>
      </c>
      <c r="D1260">
        <v>2277</v>
      </c>
      <c r="E1260" s="136">
        <v>40940</v>
      </c>
      <c r="F1260">
        <v>27.751000000000001</v>
      </c>
      <c r="G1260">
        <v>27.602</v>
      </c>
      <c r="H1260">
        <v>29.088000000000001</v>
      </c>
      <c r="I1260" s="136">
        <v>40940</v>
      </c>
      <c r="J1260">
        <v>37.89</v>
      </c>
      <c r="K1260">
        <v>37.5</v>
      </c>
      <c r="L1260">
        <v>38.03</v>
      </c>
    </row>
    <row r="1261" spans="1:12">
      <c r="A1261" s="136">
        <v>40941</v>
      </c>
      <c r="B1261">
        <v>2265.5</v>
      </c>
      <c r="C1261">
        <v>2194</v>
      </c>
      <c r="D1261">
        <v>2279</v>
      </c>
      <c r="E1261" s="136">
        <v>40941</v>
      </c>
      <c r="F1261">
        <v>27.283000000000001</v>
      </c>
      <c r="G1261">
        <v>26.984999999999999</v>
      </c>
      <c r="H1261">
        <v>28.943000000000001</v>
      </c>
      <c r="I1261" s="136">
        <v>40941</v>
      </c>
      <c r="J1261">
        <v>37.69</v>
      </c>
      <c r="K1261">
        <v>37.42</v>
      </c>
      <c r="L1261">
        <v>38.159999999999997</v>
      </c>
    </row>
    <row r="1262" spans="1:12">
      <c r="A1262" s="136">
        <v>40942</v>
      </c>
      <c r="B1262">
        <v>2212</v>
      </c>
      <c r="C1262">
        <v>2191</v>
      </c>
      <c r="D1262">
        <v>2260</v>
      </c>
      <c r="E1262" s="136">
        <v>40942</v>
      </c>
      <c r="F1262">
        <v>28.649000000000001</v>
      </c>
      <c r="G1262">
        <v>28.274999999999999</v>
      </c>
      <c r="H1262">
        <v>29.198</v>
      </c>
      <c r="I1262" s="136">
        <v>40942</v>
      </c>
      <c r="J1262">
        <v>38.270000000000003</v>
      </c>
      <c r="K1262">
        <v>38.049999999999997</v>
      </c>
      <c r="L1262">
        <v>38.5</v>
      </c>
    </row>
    <row r="1263" spans="1:12">
      <c r="A1263" s="136">
        <v>40943</v>
      </c>
      <c r="B1263">
        <v>2212</v>
      </c>
      <c r="C1263">
        <v>2191</v>
      </c>
      <c r="D1263">
        <v>2260</v>
      </c>
      <c r="E1263" s="136">
        <v>40943</v>
      </c>
      <c r="F1263">
        <v>28.649000000000001</v>
      </c>
      <c r="G1263">
        <v>28.274999999999999</v>
      </c>
      <c r="H1263">
        <v>29.198</v>
      </c>
      <c r="I1263" s="136">
        <v>40943</v>
      </c>
      <c r="J1263">
        <v>38.270000000000003</v>
      </c>
      <c r="K1263">
        <v>38.049999999999997</v>
      </c>
      <c r="L1263">
        <v>38.5</v>
      </c>
    </row>
    <row r="1264" spans="1:12">
      <c r="A1264" s="136">
        <v>40944</v>
      </c>
      <c r="B1264">
        <v>2212</v>
      </c>
      <c r="C1264">
        <v>2191</v>
      </c>
      <c r="D1264">
        <v>2260</v>
      </c>
      <c r="E1264" s="136">
        <v>40944</v>
      </c>
      <c r="F1264">
        <v>28.649000000000001</v>
      </c>
      <c r="G1264">
        <v>28.274999999999999</v>
      </c>
      <c r="H1264">
        <v>29.198</v>
      </c>
      <c r="I1264" s="136">
        <v>40944</v>
      </c>
      <c r="J1264">
        <v>38.270000000000003</v>
      </c>
      <c r="K1264">
        <v>38.049999999999997</v>
      </c>
      <c r="L1264">
        <v>38.5</v>
      </c>
    </row>
    <row r="1265" spans="1:12">
      <c r="A1265" s="136">
        <v>40945</v>
      </c>
      <c r="B1265">
        <v>2255</v>
      </c>
      <c r="C1265">
        <v>2209.5</v>
      </c>
      <c r="D1265">
        <v>2258</v>
      </c>
      <c r="E1265" s="136">
        <v>40945</v>
      </c>
      <c r="F1265">
        <v>28.849</v>
      </c>
      <c r="G1265">
        <v>28.04</v>
      </c>
      <c r="H1265">
        <v>29.001999999999999</v>
      </c>
      <c r="I1265" s="136">
        <v>40945</v>
      </c>
      <c r="J1265">
        <v>38.06</v>
      </c>
      <c r="K1265">
        <v>37.805</v>
      </c>
      <c r="L1265">
        <v>38.32</v>
      </c>
    </row>
    <row r="1266" spans="1:12">
      <c r="A1266" s="136">
        <v>40946</v>
      </c>
      <c r="B1266">
        <v>2219</v>
      </c>
      <c r="C1266">
        <v>2207</v>
      </c>
      <c r="D1266">
        <v>2264</v>
      </c>
      <c r="E1266" s="136">
        <v>40946</v>
      </c>
      <c r="F1266">
        <v>28.666</v>
      </c>
      <c r="G1266">
        <v>28.210999999999999</v>
      </c>
      <c r="H1266">
        <v>28.93</v>
      </c>
      <c r="I1266" s="136">
        <v>40946</v>
      </c>
      <c r="J1266">
        <v>37.86</v>
      </c>
      <c r="K1266">
        <v>37.700000000000003</v>
      </c>
      <c r="L1266">
        <v>38.119999999999997</v>
      </c>
    </row>
    <row r="1267" spans="1:12">
      <c r="A1267" s="136">
        <v>40947</v>
      </c>
      <c r="B1267">
        <v>2250</v>
      </c>
      <c r="C1267">
        <v>2247</v>
      </c>
      <c r="D1267">
        <v>2299</v>
      </c>
      <c r="E1267" s="136">
        <v>40947</v>
      </c>
      <c r="F1267">
        <v>28.977</v>
      </c>
      <c r="G1267">
        <v>28.972999999999999</v>
      </c>
      <c r="H1267">
        <v>29.709</v>
      </c>
      <c r="I1267" s="136">
        <v>40947</v>
      </c>
      <c r="J1267">
        <v>38.049999999999997</v>
      </c>
      <c r="K1267">
        <v>37.97</v>
      </c>
      <c r="L1267">
        <v>38.35</v>
      </c>
    </row>
    <row r="1268" spans="1:12">
      <c r="A1268" s="136">
        <v>40948</v>
      </c>
      <c r="B1268">
        <v>2253</v>
      </c>
      <c r="C1268">
        <v>2228</v>
      </c>
      <c r="D1268">
        <v>2303</v>
      </c>
      <c r="E1268" s="136">
        <v>40948</v>
      </c>
      <c r="F1268">
        <v>29.5</v>
      </c>
      <c r="G1268">
        <v>29.19</v>
      </c>
      <c r="H1268">
        <v>30.117999999999999</v>
      </c>
      <c r="I1268" s="136">
        <v>40948</v>
      </c>
      <c r="J1268">
        <v>38.6</v>
      </c>
      <c r="K1268">
        <v>37.840000000000003</v>
      </c>
      <c r="L1268">
        <v>38.68</v>
      </c>
    </row>
    <row r="1269" spans="1:12">
      <c r="A1269" s="136">
        <v>40949</v>
      </c>
      <c r="B1269">
        <v>2286</v>
      </c>
      <c r="C1269">
        <v>2236</v>
      </c>
      <c r="D1269">
        <v>2286</v>
      </c>
      <c r="E1269" s="136">
        <v>40949</v>
      </c>
      <c r="F1269">
        <v>29.637</v>
      </c>
      <c r="G1269">
        <v>28.134</v>
      </c>
      <c r="H1269">
        <v>29.637</v>
      </c>
      <c r="I1269" s="136">
        <v>40949</v>
      </c>
      <c r="J1269">
        <v>37.22</v>
      </c>
      <c r="K1269">
        <v>37.11</v>
      </c>
      <c r="L1269">
        <v>37.770000000000003</v>
      </c>
    </row>
    <row r="1270" spans="1:12">
      <c r="A1270" s="136">
        <v>40950</v>
      </c>
      <c r="B1270">
        <v>2286</v>
      </c>
      <c r="C1270">
        <v>2236</v>
      </c>
      <c r="D1270">
        <v>2286</v>
      </c>
      <c r="E1270" s="136">
        <v>40950</v>
      </c>
      <c r="F1270">
        <v>29.637</v>
      </c>
      <c r="G1270">
        <v>28.134</v>
      </c>
      <c r="H1270">
        <v>29.637</v>
      </c>
      <c r="I1270" s="136">
        <v>40950</v>
      </c>
      <c r="J1270">
        <v>37.22</v>
      </c>
      <c r="K1270">
        <v>37.11</v>
      </c>
      <c r="L1270">
        <v>37.770000000000003</v>
      </c>
    </row>
    <row r="1271" spans="1:12">
      <c r="A1271" s="136">
        <v>40951</v>
      </c>
      <c r="B1271">
        <v>2286</v>
      </c>
      <c r="C1271">
        <v>2236</v>
      </c>
      <c r="D1271">
        <v>2286</v>
      </c>
      <c r="E1271" s="136">
        <v>40951</v>
      </c>
      <c r="F1271">
        <v>29.637</v>
      </c>
      <c r="G1271">
        <v>28.134</v>
      </c>
      <c r="H1271">
        <v>29.637</v>
      </c>
      <c r="I1271" s="136">
        <v>40951</v>
      </c>
      <c r="J1271">
        <v>37.22</v>
      </c>
      <c r="K1271">
        <v>37.11</v>
      </c>
      <c r="L1271">
        <v>37.770000000000003</v>
      </c>
    </row>
    <row r="1272" spans="1:12">
      <c r="A1272" s="136">
        <v>40952</v>
      </c>
      <c r="B1272">
        <v>2257</v>
      </c>
      <c r="C1272">
        <v>2207</v>
      </c>
      <c r="D1272">
        <v>2269</v>
      </c>
      <c r="E1272" s="136">
        <v>40952</v>
      </c>
      <c r="F1272">
        <v>28.773</v>
      </c>
      <c r="G1272">
        <v>28.521000000000001</v>
      </c>
      <c r="H1272">
        <v>29.666</v>
      </c>
      <c r="I1272" s="136">
        <v>40952</v>
      </c>
      <c r="J1272">
        <v>38.08</v>
      </c>
      <c r="K1272">
        <v>37.777000000000001</v>
      </c>
      <c r="L1272">
        <v>38.340000000000003</v>
      </c>
    </row>
    <row r="1273" spans="1:12">
      <c r="A1273" s="136">
        <v>40953</v>
      </c>
      <c r="B1273">
        <v>2219</v>
      </c>
      <c r="C1273">
        <v>2191.25</v>
      </c>
      <c r="D1273">
        <v>2229</v>
      </c>
      <c r="E1273" s="136">
        <v>40953</v>
      </c>
      <c r="F1273">
        <v>28.635999999999999</v>
      </c>
      <c r="G1273">
        <v>27.818999999999999</v>
      </c>
      <c r="H1273">
        <v>28.635999999999999</v>
      </c>
      <c r="I1273" s="136">
        <v>40953</v>
      </c>
      <c r="J1273">
        <v>38.229999999999997</v>
      </c>
      <c r="K1273">
        <v>37.44</v>
      </c>
      <c r="L1273">
        <v>38.26</v>
      </c>
    </row>
    <row r="1274" spans="1:12">
      <c r="A1274" s="136">
        <v>40954</v>
      </c>
      <c r="B1274">
        <v>2222.5</v>
      </c>
      <c r="C1274">
        <v>2195</v>
      </c>
      <c r="D1274">
        <v>2246.75</v>
      </c>
      <c r="E1274" s="136">
        <v>40954</v>
      </c>
      <c r="F1274">
        <v>28.265999999999998</v>
      </c>
      <c r="G1274">
        <v>27.93</v>
      </c>
      <c r="H1274">
        <v>28.925999999999998</v>
      </c>
      <c r="I1274" s="136">
        <v>40954</v>
      </c>
      <c r="J1274">
        <v>38.08</v>
      </c>
      <c r="K1274">
        <v>37.31</v>
      </c>
      <c r="L1274">
        <v>38.4</v>
      </c>
    </row>
    <row r="1275" spans="1:12">
      <c r="A1275" s="136">
        <v>40955</v>
      </c>
      <c r="B1275">
        <v>2192</v>
      </c>
      <c r="C1275">
        <v>2148</v>
      </c>
      <c r="D1275">
        <v>2205</v>
      </c>
      <c r="E1275" s="136">
        <v>40955</v>
      </c>
      <c r="F1275">
        <v>27.771999999999998</v>
      </c>
      <c r="G1275">
        <v>27.01</v>
      </c>
      <c r="H1275">
        <v>28.516999999999999</v>
      </c>
      <c r="I1275" s="136">
        <v>40955</v>
      </c>
      <c r="J1275">
        <v>37.15</v>
      </c>
      <c r="K1275">
        <v>37.049999999999997</v>
      </c>
      <c r="L1275">
        <v>38.119999999999997</v>
      </c>
    </row>
    <row r="1276" spans="1:12">
      <c r="A1276" s="136">
        <v>40956</v>
      </c>
      <c r="B1276">
        <v>2178</v>
      </c>
      <c r="C1276">
        <v>2150</v>
      </c>
      <c r="D1276">
        <v>2189.75</v>
      </c>
      <c r="E1276" s="136">
        <v>40956</v>
      </c>
      <c r="F1276">
        <v>28.466000000000001</v>
      </c>
      <c r="G1276">
        <v>28.411000000000001</v>
      </c>
      <c r="H1276">
        <v>29.027999999999999</v>
      </c>
      <c r="I1276" s="136">
        <v>40956</v>
      </c>
      <c r="J1276">
        <v>38.6</v>
      </c>
      <c r="K1276">
        <v>38.229999999999997</v>
      </c>
      <c r="L1276">
        <v>38.64</v>
      </c>
    </row>
    <row r="1277" spans="1:12">
      <c r="A1277" s="136">
        <v>40957</v>
      </c>
      <c r="B1277">
        <v>2178</v>
      </c>
      <c r="C1277">
        <v>2150</v>
      </c>
      <c r="D1277">
        <v>2189.75</v>
      </c>
      <c r="E1277" s="136">
        <v>40957</v>
      </c>
      <c r="F1277">
        <v>28.466000000000001</v>
      </c>
      <c r="G1277">
        <v>28.411000000000001</v>
      </c>
      <c r="H1277">
        <v>29.027999999999999</v>
      </c>
      <c r="I1277" s="136">
        <v>40957</v>
      </c>
      <c r="J1277">
        <v>38.6</v>
      </c>
      <c r="K1277">
        <v>38.229999999999997</v>
      </c>
      <c r="L1277">
        <v>38.64</v>
      </c>
    </row>
    <row r="1278" spans="1:12">
      <c r="A1278" s="136">
        <v>40958</v>
      </c>
      <c r="B1278">
        <v>2178</v>
      </c>
      <c r="C1278">
        <v>2150</v>
      </c>
      <c r="D1278">
        <v>2189.75</v>
      </c>
      <c r="E1278" s="136">
        <v>40958</v>
      </c>
      <c r="F1278">
        <v>28.466000000000001</v>
      </c>
      <c r="G1278">
        <v>28.411000000000001</v>
      </c>
      <c r="H1278">
        <v>29.027999999999999</v>
      </c>
      <c r="I1278" s="136">
        <v>40958</v>
      </c>
      <c r="J1278">
        <v>38.6</v>
      </c>
      <c r="K1278">
        <v>38.229999999999997</v>
      </c>
      <c r="L1278">
        <v>38.64</v>
      </c>
    </row>
    <row r="1279" spans="1:12">
      <c r="A1279" s="136">
        <v>40959</v>
      </c>
      <c r="B1279">
        <v>2191</v>
      </c>
      <c r="C1279">
        <v>2165</v>
      </c>
      <c r="D1279">
        <v>2198.25</v>
      </c>
      <c r="E1279" s="136">
        <v>40959</v>
      </c>
      <c r="F1279">
        <v>29.271000000000001</v>
      </c>
      <c r="G1279">
        <v>29.036000000000001</v>
      </c>
      <c r="H1279">
        <v>29.495999999999999</v>
      </c>
      <c r="I1279" s="136">
        <v>40959</v>
      </c>
      <c r="J1279">
        <v>38.6</v>
      </c>
      <c r="K1279">
        <v>38.229999999999997</v>
      </c>
      <c r="L1279">
        <v>38.64</v>
      </c>
    </row>
    <row r="1280" spans="1:12">
      <c r="A1280" s="136">
        <v>40960</v>
      </c>
      <c r="B1280">
        <v>2189.75</v>
      </c>
      <c r="C1280">
        <v>2188</v>
      </c>
      <c r="D1280">
        <v>2257</v>
      </c>
      <c r="E1280" s="136">
        <v>40960</v>
      </c>
      <c r="F1280">
        <v>29.539000000000001</v>
      </c>
      <c r="G1280">
        <v>28.449000000000002</v>
      </c>
      <c r="H1280">
        <v>29.623999999999999</v>
      </c>
      <c r="I1280" s="136">
        <v>40960</v>
      </c>
      <c r="J1280">
        <v>38.65</v>
      </c>
      <c r="K1280">
        <v>38.409999999999997</v>
      </c>
      <c r="L1280">
        <v>38.975000000000001</v>
      </c>
    </row>
    <row r="1281" spans="1:12">
      <c r="A1281" s="136">
        <v>40961</v>
      </c>
      <c r="B1281">
        <v>2254.75</v>
      </c>
      <c r="C1281">
        <v>2243</v>
      </c>
      <c r="D1281">
        <v>2284.75</v>
      </c>
      <c r="E1281" s="136">
        <v>40961</v>
      </c>
      <c r="F1281">
        <v>28.5</v>
      </c>
      <c r="G1281">
        <v>27.87</v>
      </c>
      <c r="H1281">
        <v>28.806999999999999</v>
      </c>
      <c r="I1281" s="136">
        <v>40961</v>
      </c>
      <c r="J1281">
        <v>38.299999999999997</v>
      </c>
      <c r="K1281">
        <v>37.9</v>
      </c>
      <c r="L1281">
        <v>38.39</v>
      </c>
    </row>
    <row r="1282" spans="1:12">
      <c r="A1282" s="136">
        <v>40962</v>
      </c>
      <c r="B1282">
        <v>2272</v>
      </c>
      <c r="C1282">
        <v>2256.75</v>
      </c>
      <c r="D1282">
        <v>2288.75</v>
      </c>
      <c r="E1282" s="136">
        <v>40962</v>
      </c>
      <c r="F1282">
        <v>28.001999999999999</v>
      </c>
      <c r="G1282">
        <v>27.713000000000001</v>
      </c>
      <c r="H1282">
        <v>28.73</v>
      </c>
      <c r="I1282" s="136">
        <v>40962</v>
      </c>
      <c r="J1282">
        <v>38.06</v>
      </c>
      <c r="K1282">
        <v>37.75</v>
      </c>
      <c r="L1282">
        <v>38.520000000000003</v>
      </c>
    </row>
    <row r="1283" spans="1:12">
      <c r="A1283" s="136">
        <v>40963</v>
      </c>
      <c r="B1283">
        <v>2274</v>
      </c>
      <c r="C1283">
        <v>2266</v>
      </c>
      <c r="D1283">
        <v>2328</v>
      </c>
      <c r="E1283" s="136">
        <v>40963</v>
      </c>
      <c r="F1283">
        <v>28.79</v>
      </c>
      <c r="G1283">
        <v>28.751000000000001</v>
      </c>
      <c r="H1283">
        <v>29.751999999999999</v>
      </c>
      <c r="I1283" s="136">
        <v>40963</v>
      </c>
      <c r="J1283">
        <v>38.659999999999997</v>
      </c>
      <c r="K1283">
        <v>38.19</v>
      </c>
      <c r="L1283">
        <v>38.68</v>
      </c>
    </row>
    <row r="1284" spans="1:12">
      <c r="A1284" s="136">
        <v>40964</v>
      </c>
      <c r="B1284">
        <v>2274</v>
      </c>
      <c r="C1284">
        <v>2266</v>
      </c>
      <c r="D1284">
        <v>2328</v>
      </c>
      <c r="E1284" s="136">
        <v>40964</v>
      </c>
      <c r="F1284">
        <v>28.79</v>
      </c>
      <c r="G1284">
        <v>28.751000000000001</v>
      </c>
      <c r="H1284">
        <v>29.751999999999999</v>
      </c>
      <c r="I1284" s="136">
        <v>40964</v>
      </c>
      <c r="J1284">
        <v>38.659999999999997</v>
      </c>
      <c r="K1284">
        <v>38.19</v>
      </c>
      <c r="L1284">
        <v>38.68</v>
      </c>
    </row>
    <row r="1285" spans="1:12">
      <c r="A1285" s="136">
        <v>40965</v>
      </c>
      <c r="B1285">
        <v>2274</v>
      </c>
      <c r="C1285">
        <v>2266</v>
      </c>
      <c r="D1285">
        <v>2328</v>
      </c>
      <c r="E1285" s="136">
        <v>40965</v>
      </c>
      <c r="F1285">
        <v>28.79</v>
      </c>
      <c r="G1285">
        <v>28.751000000000001</v>
      </c>
      <c r="H1285">
        <v>29.751999999999999</v>
      </c>
      <c r="I1285" s="136">
        <v>40965</v>
      </c>
      <c r="J1285">
        <v>38.659999999999997</v>
      </c>
      <c r="K1285">
        <v>38.19</v>
      </c>
      <c r="L1285">
        <v>38.68</v>
      </c>
    </row>
    <row r="1286" spans="1:12">
      <c r="A1286" s="136">
        <v>40966</v>
      </c>
      <c r="B1286">
        <v>2316</v>
      </c>
      <c r="C1286">
        <v>2306.25</v>
      </c>
      <c r="D1286">
        <v>2339</v>
      </c>
      <c r="E1286" s="136">
        <v>40966</v>
      </c>
      <c r="F1286">
        <v>29.547000000000001</v>
      </c>
      <c r="G1286">
        <v>28.818999999999999</v>
      </c>
      <c r="H1286">
        <v>29.794</v>
      </c>
      <c r="I1286" s="136">
        <v>40966</v>
      </c>
      <c r="J1286">
        <v>38.07</v>
      </c>
      <c r="K1286">
        <v>37.79</v>
      </c>
      <c r="L1286">
        <v>39.229999999999997</v>
      </c>
    </row>
    <row r="1287" spans="1:12">
      <c r="A1287" s="136">
        <v>40967</v>
      </c>
      <c r="B1287">
        <v>2325</v>
      </c>
      <c r="C1287">
        <v>2317</v>
      </c>
      <c r="D1287">
        <v>2349</v>
      </c>
      <c r="E1287" s="136">
        <v>40967</v>
      </c>
      <c r="F1287">
        <v>29.7</v>
      </c>
      <c r="G1287">
        <v>29.356000000000002</v>
      </c>
      <c r="H1287">
        <v>30.210999999999999</v>
      </c>
      <c r="I1287" s="136">
        <v>40967</v>
      </c>
      <c r="J1287">
        <v>39.130000000000003</v>
      </c>
      <c r="K1287">
        <v>38.848199999999999</v>
      </c>
      <c r="L1287">
        <v>39.549999999999997</v>
      </c>
    </row>
    <row r="1288" spans="1:12">
      <c r="A1288" s="136">
        <v>40968</v>
      </c>
      <c r="B1288">
        <v>2330</v>
      </c>
      <c r="C1288">
        <v>2297</v>
      </c>
      <c r="D1288">
        <v>2356</v>
      </c>
      <c r="E1288" s="136">
        <v>40968</v>
      </c>
      <c r="F1288">
        <v>29.858000000000001</v>
      </c>
      <c r="G1288">
        <v>29.792000000000002</v>
      </c>
      <c r="H1288">
        <v>30.539000000000001</v>
      </c>
      <c r="I1288" s="136">
        <v>40968</v>
      </c>
      <c r="J1288">
        <v>39.33</v>
      </c>
      <c r="K1288">
        <v>39.020000000000003</v>
      </c>
      <c r="L1288">
        <v>39.935000000000002</v>
      </c>
    </row>
    <row r="1289" spans="1:12">
      <c r="A1289" s="136">
        <v>40969</v>
      </c>
      <c r="B1289">
        <v>2328.5</v>
      </c>
      <c r="C1289">
        <v>2304</v>
      </c>
      <c r="D1289">
        <v>2356</v>
      </c>
      <c r="E1289" s="136">
        <v>40969</v>
      </c>
      <c r="F1289">
        <v>29.794</v>
      </c>
      <c r="G1289">
        <v>29.385000000000002</v>
      </c>
      <c r="H1289">
        <v>30.696000000000002</v>
      </c>
      <c r="I1289" s="136">
        <v>40969</v>
      </c>
      <c r="J1289">
        <v>39.51</v>
      </c>
      <c r="K1289">
        <v>39.47</v>
      </c>
      <c r="L1289">
        <v>40.450000000000003</v>
      </c>
    </row>
    <row r="1290" spans="1:12">
      <c r="A1290" s="136">
        <v>40970</v>
      </c>
      <c r="B1290">
        <v>2351</v>
      </c>
      <c r="C1290">
        <v>2315</v>
      </c>
      <c r="D1290">
        <v>2361.5</v>
      </c>
      <c r="E1290" s="136">
        <v>40970</v>
      </c>
      <c r="F1290">
        <v>30.654</v>
      </c>
      <c r="G1290">
        <v>30.224</v>
      </c>
      <c r="H1290">
        <v>30.867000000000001</v>
      </c>
      <c r="I1290" s="136">
        <v>40970</v>
      </c>
      <c r="J1290">
        <v>40.43</v>
      </c>
      <c r="K1290">
        <v>40.229999999999997</v>
      </c>
      <c r="L1290">
        <v>40.880000000000003</v>
      </c>
    </row>
    <row r="1291" spans="1:12">
      <c r="A1291" s="136">
        <v>40971</v>
      </c>
      <c r="B1291">
        <v>2351</v>
      </c>
      <c r="C1291">
        <v>2315</v>
      </c>
      <c r="D1291">
        <v>2361.5</v>
      </c>
      <c r="E1291" s="136">
        <v>40971</v>
      </c>
      <c r="F1291">
        <v>30.654</v>
      </c>
      <c r="G1291">
        <v>30.224</v>
      </c>
      <c r="H1291">
        <v>30.867000000000001</v>
      </c>
      <c r="I1291" s="136">
        <v>40971</v>
      </c>
      <c r="J1291">
        <v>40.43</v>
      </c>
      <c r="K1291">
        <v>40.229999999999997</v>
      </c>
      <c r="L1291">
        <v>40.880000000000003</v>
      </c>
    </row>
    <row r="1292" spans="1:12">
      <c r="A1292" s="136">
        <v>40972</v>
      </c>
      <c r="B1292">
        <v>2351</v>
      </c>
      <c r="C1292">
        <v>2315</v>
      </c>
      <c r="D1292">
        <v>2361.5</v>
      </c>
      <c r="E1292" s="136">
        <v>40972</v>
      </c>
      <c r="F1292">
        <v>30.654</v>
      </c>
      <c r="G1292">
        <v>30.224</v>
      </c>
      <c r="H1292">
        <v>30.867000000000001</v>
      </c>
      <c r="I1292" s="136">
        <v>40972</v>
      </c>
      <c r="J1292">
        <v>40.43</v>
      </c>
      <c r="K1292">
        <v>40.229999999999997</v>
      </c>
      <c r="L1292">
        <v>40.880000000000003</v>
      </c>
    </row>
    <row r="1293" spans="1:12">
      <c r="A1293" s="136">
        <v>40973</v>
      </c>
      <c r="B1293">
        <v>2329</v>
      </c>
      <c r="C1293">
        <v>2271</v>
      </c>
      <c r="D1293">
        <v>2331</v>
      </c>
      <c r="E1293" s="136">
        <v>40973</v>
      </c>
      <c r="F1293">
        <v>30.262</v>
      </c>
      <c r="G1293">
        <v>29.722000000000001</v>
      </c>
      <c r="H1293">
        <v>30.347000000000001</v>
      </c>
      <c r="I1293" s="136">
        <v>40973</v>
      </c>
      <c r="J1293">
        <v>40.700000000000003</v>
      </c>
      <c r="K1293">
        <v>40</v>
      </c>
      <c r="L1293">
        <v>40.71</v>
      </c>
    </row>
    <row r="1294" spans="1:12">
      <c r="A1294" s="136">
        <v>40974</v>
      </c>
      <c r="B1294">
        <v>2288</v>
      </c>
      <c r="C1294">
        <v>2230</v>
      </c>
      <c r="D1294">
        <v>2290.75</v>
      </c>
      <c r="E1294" s="136">
        <v>40974</v>
      </c>
      <c r="F1294">
        <v>29.866</v>
      </c>
      <c r="G1294">
        <v>28.137</v>
      </c>
      <c r="H1294">
        <v>29.981000000000002</v>
      </c>
      <c r="I1294" s="136">
        <v>40974</v>
      </c>
      <c r="J1294">
        <v>39.450000000000003</v>
      </c>
      <c r="K1294">
        <v>39.119999999999997</v>
      </c>
      <c r="L1294">
        <v>39.869999999999997</v>
      </c>
    </row>
    <row r="1295" spans="1:12">
      <c r="A1295" s="136">
        <v>40975</v>
      </c>
      <c r="B1295">
        <v>2236</v>
      </c>
      <c r="C1295">
        <v>2202</v>
      </c>
      <c r="D1295">
        <v>2245</v>
      </c>
      <c r="E1295" s="136">
        <v>40975</v>
      </c>
      <c r="F1295">
        <v>28.262</v>
      </c>
      <c r="G1295">
        <v>28.177</v>
      </c>
      <c r="H1295">
        <v>29.041</v>
      </c>
      <c r="I1295" s="136">
        <v>40975</v>
      </c>
      <c r="J1295">
        <v>39.46</v>
      </c>
      <c r="K1295">
        <v>39.380000000000003</v>
      </c>
      <c r="L1295">
        <v>40.06</v>
      </c>
    </row>
    <row r="1296" spans="1:12">
      <c r="A1296" s="136">
        <v>40976</v>
      </c>
      <c r="B1296">
        <v>2215</v>
      </c>
      <c r="C1296">
        <v>2205</v>
      </c>
      <c r="D1296">
        <v>2234.75</v>
      </c>
      <c r="E1296" s="136">
        <v>40976</v>
      </c>
      <c r="F1296">
        <v>29.334</v>
      </c>
      <c r="G1296">
        <v>29.146999999999998</v>
      </c>
      <c r="H1296">
        <v>30.22</v>
      </c>
      <c r="I1296" s="136">
        <v>40976</v>
      </c>
      <c r="J1296">
        <v>40.47</v>
      </c>
      <c r="K1296">
        <v>40.22</v>
      </c>
      <c r="L1296">
        <v>40.75</v>
      </c>
    </row>
    <row r="1297" spans="1:12">
      <c r="A1297" s="136">
        <v>40977</v>
      </c>
      <c r="B1297">
        <v>2216</v>
      </c>
      <c r="C1297">
        <v>2202.5</v>
      </c>
      <c r="D1297">
        <v>2244</v>
      </c>
      <c r="E1297" s="136">
        <v>40977</v>
      </c>
      <c r="F1297">
        <v>30.433</v>
      </c>
      <c r="G1297">
        <v>29.888000000000002</v>
      </c>
      <c r="H1297">
        <v>30.806999999999999</v>
      </c>
      <c r="I1297" s="136">
        <v>40977</v>
      </c>
      <c r="J1297">
        <v>40.75</v>
      </c>
      <c r="K1297">
        <v>40.5</v>
      </c>
      <c r="L1297">
        <v>41.44</v>
      </c>
    </row>
    <row r="1298" spans="1:12">
      <c r="A1298" s="136">
        <v>40978</v>
      </c>
      <c r="B1298">
        <v>2216</v>
      </c>
      <c r="C1298">
        <v>2202.5</v>
      </c>
      <c r="D1298">
        <v>2244</v>
      </c>
      <c r="E1298" s="136">
        <v>40978</v>
      </c>
      <c r="F1298">
        <v>30.433</v>
      </c>
      <c r="G1298">
        <v>29.888000000000002</v>
      </c>
      <c r="H1298">
        <v>30.806999999999999</v>
      </c>
      <c r="I1298" s="136">
        <v>40978</v>
      </c>
      <c r="J1298">
        <v>40.75</v>
      </c>
      <c r="K1298">
        <v>40.5</v>
      </c>
      <c r="L1298">
        <v>41.44</v>
      </c>
    </row>
    <row r="1299" spans="1:12">
      <c r="A1299" s="136">
        <v>40979</v>
      </c>
      <c r="B1299">
        <v>2216</v>
      </c>
      <c r="C1299">
        <v>2202.5</v>
      </c>
      <c r="D1299">
        <v>2244</v>
      </c>
      <c r="E1299" s="136">
        <v>40979</v>
      </c>
      <c r="F1299">
        <v>30.433</v>
      </c>
      <c r="G1299">
        <v>29.888000000000002</v>
      </c>
      <c r="H1299">
        <v>30.806999999999999</v>
      </c>
      <c r="I1299" s="136">
        <v>40979</v>
      </c>
      <c r="J1299">
        <v>40.75</v>
      </c>
      <c r="K1299">
        <v>40.5</v>
      </c>
      <c r="L1299">
        <v>41.44</v>
      </c>
    </row>
    <row r="1300" spans="1:12">
      <c r="A1300" s="136">
        <v>40980</v>
      </c>
      <c r="B1300">
        <v>2240</v>
      </c>
      <c r="C1300">
        <v>2210.5</v>
      </c>
      <c r="D1300">
        <v>2240</v>
      </c>
      <c r="E1300" s="136">
        <v>40980</v>
      </c>
      <c r="F1300">
        <v>29.623999999999999</v>
      </c>
      <c r="G1300">
        <v>29.623999999999999</v>
      </c>
      <c r="H1300">
        <v>30.692</v>
      </c>
      <c r="I1300" s="136">
        <v>40980</v>
      </c>
      <c r="J1300">
        <v>40.86</v>
      </c>
      <c r="K1300">
        <v>40.200000000000003</v>
      </c>
      <c r="L1300">
        <v>40.98</v>
      </c>
    </row>
    <row r="1301" spans="1:12">
      <c r="A1301" s="136">
        <v>40981</v>
      </c>
      <c r="B1301">
        <v>2229</v>
      </c>
      <c r="C1301">
        <v>2225</v>
      </c>
      <c r="D1301">
        <v>2262.5</v>
      </c>
      <c r="E1301" s="136">
        <v>40981</v>
      </c>
      <c r="F1301">
        <v>30.616</v>
      </c>
      <c r="G1301">
        <v>30.56</v>
      </c>
      <c r="H1301">
        <v>31.411000000000001</v>
      </c>
      <c r="I1301" s="136">
        <v>40981</v>
      </c>
      <c r="J1301">
        <v>41.02</v>
      </c>
      <c r="K1301">
        <v>40.82</v>
      </c>
      <c r="L1301">
        <v>43.73</v>
      </c>
    </row>
    <row r="1302" spans="1:12">
      <c r="A1302" s="136">
        <v>40982</v>
      </c>
      <c r="B1302">
        <v>2255</v>
      </c>
      <c r="C1302">
        <v>2215</v>
      </c>
      <c r="D1302">
        <v>2260</v>
      </c>
      <c r="E1302" s="136">
        <v>40982</v>
      </c>
      <c r="F1302">
        <v>31.504999999999999</v>
      </c>
      <c r="G1302">
        <v>31.504999999999999</v>
      </c>
      <c r="H1302">
        <v>32.744</v>
      </c>
      <c r="I1302" s="136">
        <v>40982</v>
      </c>
      <c r="J1302">
        <v>43.62</v>
      </c>
      <c r="K1302">
        <v>43.07</v>
      </c>
      <c r="L1302">
        <v>44</v>
      </c>
    </row>
    <row r="1303" spans="1:12">
      <c r="A1303" s="136">
        <v>40983</v>
      </c>
      <c r="B1303">
        <v>2227.75</v>
      </c>
      <c r="C1303">
        <v>2215</v>
      </c>
      <c r="D1303">
        <v>2254</v>
      </c>
      <c r="E1303" s="136">
        <v>40983</v>
      </c>
      <c r="F1303">
        <v>32.56</v>
      </c>
      <c r="G1303">
        <v>27.33</v>
      </c>
      <c r="H1303">
        <v>32.845999999999997</v>
      </c>
      <c r="I1303" s="136">
        <v>40983</v>
      </c>
      <c r="J1303">
        <v>43.64</v>
      </c>
      <c r="K1303">
        <v>42.93</v>
      </c>
      <c r="L1303">
        <v>44.92</v>
      </c>
    </row>
    <row r="1304" spans="1:12">
      <c r="A1304" s="136">
        <v>40984</v>
      </c>
      <c r="B1304">
        <v>2251</v>
      </c>
      <c r="C1304">
        <v>2248.75</v>
      </c>
      <c r="D1304">
        <v>2278</v>
      </c>
      <c r="E1304" s="136">
        <v>40984</v>
      </c>
      <c r="F1304">
        <v>32.662999999999997</v>
      </c>
      <c r="G1304">
        <v>32.39</v>
      </c>
      <c r="H1304">
        <v>33.113999999999997</v>
      </c>
      <c r="I1304" s="136">
        <v>40984</v>
      </c>
      <c r="J1304">
        <v>44.87</v>
      </c>
      <c r="K1304">
        <v>44.22</v>
      </c>
      <c r="L1304">
        <v>44.92</v>
      </c>
    </row>
    <row r="1305" spans="1:12">
      <c r="A1305" s="136">
        <v>40985</v>
      </c>
      <c r="B1305">
        <v>2251</v>
      </c>
      <c r="C1305">
        <v>2248.75</v>
      </c>
      <c r="D1305">
        <v>2278</v>
      </c>
      <c r="E1305" s="136">
        <v>40985</v>
      </c>
      <c r="F1305">
        <v>32.662999999999997</v>
      </c>
      <c r="G1305">
        <v>32.39</v>
      </c>
      <c r="H1305">
        <v>33.113999999999997</v>
      </c>
      <c r="I1305" s="136">
        <v>40985</v>
      </c>
      <c r="J1305">
        <v>44.87</v>
      </c>
      <c r="K1305">
        <v>44.22</v>
      </c>
      <c r="L1305">
        <v>44.92</v>
      </c>
    </row>
    <row r="1306" spans="1:12">
      <c r="A1306" s="136">
        <v>40986</v>
      </c>
      <c r="B1306">
        <v>2251</v>
      </c>
      <c r="C1306">
        <v>2248.75</v>
      </c>
      <c r="D1306">
        <v>2278</v>
      </c>
      <c r="E1306" s="136">
        <v>40986</v>
      </c>
      <c r="F1306">
        <v>32.662999999999997</v>
      </c>
      <c r="G1306">
        <v>32.39</v>
      </c>
      <c r="H1306">
        <v>33.113999999999997</v>
      </c>
      <c r="I1306" s="136">
        <v>40986</v>
      </c>
      <c r="J1306">
        <v>44.87</v>
      </c>
      <c r="K1306">
        <v>44.22</v>
      </c>
      <c r="L1306">
        <v>44.92</v>
      </c>
    </row>
    <row r="1307" spans="1:12">
      <c r="A1307" s="136">
        <v>40987</v>
      </c>
      <c r="B1307">
        <v>2260</v>
      </c>
      <c r="C1307">
        <v>2254.5</v>
      </c>
      <c r="D1307">
        <v>2281</v>
      </c>
      <c r="E1307" s="136">
        <v>40987</v>
      </c>
      <c r="F1307">
        <v>33.093000000000004</v>
      </c>
      <c r="G1307">
        <v>32.314</v>
      </c>
      <c r="H1307">
        <v>33.689</v>
      </c>
      <c r="I1307" s="136">
        <v>40987</v>
      </c>
      <c r="J1307">
        <v>44.44</v>
      </c>
      <c r="K1307">
        <v>44.21</v>
      </c>
      <c r="L1307">
        <v>45.35</v>
      </c>
    </row>
    <row r="1308" spans="1:12">
      <c r="A1308" s="136">
        <v>40988</v>
      </c>
      <c r="B1308">
        <v>2276</v>
      </c>
      <c r="C1308">
        <v>2238</v>
      </c>
      <c r="D1308">
        <v>2278</v>
      </c>
      <c r="E1308" s="136">
        <v>40988</v>
      </c>
      <c r="F1308">
        <v>33.497</v>
      </c>
      <c r="G1308">
        <v>32.82</v>
      </c>
      <c r="H1308">
        <v>33.543999999999997</v>
      </c>
      <c r="I1308" s="136">
        <v>40988</v>
      </c>
      <c r="J1308">
        <v>44.53</v>
      </c>
      <c r="K1308">
        <v>44.37</v>
      </c>
      <c r="L1308">
        <v>45.6</v>
      </c>
    </row>
    <row r="1309" spans="1:12">
      <c r="A1309" s="136">
        <v>40989</v>
      </c>
      <c r="B1309">
        <v>2249</v>
      </c>
      <c r="C1309">
        <v>2208.85</v>
      </c>
      <c r="D1309">
        <v>2259</v>
      </c>
      <c r="E1309" s="136">
        <v>40989</v>
      </c>
      <c r="F1309">
        <v>32.985999999999997</v>
      </c>
      <c r="G1309">
        <v>32.466999999999999</v>
      </c>
      <c r="H1309">
        <v>33.598999999999997</v>
      </c>
      <c r="I1309" s="136">
        <v>40989</v>
      </c>
      <c r="J1309">
        <v>45.53</v>
      </c>
      <c r="K1309">
        <v>44.86</v>
      </c>
      <c r="L1309">
        <v>45.67</v>
      </c>
    </row>
    <row r="1310" spans="1:12">
      <c r="A1310" s="136">
        <v>40990</v>
      </c>
      <c r="B1310">
        <v>2212</v>
      </c>
      <c r="C1310">
        <v>2151</v>
      </c>
      <c r="D1310">
        <v>2219</v>
      </c>
      <c r="E1310" s="136">
        <v>40990</v>
      </c>
      <c r="F1310">
        <v>32.738999999999997</v>
      </c>
      <c r="G1310">
        <v>32.003</v>
      </c>
      <c r="H1310">
        <v>32.896000000000001</v>
      </c>
      <c r="I1310" s="136">
        <v>40990</v>
      </c>
      <c r="J1310">
        <v>44.72</v>
      </c>
      <c r="K1310">
        <v>44.41</v>
      </c>
      <c r="L1310">
        <v>45.094999999999999</v>
      </c>
    </row>
    <row r="1311" spans="1:12">
      <c r="A1311" s="136">
        <v>40991</v>
      </c>
      <c r="B1311">
        <v>2176</v>
      </c>
      <c r="C1311">
        <v>2156.75</v>
      </c>
      <c r="D1311">
        <v>2186.5</v>
      </c>
      <c r="E1311" s="136">
        <v>40991</v>
      </c>
      <c r="F1311">
        <v>32.39</v>
      </c>
      <c r="G1311">
        <v>31.863</v>
      </c>
      <c r="H1311">
        <v>32.773000000000003</v>
      </c>
      <c r="I1311" s="136">
        <v>40991</v>
      </c>
      <c r="J1311">
        <v>44.45</v>
      </c>
      <c r="K1311">
        <v>44.44</v>
      </c>
      <c r="L1311">
        <v>45.25</v>
      </c>
    </row>
    <row r="1312" spans="1:12">
      <c r="A1312" s="136">
        <v>40992</v>
      </c>
      <c r="B1312">
        <v>2176</v>
      </c>
      <c r="C1312">
        <v>2156.75</v>
      </c>
      <c r="D1312">
        <v>2186.5</v>
      </c>
      <c r="E1312" s="136">
        <v>40992</v>
      </c>
      <c r="F1312">
        <v>32.39</v>
      </c>
      <c r="G1312">
        <v>31.863</v>
      </c>
      <c r="H1312">
        <v>32.773000000000003</v>
      </c>
      <c r="I1312" s="136">
        <v>40992</v>
      </c>
      <c r="J1312">
        <v>44.45</v>
      </c>
      <c r="K1312">
        <v>44.44</v>
      </c>
      <c r="L1312">
        <v>45.25</v>
      </c>
    </row>
    <row r="1313" spans="1:12">
      <c r="A1313" s="136">
        <v>40993</v>
      </c>
      <c r="B1313">
        <v>2176</v>
      </c>
      <c r="C1313">
        <v>2156.75</v>
      </c>
      <c r="D1313">
        <v>2186.5</v>
      </c>
      <c r="E1313" s="136">
        <v>40993</v>
      </c>
      <c r="F1313">
        <v>32.39</v>
      </c>
      <c r="G1313">
        <v>31.863</v>
      </c>
      <c r="H1313">
        <v>32.773000000000003</v>
      </c>
      <c r="I1313" s="136">
        <v>40993</v>
      </c>
      <c r="J1313">
        <v>44.45</v>
      </c>
      <c r="K1313">
        <v>44.44</v>
      </c>
      <c r="L1313">
        <v>45.25</v>
      </c>
    </row>
    <row r="1314" spans="1:12">
      <c r="A1314" s="136">
        <v>40994</v>
      </c>
      <c r="B1314">
        <v>2180</v>
      </c>
      <c r="C1314">
        <v>2166</v>
      </c>
      <c r="D1314">
        <v>2194.5</v>
      </c>
      <c r="E1314" s="136">
        <v>40994</v>
      </c>
      <c r="F1314">
        <v>32.752000000000002</v>
      </c>
      <c r="G1314">
        <v>32.372999999999998</v>
      </c>
      <c r="H1314">
        <v>33.267000000000003</v>
      </c>
      <c r="I1314" s="136">
        <v>40994</v>
      </c>
      <c r="J1314">
        <v>45.48</v>
      </c>
      <c r="K1314">
        <v>45.4</v>
      </c>
      <c r="L1314">
        <v>46.17</v>
      </c>
    </row>
    <row r="1315" spans="1:12">
      <c r="A1315" s="136">
        <v>40995</v>
      </c>
      <c r="B1315">
        <v>2182.5</v>
      </c>
      <c r="C1315">
        <v>2171</v>
      </c>
      <c r="D1315">
        <v>2199</v>
      </c>
      <c r="E1315" s="136">
        <v>40995</v>
      </c>
      <c r="F1315">
        <v>33.267000000000003</v>
      </c>
      <c r="G1315">
        <v>32.771000000000001</v>
      </c>
      <c r="H1315">
        <v>33.633000000000003</v>
      </c>
      <c r="I1315" s="136">
        <v>40995</v>
      </c>
      <c r="J1315">
        <v>45.92</v>
      </c>
      <c r="K1315">
        <v>45.83</v>
      </c>
      <c r="L1315">
        <v>46.49</v>
      </c>
    </row>
    <row r="1316" spans="1:12">
      <c r="A1316" s="136">
        <v>40996</v>
      </c>
      <c r="B1316">
        <v>2192</v>
      </c>
      <c r="C1316">
        <v>2161</v>
      </c>
      <c r="D1316">
        <v>2194</v>
      </c>
      <c r="E1316" s="136">
        <v>40996</v>
      </c>
      <c r="F1316">
        <v>32.704999999999998</v>
      </c>
      <c r="G1316">
        <v>32.22</v>
      </c>
      <c r="H1316">
        <v>33.015999999999998</v>
      </c>
      <c r="I1316" s="136">
        <v>40996</v>
      </c>
      <c r="J1316">
        <v>45.76</v>
      </c>
      <c r="K1316">
        <v>45.36</v>
      </c>
      <c r="L1316">
        <v>46.31</v>
      </c>
    </row>
    <row r="1317" spans="1:12">
      <c r="A1317" s="136">
        <v>40997</v>
      </c>
      <c r="B1317">
        <v>2163</v>
      </c>
      <c r="C1317">
        <v>2130</v>
      </c>
      <c r="D1317">
        <v>2172.75</v>
      </c>
      <c r="E1317" s="136">
        <v>40997</v>
      </c>
      <c r="F1317">
        <v>32.292999999999999</v>
      </c>
      <c r="G1317">
        <v>31.283999999999999</v>
      </c>
      <c r="H1317">
        <v>32.875999999999998</v>
      </c>
      <c r="I1317" s="136">
        <v>40997</v>
      </c>
      <c r="J1317">
        <v>45.92</v>
      </c>
      <c r="K1317">
        <v>45.27</v>
      </c>
      <c r="L1317">
        <v>46.02</v>
      </c>
    </row>
    <row r="1318" spans="1:12">
      <c r="A1318" s="136">
        <v>40998</v>
      </c>
      <c r="B1318">
        <v>2148</v>
      </c>
      <c r="C1318">
        <v>2125</v>
      </c>
      <c r="D1318">
        <v>2158</v>
      </c>
      <c r="E1318" s="136">
        <v>40998</v>
      </c>
      <c r="F1318">
        <v>31.667000000000002</v>
      </c>
      <c r="G1318">
        <v>31.283999999999999</v>
      </c>
      <c r="H1318">
        <v>31.97</v>
      </c>
      <c r="I1318" s="136">
        <v>40998</v>
      </c>
      <c r="J1318">
        <v>46.08</v>
      </c>
      <c r="K1318">
        <v>45.5</v>
      </c>
      <c r="L1318">
        <v>46.13</v>
      </c>
    </row>
    <row r="1319" spans="1:12">
      <c r="A1319" s="136">
        <v>40999</v>
      </c>
      <c r="B1319">
        <v>2148</v>
      </c>
      <c r="C1319">
        <v>2125</v>
      </c>
      <c r="D1319">
        <v>2158</v>
      </c>
      <c r="E1319" s="136">
        <v>40999</v>
      </c>
      <c r="F1319">
        <v>31.667000000000002</v>
      </c>
      <c r="G1319">
        <v>31.283999999999999</v>
      </c>
      <c r="H1319">
        <v>31.97</v>
      </c>
      <c r="I1319" s="136">
        <v>40999</v>
      </c>
      <c r="J1319">
        <v>46.08</v>
      </c>
      <c r="K1319">
        <v>45.5</v>
      </c>
      <c r="L1319">
        <v>46.13</v>
      </c>
    </row>
    <row r="1320" spans="1:12">
      <c r="A1320" s="136">
        <v>41000</v>
      </c>
      <c r="B1320">
        <v>2148</v>
      </c>
      <c r="C1320">
        <v>2125</v>
      </c>
      <c r="D1320">
        <v>2158</v>
      </c>
      <c r="E1320" s="136">
        <v>41000</v>
      </c>
      <c r="F1320">
        <v>31.667000000000002</v>
      </c>
      <c r="G1320">
        <v>31.283999999999999</v>
      </c>
      <c r="H1320">
        <v>31.97</v>
      </c>
      <c r="I1320" s="136">
        <v>41000</v>
      </c>
      <c r="J1320">
        <v>46.08</v>
      </c>
      <c r="K1320">
        <v>45.5</v>
      </c>
      <c r="L1320">
        <v>46.13</v>
      </c>
    </row>
    <row r="1321" spans="1:12">
      <c r="A1321" s="136">
        <v>41001</v>
      </c>
      <c r="B1321">
        <v>2134</v>
      </c>
      <c r="C1321">
        <v>2120</v>
      </c>
      <c r="D1321">
        <v>2144</v>
      </c>
      <c r="E1321" s="136">
        <v>41001</v>
      </c>
      <c r="F1321">
        <v>31.99</v>
      </c>
      <c r="G1321">
        <v>30.917999999999999</v>
      </c>
      <c r="H1321">
        <v>32.015999999999998</v>
      </c>
      <c r="I1321" s="136">
        <v>41001</v>
      </c>
      <c r="J1321">
        <v>45.75</v>
      </c>
      <c r="K1321">
        <v>45.46</v>
      </c>
      <c r="L1321">
        <v>46.35</v>
      </c>
    </row>
    <row r="1322" spans="1:12">
      <c r="A1322" s="136">
        <v>41002</v>
      </c>
      <c r="B1322">
        <v>2129.25</v>
      </c>
      <c r="C1322">
        <v>2115</v>
      </c>
      <c r="D1322">
        <v>2137</v>
      </c>
      <c r="E1322" s="136">
        <v>41002</v>
      </c>
      <c r="F1322">
        <v>31.939</v>
      </c>
      <c r="G1322">
        <v>30.815999999999999</v>
      </c>
      <c r="H1322">
        <v>32.365000000000002</v>
      </c>
      <c r="I1322" s="136">
        <v>41002</v>
      </c>
      <c r="J1322">
        <v>45.74</v>
      </c>
      <c r="K1322">
        <v>44.97</v>
      </c>
      <c r="L1322">
        <v>45.984999999999999</v>
      </c>
    </row>
    <row r="1323" spans="1:12">
      <c r="A1323" s="136">
        <v>41003</v>
      </c>
      <c r="B1323">
        <v>2122</v>
      </c>
      <c r="C1323">
        <v>2087.5</v>
      </c>
      <c r="D1323">
        <v>2124.75</v>
      </c>
      <c r="E1323" s="136">
        <v>41003</v>
      </c>
      <c r="F1323">
        <v>30.773</v>
      </c>
      <c r="G1323">
        <v>29.879000000000001</v>
      </c>
      <c r="H1323">
        <v>30.93</v>
      </c>
      <c r="I1323" s="136">
        <v>41003</v>
      </c>
      <c r="J1323">
        <v>44.68</v>
      </c>
      <c r="K1323">
        <v>43.96</v>
      </c>
      <c r="L1323">
        <v>44.86</v>
      </c>
    </row>
    <row r="1324" spans="1:12">
      <c r="A1324" s="136">
        <v>41004</v>
      </c>
      <c r="B1324">
        <v>2095.75</v>
      </c>
      <c r="C1324">
        <v>2085</v>
      </c>
      <c r="D1324">
        <v>2116</v>
      </c>
      <c r="E1324" s="136">
        <v>41004</v>
      </c>
      <c r="F1324">
        <v>30.091999999999999</v>
      </c>
      <c r="G1324">
        <v>29.045000000000002</v>
      </c>
      <c r="H1324">
        <v>30.262</v>
      </c>
      <c r="I1324" s="136">
        <v>41004</v>
      </c>
      <c r="J1324">
        <v>44.13</v>
      </c>
      <c r="K1324">
        <v>43.81</v>
      </c>
      <c r="L1324">
        <v>44.73</v>
      </c>
    </row>
    <row r="1325" spans="1:12">
      <c r="A1325" s="136">
        <v>41005</v>
      </c>
      <c r="B1325">
        <v>2095.75</v>
      </c>
      <c r="C1325">
        <v>2085</v>
      </c>
      <c r="D1325">
        <v>2116</v>
      </c>
      <c r="E1325" s="136">
        <v>41005</v>
      </c>
      <c r="F1325">
        <v>30.091999999999999</v>
      </c>
      <c r="G1325">
        <v>29.045000000000002</v>
      </c>
      <c r="H1325">
        <v>30.262</v>
      </c>
      <c r="I1325" s="136">
        <v>41005</v>
      </c>
      <c r="J1325">
        <v>44.13</v>
      </c>
      <c r="K1325">
        <v>43.81</v>
      </c>
      <c r="L1325">
        <v>44.73</v>
      </c>
    </row>
    <row r="1326" spans="1:12">
      <c r="A1326" s="136">
        <v>41006</v>
      </c>
      <c r="B1326">
        <v>2095.75</v>
      </c>
      <c r="C1326">
        <v>2085</v>
      </c>
      <c r="D1326">
        <v>2116</v>
      </c>
      <c r="E1326" s="136">
        <v>41006</v>
      </c>
      <c r="F1326">
        <v>30.091999999999999</v>
      </c>
      <c r="G1326">
        <v>29.045000000000002</v>
      </c>
      <c r="H1326">
        <v>30.262</v>
      </c>
      <c r="I1326" s="136">
        <v>41006</v>
      </c>
      <c r="J1326">
        <v>44.13</v>
      </c>
      <c r="K1326">
        <v>43.81</v>
      </c>
      <c r="L1326">
        <v>44.73</v>
      </c>
    </row>
    <row r="1327" spans="1:12">
      <c r="A1327" s="136">
        <v>41007</v>
      </c>
      <c r="B1327">
        <v>2095.75</v>
      </c>
      <c r="C1327">
        <v>2085</v>
      </c>
      <c r="D1327">
        <v>2116</v>
      </c>
      <c r="E1327" s="136">
        <v>41007</v>
      </c>
      <c r="F1327">
        <v>30.091999999999999</v>
      </c>
      <c r="G1327">
        <v>29.045000000000002</v>
      </c>
      <c r="H1327">
        <v>30.262</v>
      </c>
      <c r="I1327" s="136">
        <v>41007</v>
      </c>
      <c r="J1327">
        <v>44.13</v>
      </c>
      <c r="K1327">
        <v>43.81</v>
      </c>
      <c r="L1327">
        <v>44.73</v>
      </c>
    </row>
    <row r="1328" spans="1:12">
      <c r="A1328" s="136">
        <v>41008</v>
      </c>
      <c r="B1328">
        <v>2095.75</v>
      </c>
      <c r="C1328">
        <v>2085</v>
      </c>
      <c r="D1328">
        <v>2116</v>
      </c>
      <c r="E1328" s="136">
        <v>41008</v>
      </c>
      <c r="F1328">
        <v>30.091999999999999</v>
      </c>
      <c r="G1328">
        <v>29.045000000000002</v>
      </c>
      <c r="H1328">
        <v>30.262</v>
      </c>
      <c r="I1328" s="136">
        <v>41008</v>
      </c>
      <c r="J1328">
        <v>43.19</v>
      </c>
      <c r="K1328">
        <v>43.07</v>
      </c>
      <c r="L1328">
        <v>44.28</v>
      </c>
    </row>
    <row r="1329" spans="1:12">
      <c r="A1329" s="136">
        <v>41009</v>
      </c>
      <c r="B1329">
        <v>2105</v>
      </c>
      <c r="C1329">
        <v>2064.8000000000002</v>
      </c>
      <c r="D1329">
        <v>2120.75</v>
      </c>
      <c r="E1329" s="136">
        <v>41009</v>
      </c>
      <c r="F1329">
        <v>29.292000000000002</v>
      </c>
      <c r="G1329">
        <v>28.262</v>
      </c>
      <c r="H1329">
        <v>29.780999999999999</v>
      </c>
      <c r="I1329" s="136">
        <v>41009</v>
      </c>
      <c r="J1329">
        <v>43.88</v>
      </c>
      <c r="K1329">
        <v>42.66</v>
      </c>
      <c r="L1329">
        <v>44.01</v>
      </c>
    </row>
    <row r="1330" spans="1:12">
      <c r="A1330" s="136">
        <v>41010</v>
      </c>
      <c r="B1330">
        <v>2073</v>
      </c>
      <c r="C1330">
        <v>2070.5</v>
      </c>
      <c r="D1330">
        <v>2100.5</v>
      </c>
      <c r="E1330" s="136">
        <v>41010</v>
      </c>
      <c r="F1330">
        <v>28.440999999999999</v>
      </c>
      <c r="G1330">
        <v>28.388999999999999</v>
      </c>
      <c r="H1330">
        <v>29.806999999999999</v>
      </c>
      <c r="I1330" s="136">
        <v>41010</v>
      </c>
      <c r="J1330">
        <v>43.59</v>
      </c>
      <c r="K1330">
        <v>43.57</v>
      </c>
      <c r="L1330">
        <v>44.21</v>
      </c>
    </row>
    <row r="1331" spans="1:12">
      <c r="A1331" s="136">
        <v>41011</v>
      </c>
      <c r="B1331">
        <v>2097.25</v>
      </c>
      <c r="C1331">
        <v>2095</v>
      </c>
      <c r="D1331">
        <v>2126</v>
      </c>
      <c r="E1331" s="136">
        <v>41011</v>
      </c>
      <c r="F1331">
        <v>29.402000000000001</v>
      </c>
      <c r="G1331">
        <v>28.9</v>
      </c>
      <c r="H1331">
        <v>30.003</v>
      </c>
      <c r="I1331" s="136">
        <v>41011</v>
      </c>
      <c r="J1331">
        <v>44.12</v>
      </c>
      <c r="K1331">
        <v>44</v>
      </c>
      <c r="L1331">
        <v>44.99</v>
      </c>
    </row>
    <row r="1332" spans="1:12">
      <c r="A1332" s="136">
        <v>41012</v>
      </c>
      <c r="B1332">
        <v>2110</v>
      </c>
      <c r="C1332">
        <v>2061</v>
      </c>
      <c r="D1332">
        <v>2113</v>
      </c>
      <c r="E1332" s="136">
        <v>41012</v>
      </c>
      <c r="F1332">
        <v>29.972999999999999</v>
      </c>
      <c r="G1332">
        <v>28.844999999999999</v>
      </c>
      <c r="H1332">
        <v>30.207000000000001</v>
      </c>
      <c r="I1332" s="136">
        <v>41012</v>
      </c>
      <c r="J1332">
        <v>44.95</v>
      </c>
      <c r="K1332">
        <v>43.06</v>
      </c>
      <c r="L1332">
        <v>44.95</v>
      </c>
    </row>
    <row r="1333" spans="1:12">
      <c r="A1333" s="136">
        <v>41013</v>
      </c>
      <c r="B1333">
        <v>2110</v>
      </c>
      <c r="C1333">
        <v>2061</v>
      </c>
      <c r="D1333">
        <v>2113</v>
      </c>
      <c r="E1333" s="136">
        <v>41013</v>
      </c>
      <c r="F1333">
        <v>29.972999999999999</v>
      </c>
      <c r="G1333">
        <v>28.844999999999999</v>
      </c>
      <c r="H1333">
        <v>30.207000000000001</v>
      </c>
      <c r="I1333" s="136">
        <v>41013</v>
      </c>
      <c r="J1333">
        <v>44.95</v>
      </c>
      <c r="K1333">
        <v>43.06</v>
      </c>
      <c r="L1333">
        <v>44.95</v>
      </c>
    </row>
    <row r="1334" spans="1:12">
      <c r="A1334" s="136">
        <v>41014</v>
      </c>
      <c r="B1334">
        <v>2110</v>
      </c>
      <c r="C1334">
        <v>2061</v>
      </c>
      <c r="D1334">
        <v>2113</v>
      </c>
      <c r="E1334" s="136">
        <v>41014</v>
      </c>
      <c r="F1334">
        <v>29.972999999999999</v>
      </c>
      <c r="G1334">
        <v>28.844999999999999</v>
      </c>
      <c r="H1334">
        <v>30.207000000000001</v>
      </c>
      <c r="I1334" s="136">
        <v>41014</v>
      </c>
      <c r="J1334">
        <v>44.95</v>
      </c>
      <c r="K1334">
        <v>43.06</v>
      </c>
      <c r="L1334">
        <v>44.95</v>
      </c>
    </row>
    <row r="1335" spans="1:12">
      <c r="A1335" s="136">
        <v>41015</v>
      </c>
      <c r="B1335">
        <v>2071.5</v>
      </c>
      <c r="C1335">
        <v>2062</v>
      </c>
      <c r="D1335">
        <v>2082.5</v>
      </c>
      <c r="E1335" s="136">
        <v>41015</v>
      </c>
      <c r="F1335">
        <v>28.913</v>
      </c>
      <c r="G1335">
        <v>28.321000000000002</v>
      </c>
      <c r="H1335">
        <v>29.385000000000002</v>
      </c>
      <c r="I1335" s="136">
        <v>41015</v>
      </c>
      <c r="J1335">
        <v>43.38</v>
      </c>
      <c r="K1335">
        <v>42.84</v>
      </c>
      <c r="L1335">
        <v>43.8</v>
      </c>
    </row>
    <row r="1336" spans="1:12">
      <c r="A1336" s="136">
        <v>41016</v>
      </c>
      <c r="B1336">
        <v>2075</v>
      </c>
      <c r="C1336">
        <v>2066.75</v>
      </c>
      <c r="D1336">
        <v>2105</v>
      </c>
      <c r="E1336" s="136">
        <v>41016</v>
      </c>
      <c r="F1336">
        <v>28.939</v>
      </c>
      <c r="G1336">
        <v>28.614999999999998</v>
      </c>
      <c r="H1336">
        <v>30.135000000000002</v>
      </c>
      <c r="I1336" s="136">
        <v>41016</v>
      </c>
      <c r="J1336">
        <v>43.69</v>
      </c>
      <c r="K1336">
        <v>43.16</v>
      </c>
      <c r="L1336">
        <v>44</v>
      </c>
    </row>
    <row r="1337" spans="1:12">
      <c r="A1337" s="136">
        <v>41017</v>
      </c>
      <c r="B1337">
        <v>2085</v>
      </c>
      <c r="C1337">
        <v>2054</v>
      </c>
      <c r="D1337">
        <v>2094.25</v>
      </c>
      <c r="E1337" s="136">
        <v>41017</v>
      </c>
      <c r="F1337">
        <v>30.117999999999999</v>
      </c>
      <c r="G1337">
        <v>29.367999999999999</v>
      </c>
      <c r="H1337">
        <v>30.347000000000001</v>
      </c>
      <c r="I1337" s="136">
        <v>41017</v>
      </c>
      <c r="J1337">
        <v>43.62</v>
      </c>
      <c r="K1337">
        <v>43.27</v>
      </c>
      <c r="L1337">
        <v>43.91</v>
      </c>
    </row>
    <row r="1338" spans="1:12">
      <c r="A1338" s="136">
        <v>41018</v>
      </c>
      <c r="B1338">
        <v>2065</v>
      </c>
      <c r="C1338">
        <v>2051</v>
      </c>
      <c r="D1338">
        <v>2074.1999999999998</v>
      </c>
      <c r="E1338" s="136">
        <v>41018</v>
      </c>
      <c r="F1338">
        <v>29.573</v>
      </c>
      <c r="G1338">
        <v>28.687000000000001</v>
      </c>
      <c r="H1338">
        <v>30.172999999999998</v>
      </c>
      <c r="I1338" s="136">
        <v>41018</v>
      </c>
      <c r="J1338">
        <v>43.44</v>
      </c>
      <c r="K1338">
        <v>42.77</v>
      </c>
      <c r="L1338">
        <v>43.69</v>
      </c>
    </row>
    <row r="1339" spans="1:12">
      <c r="A1339" s="136">
        <v>41019</v>
      </c>
      <c r="B1339">
        <v>2072</v>
      </c>
      <c r="C1339">
        <v>2068</v>
      </c>
      <c r="D1339">
        <v>2091</v>
      </c>
      <c r="E1339" s="136">
        <v>41019</v>
      </c>
      <c r="F1339">
        <v>28.777000000000001</v>
      </c>
      <c r="G1339">
        <v>28.73</v>
      </c>
      <c r="H1339">
        <v>29.963999999999999</v>
      </c>
      <c r="I1339" s="136">
        <v>41019</v>
      </c>
      <c r="J1339">
        <v>43.51</v>
      </c>
      <c r="K1339">
        <v>42.71</v>
      </c>
      <c r="L1339">
        <v>43.58</v>
      </c>
    </row>
    <row r="1340" spans="1:12">
      <c r="A1340" s="136">
        <v>41020</v>
      </c>
      <c r="B1340">
        <v>2072</v>
      </c>
      <c r="C1340">
        <v>2068</v>
      </c>
      <c r="D1340">
        <v>2091</v>
      </c>
      <c r="E1340" s="136">
        <v>41020</v>
      </c>
      <c r="F1340">
        <v>28.777000000000001</v>
      </c>
      <c r="G1340">
        <v>28.73</v>
      </c>
      <c r="H1340">
        <v>29.963999999999999</v>
      </c>
      <c r="I1340" s="136">
        <v>41020</v>
      </c>
      <c r="J1340">
        <v>43.51</v>
      </c>
      <c r="K1340">
        <v>42.71</v>
      </c>
      <c r="L1340">
        <v>43.58</v>
      </c>
    </row>
    <row r="1341" spans="1:12">
      <c r="A1341" s="136">
        <v>41021</v>
      </c>
      <c r="B1341">
        <v>2072</v>
      </c>
      <c r="C1341">
        <v>2068</v>
      </c>
      <c r="D1341">
        <v>2091</v>
      </c>
      <c r="E1341" s="136">
        <v>41021</v>
      </c>
      <c r="F1341">
        <v>28.777000000000001</v>
      </c>
      <c r="G1341">
        <v>28.73</v>
      </c>
      <c r="H1341">
        <v>29.963999999999999</v>
      </c>
      <c r="I1341" s="136">
        <v>41021</v>
      </c>
      <c r="J1341">
        <v>43.51</v>
      </c>
      <c r="K1341">
        <v>42.71</v>
      </c>
      <c r="L1341">
        <v>43.58</v>
      </c>
    </row>
    <row r="1342" spans="1:12">
      <c r="A1342" s="136">
        <v>41022</v>
      </c>
      <c r="B1342">
        <v>2075</v>
      </c>
      <c r="C1342">
        <v>2050</v>
      </c>
      <c r="D1342">
        <v>2080</v>
      </c>
      <c r="E1342" s="136">
        <v>41022</v>
      </c>
      <c r="F1342">
        <v>28.9</v>
      </c>
      <c r="G1342">
        <v>27.866</v>
      </c>
      <c r="H1342">
        <v>29.146999999999998</v>
      </c>
      <c r="I1342" s="136">
        <v>41022</v>
      </c>
      <c r="J1342">
        <v>41.92</v>
      </c>
      <c r="K1342">
        <v>41.8</v>
      </c>
      <c r="L1342">
        <v>42.96</v>
      </c>
    </row>
    <row r="1343" spans="1:12">
      <c r="A1343" s="136">
        <v>41023</v>
      </c>
      <c r="B1343">
        <v>2061</v>
      </c>
      <c r="C1343">
        <v>2060</v>
      </c>
      <c r="D1343">
        <v>2092</v>
      </c>
      <c r="E1343" s="136">
        <v>41023</v>
      </c>
      <c r="F1343">
        <v>28.303999999999998</v>
      </c>
      <c r="G1343">
        <v>27.44</v>
      </c>
      <c r="H1343">
        <v>28.594000000000001</v>
      </c>
      <c r="I1343" s="136">
        <v>41023</v>
      </c>
      <c r="J1343">
        <v>42.98</v>
      </c>
      <c r="K1343">
        <v>42.81</v>
      </c>
      <c r="L1343">
        <v>43.31</v>
      </c>
    </row>
    <row r="1344" spans="1:12">
      <c r="A1344" s="136">
        <v>41024</v>
      </c>
      <c r="B1344">
        <v>2079</v>
      </c>
      <c r="C1344">
        <v>2066.25</v>
      </c>
      <c r="D1344">
        <v>2093.5</v>
      </c>
      <c r="E1344" s="136">
        <v>41024</v>
      </c>
      <c r="F1344">
        <v>28.538</v>
      </c>
      <c r="G1344">
        <v>28.516999999999999</v>
      </c>
      <c r="H1344">
        <v>29.576999999999998</v>
      </c>
      <c r="I1344" s="136">
        <v>41024</v>
      </c>
      <c r="J1344">
        <v>43.65</v>
      </c>
      <c r="K1344">
        <v>42.98</v>
      </c>
      <c r="L1344">
        <v>43.89</v>
      </c>
    </row>
    <row r="1345" spans="1:12">
      <c r="A1345" s="136">
        <v>41025</v>
      </c>
      <c r="B1345">
        <v>2075</v>
      </c>
      <c r="C1345">
        <v>2074</v>
      </c>
      <c r="D1345">
        <v>2092.5</v>
      </c>
      <c r="E1345" s="136">
        <v>41025</v>
      </c>
      <c r="F1345">
        <v>28.645</v>
      </c>
      <c r="G1345">
        <v>27.297999999999998</v>
      </c>
      <c r="H1345">
        <v>28.9</v>
      </c>
      <c r="I1345" s="136">
        <v>41025</v>
      </c>
      <c r="J1345">
        <v>43.22</v>
      </c>
      <c r="K1345">
        <v>43.059899999999999</v>
      </c>
      <c r="L1345">
        <v>43.89</v>
      </c>
    </row>
    <row r="1346" spans="1:12">
      <c r="A1346" s="136">
        <v>41026</v>
      </c>
      <c r="B1346">
        <v>2085.5</v>
      </c>
      <c r="C1346">
        <v>2078.5</v>
      </c>
      <c r="D1346">
        <v>2113.25</v>
      </c>
      <c r="E1346" s="136">
        <v>41026</v>
      </c>
      <c r="F1346">
        <v>27.922000000000001</v>
      </c>
      <c r="G1346">
        <v>27.334</v>
      </c>
      <c r="H1346">
        <v>28.977</v>
      </c>
      <c r="I1346" s="136">
        <v>41026</v>
      </c>
      <c r="J1346">
        <v>43.94</v>
      </c>
      <c r="K1346">
        <v>43.23</v>
      </c>
      <c r="L1346">
        <v>43.99</v>
      </c>
    </row>
    <row r="1347" spans="1:12">
      <c r="A1347" s="136">
        <v>41027</v>
      </c>
      <c r="B1347">
        <v>2085.5</v>
      </c>
      <c r="C1347">
        <v>2078.5</v>
      </c>
      <c r="D1347">
        <v>2113.25</v>
      </c>
      <c r="E1347" s="136">
        <v>41027</v>
      </c>
      <c r="F1347">
        <v>27.922000000000001</v>
      </c>
      <c r="G1347">
        <v>27.334</v>
      </c>
      <c r="H1347">
        <v>28.977</v>
      </c>
      <c r="I1347" s="136">
        <v>41027</v>
      </c>
      <c r="J1347">
        <v>43.94</v>
      </c>
      <c r="K1347">
        <v>43.23</v>
      </c>
      <c r="L1347">
        <v>43.99</v>
      </c>
    </row>
    <row r="1348" spans="1:12">
      <c r="A1348" s="136">
        <v>41028</v>
      </c>
      <c r="B1348">
        <v>2085.5</v>
      </c>
      <c r="C1348">
        <v>2078.5</v>
      </c>
      <c r="D1348">
        <v>2113.25</v>
      </c>
      <c r="E1348" s="136">
        <v>41028</v>
      </c>
      <c r="F1348">
        <v>27.922000000000001</v>
      </c>
      <c r="G1348">
        <v>27.334</v>
      </c>
      <c r="H1348">
        <v>28.977</v>
      </c>
      <c r="I1348" s="136">
        <v>41028</v>
      </c>
      <c r="J1348">
        <v>43.94</v>
      </c>
      <c r="K1348">
        <v>43.23</v>
      </c>
      <c r="L1348">
        <v>43.99</v>
      </c>
    </row>
    <row r="1349" spans="1:12">
      <c r="A1349" s="136">
        <v>41029</v>
      </c>
      <c r="B1349">
        <v>2110</v>
      </c>
      <c r="C1349">
        <v>2093.75</v>
      </c>
      <c r="D1349">
        <v>2120</v>
      </c>
      <c r="E1349" s="136">
        <v>41029</v>
      </c>
      <c r="F1349">
        <v>28.542999999999999</v>
      </c>
      <c r="G1349">
        <v>27.9</v>
      </c>
      <c r="H1349">
        <v>28.756</v>
      </c>
      <c r="I1349" s="136">
        <v>41029</v>
      </c>
      <c r="J1349">
        <v>43.33</v>
      </c>
      <c r="K1349">
        <v>42.54</v>
      </c>
      <c r="L1349">
        <v>43.37</v>
      </c>
    </row>
    <row r="1350" spans="1:12">
      <c r="A1350" s="136">
        <v>41030</v>
      </c>
      <c r="B1350">
        <v>2118.75</v>
      </c>
      <c r="C1350">
        <v>2102.75</v>
      </c>
      <c r="D1350">
        <v>2133.75</v>
      </c>
      <c r="E1350" s="136">
        <v>41030</v>
      </c>
      <c r="F1350">
        <v>28.542999999999999</v>
      </c>
      <c r="G1350">
        <v>27.9</v>
      </c>
      <c r="H1350">
        <v>28.756</v>
      </c>
      <c r="I1350" s="136">
        <v>41030</v>
      </c>
      <c r="J1350">
        <v>43</v>
      </c>
      <c r="K1350">
        <v>42.96</v>
      </c>
      <c r="L1350">
        <v>44.24</v>
      </c>
    </row>
    <row r="1351" spans="1:12">
      <c r="A1351" s="136">
        <v>41031</v>
      </c>
      <c r="B1351">
        <v>2112</v>
      </c>
      <c r="C1351">
        <v>2095</v>
      </c>
      <c r="D1351">
        <v>2125.5</v>
      </c>
      <c r="E1351" s="136">
        <v>41031</v>
      </c>
      <c r="F1351">
        <v>28.198</v>
      </c>
      <c r="G1351">
        <v>27.027000000000001</v>
      </c>
      <c r="H1351">
        <v>28.516999999999999</v>
      </c>
      <c r="I1351" s="136">
        <v>41031</v>
      </c>
      <c r="J1351">
        <v>43.46</v>
      </c>
      <c r="K1351">
        <v>42.84</v>
      </c>
      <c r="L1351">
        <v>43.53</v>
      </c>
    </row>
    <row r="1352" spans="1:12">
      <c r="A1352" s="136">
        <v>41032</v>
      </c>
      <c r="B1352">
        <v>2096.5</v>
      </c>
      <c r="C1352">
        <v>2075.25</v>
      </c>
      <c r="D1352">
        <v>2108.75</v>
      </c>
      <c r="E1352" s="136">
        <v>41032</v>
      </c>
      <c r="F1352">
        <v>27.478999999999999</v>
      </c>
      <c r="G1352">
        <v>26.346</v>
      </c>
      <c r="H1352">
        <v>27.588999999999999</v>
      </c>
      <c r="I1352" s="136">
        <v>41032</v>
      </c>
      <c r="J1352">
        <v>43.38</v>
      </c>
      <c r="K1352">
        <v>42.67</v>
      </c>
      <c r="L1352">
        <v>43.39</v>
      </c>
    </row>
    <row r="1353" spans="1:12">
      <c r="A1353" s="136">
        <v>41033</v>
      </c>
      <c r="B1353">
        <v>2088</v>
      </c>
      <c r="C1353">
        <v>2060</v>
      </c>
      <c r="D1353">
        <v>2096</v>
      </c>
      <c r="E1353" s="136">
        <v>41033</v>
      </c>
      <c r="F1353">
        <v>26.443999999999999</v>
      </c>
      <c r="G1353">
        <v>26.030999999999999</v>
      </c>
      <c r="H1353">
        <v>27.167999999999999</v>
      </c>
      <c r="I1353" s="136">
        <v>41033</v>
      </c>
      <c r="J1353">
        <v>42.33</v>
      </c>
      <c r="K1353">
        <v>41.71</v>
      </c>
      <c r="L1353">
        <v>42.68</v>
      </c>
    </row>
    <row r="1354" spans="1:12">
      <c r="A1354" s="136">
        <v>41034</v>
      </c>
      <c r="B1354">
        <v>2088</v>
      </c>
      <c r="C1354">
        <v>2060</v>
      </c>
      <c r="D1354">
        <v>2096</v>
      </c>
      <c r="E1354" s="136">
        <v>41034</v>
      </c>
      <c r="F1354">
        <v>26.443999999999999</v>
      </c>
      <c r="G1354">
        <v>26.030999999999999</v>
      </c>
      <c r="H1354">
        <v>27.167999999999999</v>
      </c>
      <c r="I1354" s="136">
        <v>41034</v>
      </c>
      <c r="J1354">
        <v>42.33</v>
      </c>
      <c r="K1354">
        <v>41.71</v>
      </c>
      <c r="L1354">
        <v>42.68</v>
      </c>
    </row>
    <row r="1355" spans="1:12">
      <c r="A1355" s="136">
        <v>41035</v>
      </c>
      <c r="B1355">
        <v>2088</v>
      </c>
      <c r="C1355">
        <v>2060</v>
      </c>
      <c r="D1355">
        <v>2096</v>
      </c>
      <c r="E1355" s="136">
        <v>41035</v>
      </c>
      <c r="F1355">
        <v>26.443999999999999</v>
      </c>
      <c r="G1355">
        <v>26.030999999999999</v>
      </c>
      <c r="H1355">
        <v>27.167999999999999</v>
      </c>
      <c r="I1355" s="136">
        <v>41035</v>
      </c>
      <c r="J1355">
        <v>42.33</v>
      </c>
      <c r="K1355">
        <v>41.71</v>
      </c>
      <c r="L1355">
        <v>42.68</v>
      </c>
    </row>
    <row r="1356" spans="1:12">
      <c r="A1356" s="136">
        <v>41036</v>
      </c>
      <c r="B1356">
        <v>2088</v>
      </c>
      <c r="C1356">
        <v>2060</v>
      </c>
      <c r="D1356">
        <v>2096</v>
      </c>
      <c r="E1356" s="136">
        <v>41036</v>
      </c>
      <c r="F1356">
        <v>25.452999999999999</v>
      </c>
      <c r="G1356">
        <v>25.282</v>
      </c>
      <c r="H1356">
        <v>27.113</v>
      </c>
      <c r="I1356" s="136">
        <v>41036</v>
      </c>
      <c r="J1356">
        <v>41.43</v>
      </c>
      <c r="K1356">
        <v>41.37</v>
      </c>
      <c r="L1356">
        <v>42.395000000000003</v>
      </c>
    </row>
    <row r="1357" spans="1:12">
      <c r="A1357" s="136">
        <v>41037</v>
      </c>
      <c r="B1357">
        <v>2075</v>
      </c>
      <c r="C1357">
        <v>2037.75</v>
      </c>
      <c r="D1357">
        <v>2084</v>
      </c>
      <c r="E1357" s="136">
        <v>41037</v>
      </c>
      <c r="F1357">
        <v>26.896000000000001</v>
      </c>
      <c r="G1357">
        <v>25.963000000000001</v>
      </c>
      <c r="H1357">
        <v>27.042000000000002</v>
      </c>
      <c r="I1357" s="136">
        <v>41037</v>
      </c>
      <c r="J1357">
        <v>41.5</v>
      </c>
      <c r="K1357">
        <v>40.950000000000003</v>
      </c>
      <c r="L1357">
        <v>41.84</v>
      </c>
    </row>
    <row r="1358" spans="1:12">
      <c r="A1358" s="136">
        <v>41038</v>
      </c>
      <c r="B1358">
        <v>2057</v>
      </c>
      <c r="C1358">
        <v>2025.5</v>
      </c>
      <c r="D1358">
        <v>2064</v>
      </c>
      <c r="E1358" s="136">
        <v>41038</v>
      </c>
      <c r="F1358">
        <v>26.167999999999999</v>
      </c>
      <c r="G1358">
        <v>25.355</v>
      </c>
      <c r="H1358">
        <v>26.443999999999999</v>
      </c>
      <c r="I1358" s="136">
        <v>41038</v>
      </c>
      <c r="J1358">
        <v>40.72</v>
      </c>
      <c r="K1358">
        <v>40.119999999999997</v>
      </c>
      <c r="L1358">
        <v>41.02</v>
      </c>
    </row>
    <row r="1359" spans="1:12">
      <c r="A1359" s="136">
        <v>41039</v>
      </c>
      <c r="B1359">
        <v>2056</v>
      </c>
      <c r="C1359">
        <v>2035</v>
      </c>
      <c r="D1359">
        <v>2059</v>
      </c>
      <c r="E1359" s="136">
        <v>41039</v>
      </c>
      <c r="F1359">
        <v>25.963000000000001</v>
      </c>
      <c r="G1359">
        <v>25.818999999999999</v>
      </c>
      <c r="H1359">
        <v>26.989000000000001</v>
      </c>
      <c r="I1359" s="136">
        <v>41039</v>
      </c>
      <c r="J1359">
        <v>41.23</v>
      </c>
      <c r="K1359">
        <v>40.54</v>
      </c>
      <c r="L1359">
        <v>41.4</v>
      </c>
    </row>
    <row r="1360" spans="1:12">
      <c r="A1360" s="136">
        <v>41040</v>
      </c>
      <c r="B1360">
        <v>2041</v>
      </c>
      <c r="C1360">
        <v>2031</v>
      </c>
      <c r="D1360">
        <v>2054</v>
      </c>
      <c r="E1360" s="136">
        <v>41040</v>
      </c>
      <c r="F1360">
        <v>26.219000000000001</v>
      </c>
      <c r="G1360">
        <v>25.614000000000001</v>
      </c>
      <c r="H1360">
        <v>26.635999999999999</v>
      </c>
      <c r="I1360" s="136">
        <v>41040</v>
      </c>
      <c r="J1360">
        <v>37.14</v>
      </c>
      <c r="K1360">
        <v>36.619999999999997</v>
      </c>
      <c r="L1360">
        <v>37.99</v>
      </c>
    </row>
    <row r="1361" spans="1:12">
      <c r="A1361" s="136">
        <v>41041</v>
      </c>
      <c r="B1361">
        <v>2041</v>
      </c>
      <c r="C1361">
        <v>2031</v>
      </c>
      <c r="D1361">
        <v>2054</v>
      </c>
      <c r="E1361" s="136">
        <v>41041</v>
      </c>
      <c r="F1361">
        <v>26.219000000000001</v>
      </c>
      <c r="G1361">
        <v>25.614000000000001</v>
      </c>
      <c r="H1361">
        <v>26.635999999999999</v>
      </c>
      <c r="I1361" s="136">
        <v>41041</v>
      </c>
      <c r="J1361">
        <v>37.14</v>
      </c>
      <c r="K1361">
        <v>36.619999999999997</v>
      </c>
      <c r="L1361">
        <v>37.99</v>
      </c>
    </row>
    <row r="1362" spans="1:12">
      <c r="A1362" s="136">
        <v>41042</v>
      </c>
      <c r="B1362">
        <v>2041</v>
      </c>
      <c r="C1362">
        <v>2031</v>
      </c>
      <c r="D1362">
        <v>2054</v>
      </c>
      <c r="E1362" s="136">
        <v>41042</v>
      </c>
      <c r="F1362">
        <v>26.219000000000001</v>
      </c>
      <c r="G1362">
        <v>25.614000000000001</v>
      </c>
      <c r="H1362">
        <v>26.635999999999999</v>
      </c>
      <c r="I1362" s="136">
        <v>41042</v>
      </c>
      <c r="J1362">
        <v>37.14</v>
      </c>
      <c r="K1362">
        <v>36.619999999999997</v>
      </c>
      <c r="L1362">
        <v>37.99</v>
      </c>
    </row>
    <row r="1363" spans="1:12">
      <c r="A1363" s="136">
        <v>41043</v>
      </c>
      <c r="B1363">
        <v>2049</v>
      </c>
      <c r="C1363">
        <v>2019</v>
      </c>
      <c r="D1363">
        <v>2057</v>
      </c>
      <c r="E1363" s="136">
        <v>41043</v>
      </c>
      <c r="F1363">
        <v>26.21</v>
      </c>
      <c r="G1363">
        <v>25.295000000000002</v>
      </c>
      <c r="H1363">
        <v>26.253</v>
      </c>
      <c r="I1363" s="136">
        <v>41043</v>
      </c>
      <c r="J1363">
        <v>36.1</v>
      </c>
      <c r="K1363">
        <v>35.76</v>
      </c>
      <c r="L1363">
        <v>36.47</v>
      </c>
    </row>
    <row r="1364" spans="1:12">
      <c r="A1364" s="136">
        <v>41044</v>
      </c>
      <c r="B1364">
        <v>2021</v>
      </c>
      <c r="C1364">
        <v>2017</v>
      </c>
      <c r="D1364">
        <v>2034.25</v>
      </c>
      <c r="E1364" s="136">
        <v>41044</v>
      </c>
      <c r="F1364">
        <v>25.507999999999999</v>
      </c>
      <c r="G1364">
        <v>24.742000000000001</v>
      </c>
      <c r="H1364">
        <v>25.826999999999998</v>
      </c>
      <c r="I1364" s="136">
        <v>41044</v>
      </c>
      <c r="J1364">
        <v>36.19</v>
      </c>
      <c r="K1364">
        <v>36.119999999999997</v>
      </c>
      <c r="L1364">
        <v>37.270000000000003</v>
      </c>
    </row>
    <row r="1365" spans="1:12">
      <c r="A1365" s="136">
        <v>41045</v>
      </c>
      <c r="B1365">
        <v>2023</v>
      </c>
      <c r="C1365">
        <v>2007.5</v>
      </c>
      <c r="D1365">
        <v>2040</v>
      </c>
      <c r="E1365" s="136">
        <v>41045</v>
      </c>
      <c r="F1365">
        <v>24.687000000000001</v>
      </c>
      <c r="G1365">
        <v>24.329000000000001</v>
      </c>
      <c r="H1365">
        <v>25.238</v>
      </c>
      <c r="I1365" s="136">
        <v>41045</v>
      </c>
      <c r="J1365">
        <v>36.79</v>
      </c>
      <c r="K1365">
        <v>35.46</v>
      </c>
      <c r="L1365">
        <v>36.979999999999997</v>
      </c>
    </row>
    <row r="1366" spans="1:12">
      <c r="A1366" s="136">
        <v>41046</v>
      </c>
      <c r="B1366">
        <v>2034.5</v>
      </c>
      <c r="C1366">
        <v>2025</v>
      </c>
      <c r="D1366">
        <v>2055</v>
      </c>
      <c r="E1366" s="136">
        <v>41046</v>
      </c>
      <c r="F1366">
        <v>24.725000000000001</v>
      </c>
      <c r="G1366">
        <v>23.61</v>
      </c>
      <c r="H1366">
        <v>24.890999999999998</v>
      </c>
      <c r="I1366" s="136">
        <v>41046</v>
      </c>
      <c r="J1366">
        <v>35.04</v>
      </c>
      <c r="K1366">
        <v>33.880000000000003</v>
      </c>
      <c r="L1366">
        <v>35.1</v>
      </c>
    </row>
    <row r="1367" spans="1:12">
      <c r="A1367" s="136">
        <v>41047</v>
      </c>
      <c r="B1367">
        <v>2055</v>
      </c>
      <c r="C1367">
        <v>2041.25</v>
      </c>
      <c r="D1367">
        <v>2072</v>
      </c>
      <c r="E1367" s="136">
        <v>41047</v>
      </c>
      <c r="F1367">
        <v>23.678000000000001</v>
      </c>
      <c r="G1367">
        <v>23.588000000000001</v>
      </c>
      <c r="H1367">
        <v>24.984000000000002</v>
      </c>
      <c r="I1367" s="136">
        <v>41047</v>
      </c>
      <c r="J1367">
        <v>33.99</v>
      </c>
      <c r="K1367">
        <v>32.97</v>
      </c>
      <c r="L1367">
        <v>33.99</v>
      </c>
    </row>
    <row r="1368" spans="1:12">
      <c r="A1368" s="136">
        <v>41048</v>
      </c>
      <c r="B1368">
        <v>2055</v>
      </c>
      <c r="C1368">
        <v>2041.25</v>
      </c>
      <c r="D1368">
        <v>2072</v>
      </c>
      <c r="E1368" s="136">
        <v>41048</v>
      </c>
      <c r="F1368">
        <v>23.678000000000001</v>
      </c>
      <c r="G1368">
        <v>23.588000000000001</v>
      </c>
      <c r="H1368">
        <v>24.984000000000002</v>
      </c>
      <c r="I1368" s="136">
        <v>41048</v>
      </c>
      <c r="J1368">
        <v>33.99</v>
      </c>
      <c r="K1368">
        <v>32.97</v>
      </c>
      <c r="L1368">
        <v>33.99</v>
      </c>
    </row>
    <row r="1369" spans="1:12">
      <c r="A1369" s="136">
        <v>41049</v>
      </c>
      <c r="B1369">
        <v>2055</v>
      </c>
      <c r="C1369">
        <v>2041.25</v>
      </c>
      <c r="D1369">
        <v>2072</v>
      </c>
      <c r="E1369" s="136">
        <v>41049</v>
      </c>
      <c r="F1369">
        <v>23.678000000000001</v>
      </c>
      <c r="G1369">
        <v>23.588000000000001</v>
      </c>
      <c r="H1369">
        <v>24.984000000000002</v>
      </c>
      <c r="I1369" s="136">
        <v>41049</v>
      </c>
      <c r="J1369">
        <v>33.99</v>
      </c>
      <c r="K1369">
        <v>32.97</v>
      </c>
      <c r="L1369">
        <v>33.99</v>
      </c>
    </row>
    <row r="1370" spans="1:12">
      <c r="A1370" s="136">
        <v>41050</v>
      </c>
      <c r="B1370">
        <v>2062</v>
      </c>
      <c r="C1370">
        <v>2036</v>
      </c>
      <c r="D1370">
        <v>2073.75</v>
      </c>
      <c r="E1370" s="136">
        <v>41050</v>
      </c>
      <c r="F1370">
        <v>24.170999999999999</v>
      </c>
      <c r="G1370">
        <v>24.170999999999999</v>
      </c>
      <c r="H1370">
        <v>24.733000000000001</v>
      </c>
      <c r="I1370" s="136">
        <v>41050</v>
      </c>
      <c r="J1370">
        <v>33.520000000000003</v>
      </c>
      <c r="K1370">
        <v>32.26</v>
      </c>
      <c r="L1370">
        <v>33.71</v>
      </c>
    </row>
    <row r="1371" spans="1:12">
      <c r="A1371" s="136">
        <v>41051</v>
      </c>
      <c r="B1371">
        <v>2051</v>
      </c>
      <c r="C1371">
        <v>2028</v>
      </c>
      <c r="D1371">
        <v>2054</v>
      </c>
      <c r="E1371" s="136">
        <v>41051</v>
      </c>
      <c r="F1371">
        <v>25.07</v>
      </c>
      <c r="G1371">
        <v>24.367000000000001</v>
      </c>
      <c r="H1371">
        <v>25.367999999999999</v>
      </c>
      <c r="I1371" s="136">
        <v>41051</v>
      </c>
      <c r="J1371">
        <v>33.32</v>
      </c>
      <c r="K1371">
        <v>32.99</v>
      </c>
      <c r="L1371">
        <v>34.58</v>
      </c>
    </row>
    <row r="1372" spans="1:12">
      <c r="A1372" s="136">
        <v>41052</v>
      </c>
      <c r="B1372">
        <v>2028.5</v>
      </c>
      <c r="C1372">
        <v>1999</v>
      </c>
      <c r="D1372">
        <v>2032</v>
      </c>
      <c r="E1372" s="136">
        <v>41052</v>
      </c>
      <c r="F1372">
        <v>24.64</v>
      </c>
      <c r="G1372">
        <v>24.38</v>
      </c>
      <c r="H1372">
        <v>24.975999999999999</v>
      </c>
      <c r="I1372" s="136">
        <v>41052</v>
      </c>
      <c r="J1372">
        <v>33.619999999999997</v>
      </c>
      <c r="K1372">
        <v>33.21</v>
      </c>
      <c r="L1372">
        <v>34.42</v>
      </c>
    </row>
    <row r="1373" spans="1:12">
      <c r="A1373" s="136">
        <v>41053</v>
      </c>
      <c r="B1373">
        <v>2011.5</v>
      </c>
      <c r="C1373">
        <v>2003.5</v>
      </c>
      <c r="D1373">
        <v>2021</v>
      </c>
      <c r="E1373" s="136">
        <v>41053</v>
      </c>
      <c r="F1373">
        <v>24.831</v>
      </c>
      <c r="G1373">
        <v>24.303000000000001</v>
      </c>
      <c r="H1373">
        <v>24.954999999999998</v>
      </c>
      <c r="I1373" s="136">
        <v>41053</v>
      </c>
      <c r="J1373">
        <v>34.44</v>
      </c>
      <c r="K1373">
        <v>33.619999999999997</v>
      </c>
      <c r="L1373">
        <v>34.479999999999997</v>
      </c>
    </row>
    <row r="1374" spans="1:12">
      <c r="A1374" s="136">
        <v>41054</v>
      </c>
      <c r="B1374">
        <v>2015</v>
      </c>
      <c r="C1374">
        <v>2004.25</v>
      </c>
      <c r="D1374">
        <v>2030.25</v>
      </c>
      <c r="E1374" s="136">
        <v>41054</v>
      </c>
      <c r="F1374">
        <v>24.728999999999999</v>
      </c>
      <c r="G1374">
        <v>24.533000000000001</v>
      </c>
      <c r="H1374">
        <v>25.308</v>
      </c>
      <c r="I1374" s="136">
        <v>41054</v>
      </c>
      <c r="J1374">
        <v>34</v>
      </c>
      <c r="K1374">
        <v>33.29</v>
      </c>
      <c r="L1374">
        <v>34.130000000000003</v>
      </c>
    </row>
    <row r="1375" spans="1:12">
      <c r="A1375" s="136">
        <v>41055</v>
      </c>
      <c r="B1375">
        <v>2015</v>
      </c>
      <c r="C1375">
        <v>2004.25</v>
      </c>
      <c r="D1375">
        <v>2030.25</v>
      </c>
      <c r="E1375" s="136">
        <v>41055</v>
      </c>
      <c r="F1375">
        <v>24.728999999999999</v>
      </c>
      <c r="G1375">
        <v>24.533000000000001</v>
      </c>
      <c r="H1375">
        <v>25.308</v>
      </c>
      <c r="I1375" s="136">
        <v>41055</v>
      </c>
      <c r="J1375">
        <v>34</v>
      </c>
      <c r="K1375">
        <v>33.29</v>
      </c>
      <c r="L1375">
        <v>34.130000000000003</v>
      </c>
    </row>
    <row r="1376" spans="1:12">
      <c r="A1376" s="136">
        <v>41056</v>
      </c>
      <c r="B1376">
        <v>2015</v>
      </c>
      <c r="C1376">
        <v>2004.25</v>
      </c>
      <c r="D1376">
        <v>2030.25</v>
      </c>
      <c r="E1376" s="136">
        <v>41056</v>
      </c>
      <c r="F1376">
        <v>24.728999999999999</v>
      </c>
      <c r="G1376">
        <v>24.533000000000001</v>
      </c>
      <c r="H1376">
        <v>25.308</v>
      </c>
      <c r="I1376" s="136">
        <v>41056</v>
      </c>
      <c r="J1376">
        <v>34</v>
      </c>
      <c r="K1376">
        <v>33.29</v>
      </c>
      <c r="L1376">
        <v>34.130000000000003</v>
      </c>
    </row>
    <row r="1377" spans="1:12">
      <c r="A1377" s="136">
        <v>41057</v>
      </c>
      <c r="B1377">
        <v>2019</v>
      </c>
      <c r="C1377">
        <v>2015</v>
      </c>
      <c r="D1377">
        <v>2028</v>
      </c>
      <c r="E1377" s="136">
        <v>41057</v>
      </c>
      <c r="F1377">
        <v>25.196999999999999</v>
      </c>
      <c r="G1377">
        <v>24.687000000000001</v>
      </c>
      <c r="H1377">
        <v>25.443999999999999</v>
      </c>
      <c r="I1377" s="136">
        <v>41057</v>
      </c>
      <c r="J1377">
        <v>34</v>
      </c>
      <c r="K1377">
        <v>33.29</v>
      </c>
      <c r="L1377">
        <v>34.130000000000003</v>
      </c>
    </row>
    <row r="1378" spans="1:12">
      <c r="A1378" s="136">
        <v>41058</v>
      </c>
      <c r="B1378">
        <v>2022</v>
      </c>
      <c r="C1378">
        <v>2013.5</v>
      </c>
      <c r="D1378">
        <v>2033.5</v>
      </c>
      <c r="E1378" s="136">
        <v>41058</v>
      </c>
      <c r="F1378">
        <v>24.831</v>
      </c>
      <c r="G1378">
        <v>24.465</v>
      </c>
      <c r="H1378">
        <v>25.146000000000001</v>
      </c>
      <c r="I1378" s="136">
        <v>41058</v>
      </c>
      <c r="J1378">
        <v>33.979999999999997</v>
      </c>
      <c r="K1378">
        <v>33.36</v>
      </c>
      <c r="L1378">
        <v>34</v>
      </c>
    </row>
    <row r="1379" spans="1:12">
      <c r="A1379" s="136">
        <v>41059</v>
      </c>
      <c r="B1379">
        <v>2016.75</v>
      </c>
      <c r="C1379">
        <v>1990</v>
      </c>
      <c r="D1379">
        <v>2021.75</v>
      </c>
      <c r="E1379" s="136">
        <v>41059</v>
      </c>
      <c r="F1379">
        <v>24.738</v>
      </c>
      <c r="G1379">
        <v>24.277999999999999</v>
      </c>
      <c r="H1379">
        <v>25.094999999999999</v>
      </c>
      <c r="I1379" s="136">
        <v>41059</v>
      </c>
      <c r="J1379">
        <v>33.299999999999997</v>
      </c>
      <c r="K1379">
        <v>32.950000000000003</v>
      </c>
      <c r="L1379">
        <v>33.44</v>
      </c>
    </row>
    <row r="1380" spans="1:12">
      <c r="A1380" s="136">
        <v>41060</v>
      </c>
      <c r="B1380">
        <v>2006</v>
      </c>
      <c r="C1380">
        <v>1993</v>
      </c>
      <c r="D1380">
        <v>2017.5</v>
      </c>
      <c r="E1380" s="136">
        <v>41060</v>
      </c>
      <c r="F1380">
        <v>24.559000000000001</v>
      </c>
      <c r="G1380">
        <v>24.376000000000001</v>
      </c>
      <c r="H1380">
        <v>24.942</v>
      </c>
      <c r="I1380" s="136">
        <v>41060</v>
      </c>
      <c r="J1380">
        <v>32.96</v>
      </c>
      <c r="K1380">
        <v>32.909999999999997</v>
      </c>
      <c r="L1380">
        <v>33.47</v>
      </c>
    </row>
    <row r="1381" spans="1:12">
      <c r="A1381" s="136">
        <v>41061</v>
      </c>
      <c r="B1381">
        <v>1997</v>
      </c>
      <c r="C1381">
        <v>1972</v>
      </c>
      <c r="D1381">
        <v>2003</v>
      </c>
      <c r="E1381" s="136">
        <v>41061</v>
      </c>
      <c r="F1381">
        <v>24.274000000000001</v>
      </c>
      <c r="G1381">
        <v>22.984000000000002</v>
      </c>
      <c r="H1381">
        <v>24.274000000000001</v>
      </c>
      <c r="I1381" s="136">
        <v>41061</v>
      </c>
      <c r="J1381">
        <v>32.409999999999997</v>
      </c>
      <c r="K1381">
        <v>31.77</v>
      </c>
      <c r="L1381">
        <v>32.65</v>
      </c>
    </row>
    <row r="1382" spans="1:12">
      <c r="A1382" s="136">
        <v>41062</v>
      </c>
      <c r="B1382">
        <v>1997</v>
      </c>
      <c r="C1382">
        <v>1972</v>
      </c>
      <c r="D1382">
        <v>2003</v>
      </c>
      <c r="E1382" s="136">
        <v>41062</v>
      </c>
      <c r="F1382">
        <v>24.274000000000001</v>
      </c>
      <c r="G1382">
        <v>22.984000000000002</v>
      </c>
      <c r="H1382">
        <v>24.274000000000001</v>
      </c>
      <c r="I1382" s="136">
        <v>41062</v>
      </c>
      <c r="J1382">
        <v>32.409999999999997</v>
      </c>
      <c r="K1382">
        <v>31.77</v>
      </c>
      <c r="L1382">
        <v>32.65</v>
      </c>
    </row>
    <row r="1383" spans="1:12">
      <c r="A1383" s="136">
        <v>41063</v>
      </c>
      <c r="B1383">
        <v>1997</v>
      </c>
      <c r="C1383">
        <v>1972</v>
      </c>
      <c r="D1383">
        <v>2003</v>
      </c>
      <c r="E1383" s="136">
        <v>41063</v>
      </c>
      <c r="F1383">
        <v>24.274000000000001</v>
      </c>
      <c r="G1383">
        <v>22.984000000000002</v>
      </c>
      <c r="H1383">
        <v>24.274000000000001</v>
      </c>
      <c r="I1383" s="136">
        <v>41063</v>
      </c>
      <c r="J1383">
        <v>32.409999999999997</v>
      </c>
      <c r="K1383">
        <v>31.77</v>
      </c>
      <c r="L1383">
        <v>32.65</v>
      </c>
    </row>
    <row r="1384" spans="1:12">
      <c r="A1384" s="136">
        <v>41064</v>
      </c>
      <c r="B1384">
        <v>1997</v>
      </c>
      <c r="C1384">
        <v>1972</v>
      </c>
      <c r="D1384">
        <v>2003</v>
      </c>
      <c r="E1384" s="136">
        <v>41064</v>
      </c>
      <c r="F1384">
        <v>22.805</v>
      </c>
      <c r="G1384">
        <v>22.571000000000002</v>
      </c>
      <c r="H1384">
        <v>23.959</v>
      </c>
      <c r="I1384" s="136">
        <v>41064</v>
      </c>
      <c r="J1384">
        <v>32.159999999999997</v>
      </c>
      <c r="K1384">
        <v>30.83</v>
      </c>
      <c r="L1384">
        <v>32.17</v>
      </c>
    </row>
    <row r="1385" spans="1:12">
      <c r="A1385" s="136">
        <v>41065</v>
      </c>
      <c r="B1385">
        <v>1997</v>
      </c>
      <c r="C1385">
        <v>1972</v>
      </c>
      <c r="D1385">
        <v>2003</v>
      </c>
      <c r="E1385" s="136">
        <v>41065</v>
      </c>
      <c r="F1385">
        <v>23.588000000000001</v>
      </c>
      <c r="G1385">
        <v>22.878</v>
      </c>
      <c r="H1385">
        <v>23.626999999999999</v>
      </c>
      <c r="I1385" s="136">
        <v>41065</v>
      </c>
      <c r="J1385">
        <v>30.89</v>
      </c>
      <c r="K1385">
        <v>30.86</v>
      </c>
      <c r="L1385">
        <v>32.130000000000003</v>
      </c>
    </row>
    <row r="1386" spans="1:12">
      <c r="A1386" s="136">
        <v>41066</v>
      </c>
      <c r="B1386">
        <v>1975</v>
      </c>
      <c r="C1386">
        <v>1965</v>
      </c>
      <c r="D1386">
        <v>1994</v>
      </c>
      <c r="E1386" s="136">
        <v>41066</v>
      </c>
      <c r="F1386">
        <v>23.664999999999999</v>
      </c>
      <c r="G1386">
        <v>23.239000000000001</v>
      </c>
      <c r="H1386">
        <v>24.303000000000001</v>
      </c>
      <c r="I1386" s="136">
        <v>41066</v>
      </c>
      <c r="J1386">
        <v>32.71</v>
      </c>
      <c r="K1386">
        <v>32.270000000000003</v>
      </c>
      <c r="L1386">
        <v>33.31</v>
      </c>
    </row>
    <row r="1387" spans="1:12">
      <c r="A1387" s="136">
        <v>41067</v>
      </c>
      <c r="B1387">
        <v>1982</v>
      </c>
      <c r="C1387">
        <v>1972</v>
      </c>
      <c r="D1387">
        <v>2001</v>
      </c>
      <c r="E1387" s="136">
        <v>41067</v>
      </c>
      <c r="F1387">
        <v>24.721</v>
      </c>
      <c r="G1387">
        <v>24.061</v>
      </c>
      <c r="H1387">
        <v>25.044</v>
      </c>
      <c r="I1387" s="136">
        <v>41067</v>
      </c>
      <c r="J1387">
        <v>33.770000000000003</v>
      </c>
      <c r="K1387">
        <v>32.799999999999997</v>
      </c>
      <c r="L1387">
        <v>33.83</v>
      </c>
    </row>
    <row r="1388" spans="1:12">
      <c r="A1388" s="136">
        <v>41068</v>
      </c>
      <c r="B1388">
        <v>1988</v>
      </c>
      <c r="C1388">
        <v>1968</v>
      </c>
      <c r="D1388">
        <v>1988.25</v>
      </c>
      <c r="E1388" s="136">
        <v>41068</v>
      </c>
      <c r="F1388">
        <v>24.18</v>
      </c>
      <c r="G1388">
        <v>23.754000000000001</v>
      </c>
      <c r="H1388">
        <v>24.465</v>
      </c>
      <c r="I1388" s="136">
        <v>41068</v>
      </c>
      <c r="J1388">
        <v>32.770000000000003</v>
      </c>
      <c r="K1388">
        <v>32.549999999999997</v>
      </c>
      <c r="L1388">
        <v>33.68</v>
      </c>
    </row>
    <row r="1389" spans="1:12">
      <c r="A1389" s="136">
        <v>41069</v>
      </c>
      <c r="B1389">
        <v>1988</v>
      </c>
      <c r="C1389">
        <v>1968</v>
      </c>
      <c r="D1389">
        <v>1988.25</v>
      </c>
      <c r="E1389" s="136">
        <v>41069</v>
      </c>
      <c r="F1389">
        <v>24.18</v>
      </c>
      <c r="G1389">
        <v>23.754000000000001</v>
      </c>
      <c r="H1389">
        <v>24.465</v>
      </c>
      <c r="I1389" s="136">
        <v>41069</v>
      </c>
      <c r="J1389">
        <v>32.770000000000003</v>
      </c>
      <c r="K1389">
        <v>32.549999999999997</v>
      </c>
      <c r="L1389">
        <v>33.68</v>
      </c>
    </row>
    <row r="1390" spans="1:12">
      <c r="A1390" s="136">
        <v>41070</v>
      </c>
      <c r="B1390">
        <v>1988</v>
      </c>
      <c r="C1390">
        <v>1968</v>
      </c>
      <c r="D1390">
        <v>1988.25</v>
      </c>
      <c r="E1390" s="136">
        <v>41070</v>
      </c>
      <c r="F1390">
        <v>24.18</v>
      </c>
      <c r="G1390">
        <v>23.754000000000001</v>
      </c>
      <c r="H1390">
        <v>24.465</v>
      </c>
      <c r="I1390" s="136">
        <v>41070</v>
      </c>
      <c r="J1390">
        <v>32.770000000000003</v>
      </c>
      <c r="K1390">
        <v>32.549999999999997</v>
      </c>
      <c r="L1390">
        <v>33.68</v>
      </c>
    </row>
    <row r="1391" spans="1:12">
      <c r="A1391" s="136">
        <v>41071</v>
      </c>
      <c r="B1391">
        <v>1991</v>
      </c>
      <c r="C1391">
        <v>1972</v>
      </c>
      <c r="D1391">
        <v>2002</v>
      </c>
      <c r="E1391" s="136">
        <v>41071</v>
      </c>
      <c r="F1391">
        <v>25.359000000000002</v>
      </c>
      <c r="G1391">
        <v>24.094999999999999</v>
      </c>
      <c r="H1391">
        <v>25.495000000000001</v>
      </c>
      <c r="I1391" s="136">
        <v>41071</v>
      </c>
      <c r="J1391">
        <v>34.369999999999997</v>
      </c>
      <c r="K1391">
        <v>32.78</v>
      </c>
      <c r="L1391">
        <v>34.44</v>
      </c>
    </row>
    <row r="1392" spans="1:12">
      <c r="A1392" s="136">
        <v>41072</v>
      </c>
      <c r="B1392">
        <v>1974</v>
      </c>
      <c r="C1392">
        <v>1960</v>
      </c>
      <c r="D1392">
        <v>1979</v>
      </c>
      <c r="E1392" s="136">
        <v>41072</v>
      </c>
      <c r="F1392">
        <v>23.975999999999999</v>
      </c>
      <c r="G1392">
        <v>23.536999999999999</v>
      </c>
      <c r="H1392">
        <v>24.376000000000001</v>
      </c>
      <c r="I1392" s="136">
        <v>41072</v>
      </c>
      <c r="J1392">
        <v>32.880000000000003</v>
      </c>
      <c r="K1392">
        <v>32.51</v>
      </c>
      <c r="L1392">
        <v>33.78</v>
      </c>
    </row>
    <row r="1393" spans="1:12">
      <c r="A1393" s="136">
        <v>41073</v>
      </c>
      <c r="B1393">
        <v>1975</v>
      </c>
      <c r="C1393">
        <v>1958</v>
      </c>
      <c r="D1393">
        <v>1977</v>
      </c>
      <c r="E1393" s="136">
        <v>41073</v>
      </c>
      <c r="F1393">
        <v>24.006</v>
      </c>
      <c r="G1393">
        <v>23.605</v>
      </c>
      <c r="H1393">
        <v>24.295000000000002</v>
      </c>
      <c r="I1393" s="136">
        <v>41073</v>
      </c>
      <c r="J1393">
        <v>33.69</v>
      </c>
      <c r="K1393">
        <v>33.630000000000003</v>
      </c>
      <c r="L1393">
        <v>35.07</v>
      </c>
    </row>
    <row r="1394" spans="1:12">
      <c r="A1394" s="136">
        <v>41074</v>
      </c>
      <c r="B1394">
        <v>1960</v>
      </c>
      <c r="C1394">
        <v>1953.5</v>
      </c>
      <c r="D1394">
        <v>1976</v>
      </c>
      <c r="E1394" s="136">
        <v>41074</v>
      </c>
      <c r="F1394">
        <v>23.792999999999999</v>
      </c>
      <c r="G1394">
        <v>23.218</v>
      </c>
      <c r="H1394">
        <v>24.085999999999999</v>
      </c>
      <c r="I1394" s="136">
        <v>41074</v>
      </c>
      <c r="J1394">
        <v>34.409999999999997</v>
      </c>
      <c r="K1394">
        <v>34.07</v>
      </c>
      <c r="L1394">
        <v>34.89</v>
      </c>
    </row>
    <row r="1395" spans="1:12">
      <c r="A1395" s="136">
        <v>41075</v>
      </c>
      <c r="B1395">
        <v>1955</v>
      </c>
      <c r="C1395">
        <v>1925.25</v>
      </c>
      <c r="D1395">
        <v>1965</v>
      </c>
      <c r="E1395" s="136">
        <v>41075</v>
      </c>
      <c r="F1395">
        <v>23.742000000000001</v>
      </c>
      <c r="G1395">
        <v>23.669</v>
      </c>
      <c r="H1395">
        <v>24.515999999999998</v>
      </c>
      <c r="I1395" s="136">
        <v>41075</v>
      </c>
      <c r="J1395">
        <v>34.89</v>
      </c>
      <c r="K1395">
        <v>34.409999999999997</v>
      </c>
      <c r="L1395">
        <v>35.07</v>
      </c>
    </row>
    <row r="1396" spans="1:12">
      <c r="A1396" s="136">
        <v>41076</v>
      </c>
      <c r="B1396">
        <v>1955</v>
      </c>
      <c r="C1396">
        <v>1925.25</v>
      </c>
      <c r="D1396">
        <v>1965</v>
      </c>
      <c r="E1396" s="136">
        <v>41076</v>
      </c>
      <c r="F1396">
        <v>23.742000000000001</v>
      </c>
      <c r="G1396">
        <v>23.669</v>
      </c>
      <c r="H1396">
        <v>24.515999999999998</v>
      </c>
      <c r="I1396" s="136">
        <v>41076</v>
      </c>
      <c r="J1396">
        <v>34.89</v>
      </c>
      <c r="K1396">
        <v>34.409999999999997</v>
      </c>
      <c r="L1396">
        <v>35.07</v>
      </c>
    </row>
    <row r="1397" spans="1:12">
      <c r="A1397" s="136">
        <v>41077</v>
      </c>
      <c r="B1397">
        <v>1955</v>
      </c>
      <c r="C1397">
        <v>1925.25</v>
      </c>
      <c r="D1397">
        <v>1965</v>
      </c>
      <c r="E1397" s="136">
        <v>41077</v>
      </c>
      <c r="F1397">
        <v>23.742000000000001</v>
      </c>
      <c r="G1397">
        <v>23.669</v>
      </c>
      <c r="H1397">
        <v>24.515999999999998</v>
      </c>
      <c r="I1397" s="136">
        <v>41077</v>
      </c>
      <c r="J1397">
        <v>34.89</v>
      </c>
      <c r="K1397">
        <v>34.409999999999997</v>
      </c>
      <c r="L1397">
        <v>35.07</v>
      </c>
    </row>
    <row r="1398" spans="1:12">
      <c r="A1398" s="136">
        <v>41078</v>
      </c>
      <c r="B1398">
        <v>1942</v>
      </c>
      <c r="C1398">
        <v>1915.25</v>
      </c>
      <c r="D1398">
        <v>1953</v>
      </c>
      <c r="E1398" s="136">
        <v>41078</v>
      </c>
      <c r="F1398">
        <v>24.984000000000002</v>
      </c>
      <c r="G1398">
        <v>23.805</v>
      </c>
      <c r="H1398">
        <v>25.196999999999999</v>
      </c>
      <c r="I1398" s="136">
        <v>41078</v>
      </c>
      <c r="J1398">
        <v>34.71</v>
      </c>
      <c r="K1398">
        <v>34.5</v>
      </c>
      <c r="L1398">
        <v>35.299999999999997</v>
      </c>
    </row>
    <row r="1399" spans="1:12">
      <c r="A1399" s="136">
        <v>41079</v>
      </c>
      <c r="B1399">
        <v>1932</v>
      </c>
      <c r="C1399">
        <v>1915.75</v>
      </c>
      <c r="D1399">
        <v>1932.75</v>
      </c>
      <c r="E1399" s="136">
        <v>41079</v>
      </c>
      <c r="F1399">
        <v>23.928999999999998</v>
      </c>
      <c r="G1399">
        <v>23.396999999999998</v>
      </c>
      <c r="H1399">
        <v>24.521000000000001</v>
      </c>
      <c r="I1399" s="136">
        <v>41079</v>
      </c>
      <c r="J1399">
        <v>34.99</v>
      </c>
      <c r="K1399">
        <v>34.729999999999997</v>
      </c>
      <c r="L1399">
        <v>35.630000000000003</v>
      </c>
    </row>
    <row r="1400" spans="1:12">
      <c r="A1400" s="136">
        <v>41080</v>
      </c>
      <c r="B1400">
        <v>1929</v>
      </c>
      <c r="C1400">
        <v>1897.5</v>
      </c>
      <c r="D1400">
        <v>1930</v>
      </c>
      <c r="E1400" s="136">
        <v>41080</v>
      </c>
      <c r="F1400">
        <v>24.478000000000002</v>
      </c>
      <c r="G1400">
        <v>24.068999999999999</v>
      </c>
      <c r="H1400">
        <v>24.895</v>
      </c>
      <c r="I1400" s="136">
        <v>41080</v>
      </c>
      <c r="J1400">
        <v>36.03</v>
      </c>
      <c r="K1400">
        <v>35.83</v>
      </c>
      <c r="L1400">
        <v>36.94</v>
      </c>
    </row>
    <row r="1401" spans="1:12">
      <c r="A1401" s="136">
        <v>41081</v>
      </c>
      <c r="B1401">
        <v>1898</v>
      </c>
      <c r="C1401">
        <v>1862.25</v>
      </c>
      <c r="D1401">
        <v>1908.75</v>
      </c>
      <c r="E1401" s="136">
        <v>41081</v>
      </c>
      <c r="F1401">
        <v>24.567</v>
      </c>
      <c r="G1401">
        <v>24.257000000000001</v>
      </c>
      <c r="H1401">
        <v>25.141999999999999</v>
      </c>
      <c r="I1401" s="136">
        <v>41081</v>
      </c>
      <c r="J1401">
        <v>36.49</v>
      </c>
      <c r="K1401">
        <v>35.43</v>
      </c>
      <c r="L1401">
        <v>37.03</v>
      </c>
    </row>
    <row r="1402" spans="1:12">
      <c r="A1402" s="136">
        <v>41082</v>
      </c>
      <c r="B1402">
        <v>1863.5</v>
      </c>
      <c r="C1402">
        <v>1854</v>
      </c>
      <c r="D1402">
        <v>1880.75</v>
      </c>
      <c r="E1402" s="136">
        <v>41082</v>
      </c>
      <c r="F1402">
        <v>24.234999999999999</v>
      </c>
      <c r="G1402">
        <v>24.006</v>
      </c>
      <c r="H1402">
        <v>24.84</v>
      </c>
      <c r="I1402" s="136">
        <v>41082</v>
      </c>
      <c r="J1402">
        <v>36.020000000000003</v>
      </c>
      <c r="K1402">
        <v>35.96</v>
      </c>
      <c r="L1402">
        <v>36.49</v>
      </c>
    </row>
    <row r="1403" spans="1:12">
      <c r="A1403" s="136">
        <v>41083</v>
      </c>
      <c r="B1403">
        <v>1863.5</v>
      </c>
      <c r="C1403">
        <v>1854</v>
      </c>
      <c r="D1403">
        <v>1880.75</v>
      </c>
      <c r="E1403" s="136">
        <v>41083</v>
      </c>
      <c r="F1403">
        <v>24.234999999999999</v>
      </c>
      <c r="G1403">
        <v>24.006</v>
      </c>
      <c r="H1403">
        <v>24.84</v>
      </c>
      <c r="I1403" s="136">
        <v>41083</v>
      </c>
      <c r="J1403">
        <v>36.020000000000003</v>
      </c>
      <c r="K1403">
        <v>35.96</v>
      </c>
      <c r="L1403">
        <v>36.49</v>
      </c>
    </row>
    <row r="1404" spans="1:12">
      <c r="A1404" s="136">
        <v>41084</v>
      </c>
      <c r="B1404">
        <v>1863.5</v>
      </c>
      <c r="C1404">
        <v>1854</v>
      </c>
      <c r="D1404">
        <v>1880.75</v>
      </c>
      <c r="E1404" s="136">
        <v>41084</v>
      </c>
      <c r="F1404">
        <v>24.234999999999999</v>
      </c>
      <c r="G1404">
        <v>24.006</v>
      </c>
      <c r="H1404">
        <v>24.84</v>
      </c>
      <c r="I1404" s="136">
        <v>41084</v>
      </c>
      <c r="J1404">
        <v>36.020000000000003</v>
      </c>
      <c r="K1404">
        <v>35.96</v>
      </c>
      <c r="L1404">
        <v>36.49</v>
      </c>
    </row>
    <row r="1405" spans="1:12">
      <c r="A1405" s="136">
        <v>41085</v>
      </c>
      <c r="B1405">
        <v>1871</v>
      </c>
      <c r="C1405">
        <v>1852</v>
      </c>
      <c r="D1405">
        <v>1880</v>
      </c>
      <c r="E1405" s="136">
        <v>41085</v>
      </c>
      <c r="F1405">
        <v>24.18</v>
      </c>
      <c r="G1405">
        <v>23.12</v>
      </c>
      <c r="H1405">
        <v>24.32</v>
      </c>
      <c r="I1405" s="136">
        <v>41085</v>
      </c>
      <c r="J1405">
        <v>35.26</v>
      </c>
      <c r="K1405">
        <v>34.64</v>
      </c>
      <c r="L1405">
        <v>35.47</v>
      </c>
    </row>
    <row r="1406" spans="1:12">
      <c r="A1406" s="136">
        <v>41086</v>
      </c>
      <c r="B1406">
        <v>1870</v>
      </c>
      <c r="C1406">
        <v>1839</v>
      </c>
      <c r="D1406">
        <v>1870</v>
      </c>
      <c r="E1406" s="136">
        <v>41086</v>
      </c>
      <c r="F1406">
        <v>23.346</v>
      </c>
      <c r="G1406">
        <v>23.137</v>
      </c>
      <c r="H1406">
        <v>23.725000000000001</v>
      </c>
      <c r="I1406" s="136">
        <v>41086</v>
      </c>
      <c r="J1406">
        <v>36.06</v>
      </c>
      <c r="K1406">
        <v>35.58</v>
      </c>
      <c r="L1406">
        <v>36.119999999999997</v>
      </c>
    </row>
    <row r="1407" spans="1:12">
      <c r="A1407" s="136">
        <v>41087</v>
      </c>
      <c r="B1407">
        <v>1845.5</v>
      </c>
      <c r="C1407">
        <v>1832.25</v>
      </c>
      <c r="D1407">
        <v>1879</v>
      </c>
      <c r="E1407" s="136">
        <v>41087</v>
      </c>
      <c r="F1407">
        <v>23.547000000000001</v>
      </c>
      <c r="G1407">
        <v>23.405000000000001</v>
      </c>
      <c r="H1407">
        <v>24.222999999999999</v>
      </c>
      <c r="I1407" s="136">
        <v>41087</v>
      </c>
      <c r="J1407">
        <v>35.64</v>
      </c>
      <c r="K1407">
        <v>35.5</v>
      </c>
      <c r="L1407">
        <v>36.82</v>
      </c>
    </row>
    <row r="1408" spans="1:12">
      <c r="A1408" s="136">
        <v>41088</v>
      </c>
      <c r="B1408">
        <v>1876</v>
      </c>
      <c r="C1408">
        <v>1837.25</v>
      </c>
      <c r="D1408">
        <v>1889</v>
      </c>
      <c r="E1408" s="136">
        <v>41088</v>
      </c>
      <c r="F1408">
        <v>24.099</v>
      </c>
      <c r="G1408">
        <v>22.655999999999999</v>
      </c>
      <c r="H1408">
        <v>24.099</v>
      </c>
      <c r="I1408" s="136">
        <v>41088</v>
      </c>
      <c r="J1408">
        <v>35.32</v>
      </c>
      <c r="K1408">
        <v>34.85</v>
      </c>
      <c r="L1408">
        <v>35.93</v>
      </c>
    </row>
    <row r="1409" spans="1:12">
      <c r="A1409" s="136">
        <v>41089</v>
      </c>
      <c r="B1409">
        <v>1847</v>
      </c>
      <c r="C1409">
        <v>1847</v>
      </c>
      <c r="D1409">
        <v>1920</v>
      </c>
      <c r="E1409" s="136">
        <v>41089</v>
      </c>
      <c r="F1409">
        <v>23.664999999999999</v>
      </c>
      <c r="G1409">
        <v>23.503</v>
      </c>
      <c r="H1409">
        <v>24.465</v>
      </c>
      <c r="I1409" s="136">
        <v>41089</v>
      </c>
      <c r="J1409">
        <v>36.700000000000003</v>
      </c>
      <c r="K1409">
        <v>35.25</v>
      </c>
      <c r="L1409">
        <v>36.799999999999997</v>
      </c>
    </row>
    <row r="1410" spans="1:12">
      <c r="A1410" s="136">
        <v>41090</v>
      </c>
      <c r="B1410">
        <v>1847</v>
      </c>
      <c r="C1410">
        <v>1847</v>
      </c>
      <c r="D1410">
        <v>1920</v>
      </c>
      <c r="E1410" s="136">
        <v>41090</v>
      </c>
      <c r="F1410">
        <v>23.664999999999999</v>
      </c>
      <c r="G1410">
        <v>23.503</v>
      </c>
      <c r="H1410">
        <v>24.465</v>
      </c>
      <c r="I1410" s="136">
        <v>41090</v>
      </c>
      <c r="J1410">
        <v>36.700000000000003</v>
      </c>
      <c r="K1410">
        <v>35.25</v>
      </c>
      <c r="L1410">
        <v>36.799999999999997</v>
      </c>
    </row>
    <row r="1411" spans="1:12">
      <c r="A1411" s="136">
        <v>41091</v>
      </c>
      <c r="B1411">
        <v>1847</v>
      </c>
      <c r="C1411">
        <v>1847</v>
      </c>
      <c r="D1411">
        <v>1920</v>
      </c>
      <c r="E1411" s="136">
        <v>41091</v>
      </c>
      <c r="F1411">
        <v>23.664999999999999</v>
      </c>
      <c r="G1411">
        <v>23.503</v>
      </c>
      <c r="H1411">
        <v>24.465</v>
      </c>
      <c r="I1411" s="136">
        <v>41091</v>
      </c>
      <c r="J1411">
        <v>36.700000000000003</v>
      </c>
      <c r="K1411">
        <v>35.25</v>
      </c>
      <c r="L1411">
        <v>36.799999999999997</v>
      </c>
    </row>
    <row r="1412" spans="1:12">
      <c r="A1412" s="136">
        <v>41092</v>
      </c>
      <c r="B1412">
        <v>1911.75</v>
      </c>
      <c r="C1412">
        <v>1893</v>
      </c>
      <c r="D1412">
        <v>1915.25</v>
      </c>
      <c r="E1412" s="136">
        <v>41092</v>
      </c>
      <c r="F1412">
        <v>24.286000000000001</v>
      </c>
      <c r="G1412">
        <v>24.04</v>
      </c>
      <c r="H1412">
        <v>24.890999999999998</v>
      </c>
      <c r="I1412" s="136">
        <v>41092</v>
      </c>
      <c r="J1412">
        <v>36.270000000000003</v>
      </c>
      <c r="K1412">
        <v>35.590000000000003</v>
      </c>
      <c r="L1412">
        <v>36.36</v>
      </c>
    </row>
    <row r="1413" spans="1:12">
      <c r="A1413" s="136">
        <v>41093</v>
      </c>
      <c r="B1413">
        <v>1906</v>
      </c>
      <c r="C1413">
        <v>1905</v>
      </c>
      <c r="D1413">
        <v>1993</v>
      </c>
      <c r="E1413" s="136">
        <v>41093</v>
      </c>
      <c r="F1413">
        <v>24.800999999999998</v>
      </c>
      <c r="G1413">
        <v>24.571999999999999</v>
      </c>
      <c r="H1413">
        <v>25.241</v>
      </c>
      <c r="I1413" s="136">
        <v>41093</v>
      </c>
      <c r="J1413">
        <v>35.96</v>
      </c>
      <c r="K1413">
        <v>35.534999999999997</v>
      </c>
      <c r="L1413">
        <v>36.14</v>
      </c>
    </row>
    <row r="1414" spans="1:12">
      <c r="A1414" s="136">
        <v>41094</v>
      </c>
      <c r="B1414">
        <v>1970</v>
      </c>
      <c r="C1414">
        <v>1953.25</v>
      </c>
      <c r="D1414">
        <v>1982.15</v>
      </c>
      <c r="E1414" s="136">
        <v>41094</v>
      </c>
      <c r="F1414">
        <v>25.163</v>
      </c>
      <c r="G1414">
        <v>24.507999999999999</v>
      </c>
      <c r="H1414">
        <v>25.274000000000001</v>
      </c>
      <c r="I1414" s="136">
        <v>41094</v>
      </c>
      <c r="J1414">
        <v>35.96</v>
      </c>
      <c r="K1414">
        <v>35.534999999999997</v>
      </c>
      <c r="L1414">
        <v>36.14</v>
      </c>
    </row>
    <row r="1415" spans="1:12">
      <c r="A1415" s="136">
        <v>41095</v>
      </c>
      <c r="B1415">
        <v>1956.75</v>
      </c>
      <c r="C1415">
        <v>1929</v>
      </c>
      <c r="D1415">
        <v>1961</v>
      </c>
      <c r="E1415" s="136">
        <v>41095</v>
      </c>
      <c r="F1415">
        <v>24.856999999999999</v>
      </c>
      <c r="G1415">
        <v>24.201000000000001</v>
      </c>
      <c r="H1415">
        <v>25.41</v>
      </c>
      <c r="I1415" s="136">
        <v>41095</v>
      </c>
      <c r="J1415">
        <v>35.61</v>
      </c>
      <c r="K1415">
        <v>34.22</v>
      </c>
      <c r="L1415">
        <v>35.659999999999997</v>
      </c>
    </row>
    <row r="1416" spans="1:12">
      <c r="A1416" s="136">
        <v>41096</v>
      </c>
      <c r="B1416">
        <v>1945.5</v>
      </c>
      <c r="C1416">
        <v>1894</v>
      </c>
      <c r="D1416">
        <v>1945.5</v>
      </c>
      <c r="E1416" s="136">
        <v>41096</v>
      </c>
      <c r="F1416">
        <v>24.384</v>
      </c>
      <c r="G1416">
        <v>23.201000000000001</v>
      </c>
      <c r="H1416">
        <v>24.58</v>
      </c>
      <c r="I1416" s="136">
        <v>41096</v>
      </c>
      <c r="J1416">
        <v>33.92</v>
      </c>
      <c r="K1416">
        <v>33.729999999999997</v>
      </c>
      <c r="L1416">
        <v>34.119999999999997</v>
      </c>
    </row>
    <row r="1417" spans="1:12">
      <c r="A1417" s="136">
        <v>41097</v>
      </c>
      <c r="B1417">
        <v>1945.5</v>
      </c>
      <c r="C1417">
        <v>1894</v>
      </c>
      <c r="D1417">
        <v>1945.5</v>
      </c>
      <c r="E1417" s="136">
        <v>41097</v>
      </c>
      <c r="F1417">
        <v>24.384</v>
      </c>
      <c r="G1417">
        <v>23.201000000000001</v>
      </c>
      <c r="H1417">
        <v>24.58</v>
      </c>
      <c r="I1417" s="136">
        <v>41097</v>
      </c>
      <c r="J1417">
        <v>33.92</v>
      </c>
      <c r="K1417">
        <v>33.729999999999997</v>
      </c>
      <c r="L1417">
        <v>34.119999999999997</v>
      </c>
    </row>
    <row r="1418" spans="1:12">
      <c r="A1418" s="136">
        <v>41098</v>
      </c>
      <c r="B1418">
        <v>1945.5</v>
      </c>
      <c r="C1418">
        <v>1894</v>
      </c>
      <c r="D1418">
        <v>1945.5</v>
      </c>
      <c r="E1418" s="136">
        <v>41098</v>
      </c>
      <c r="F1418">
        <v>24.384</v>
      </c>
      <c r="G1418">
        <v>23.201000000000001</v>
      </c>
      <c r="H1418">
        <v>24.58</v>
      </c>
      <c r="I1418" s="136">
        <v>41098</v>
      </c>
      <c r="J1418">
        <v>33.92</v>
      </c>
      <c r="K1418">
        <v>33.729999999999997</v>
      </c>
      <c r="L1418">
        <v>34.119999999999997</v>
      </c>
    </row>
    <row r="1419" spans="1:12">
      <c r="A1419" s="136">
        <v>41099</v>
      </c>
      <c r="B1419">
        <v>1902</v>
      </c>
      <c r="C1419">
        <v>1891</v>
      </c>
      <c r="D1419">
        <v>1933.5</v>
      </c>
      <c r="E1419" s="136">
        <v>41099</v>
      </c>
      <c r="F1419">
        <v>23.277999999999999</v>
      </c>
      <c r="G1419">
        <v>22.940999999999999</v>
      </c>
      <c r="H1419">
        <v>23.469000000000001</v>
      </c>
      <c r="I1419" s="136">
        <v>41099</v>
      </c>
      <c r="J1419">
        <v>33.81</v>
      </c>
      <c r="K1419">
        <v>33.54</v>
      </c>
      <c r="L1419">
        <v>34.119999999999997</v>
      </c>
    </row>
    <row r="1420" spans="1:12">
      <c r="A1420" s="136">
        <v>41100</v>
      </c>
      <c r="B1420">
        <v>1922.5</v>
      </c>
      <c r="C1420">
        <v>1907</v>
      </c>
      <c r="D1420">
        <v>1930.5</v>
      </c>
      <c r="E1420" s="136">
        <v>41100</v>
      </c>
      <c r="F1420">
        <v>23.15</v>
      </c>
      <c r="G1420">
        <v>22.661000000000001</v>
      </c>
      <c r="H1420">
        <v>23.597000000000001</v>
      </c>
      <c r="I1420" s="136">
        <v>41100</v>
      </c>
      <c r="J1420">
        <v>34.22</v>
      </c>
      <c r="K1420">
        <v>33.81</v>
      </c>
      <c r="L1420">
        <v>34.450000000000003</v>
      </c>
    </row>
    <row r="1421" spans="1:12">
      <c r="A1421" s="136">
        <v>41101</v>
      </c>
      <c r="B1421">
        <v>1910</v>
      </c>
      <c r="C1421">
        <v>1895</v>
      </c>
      <c r="D1421">
        <v>1915.75</v>
      </c>
      <c r="E1421" s="136">
        <v>41101</v>
      </c>
      <c r="F1421">
        <v>22.766999999999999</v>
      </c>
      <c r="G1421">
        <v>22.600999999999999</v>
      </c>
      <c r="H1421">
        <v>23.204999999999998</v>
      </c>
      <c r="I1421" s="136">
        <v>41101</v>
      </c>
      <c r="J1421">
        <v>34.21</v>
      </c>
      <c r="K1421">
        <v>34.120399999999997</v>
      </c>
      <c r="L1421">
        <v>34.799999999999997</v>
      </c>
    </row>
    <row r="1422" spans="1:12">
      <c r="A1422" s="136">
        <v>41102</v>
      </c>
      <c r="B1422">
        <v>1920</v>
      </c>
      <c r="C1422">
        <v>1865.5</v>
      </c>
      <c r="D1422">
        <v>1920</v>
      </c>
      <c r="E1422" s="136">
        <v>41102</v>
      </c>
      <c r="F1422">
        <v>22.678000000000001</v>
      </c>
      <c r="G1422">
        <v>21.913</v>
      </c>
      <c r="H1422">
        <v>22.728999999999999</v>
      </c>
      <c r="I1422" s="136">
        <v>41102</v>
      </c>
      <c r="J1422">
        <v>34.33</v>
      </c>
      <c r="K1422">
        <v>33.94</v>
      </c>
      <c r="L1422">
        <v>34.57</v>
      </c>
    </row>
    <row r="1423" spans="1:12">
      <c r="A1423" s="136">
        <v>41103</v>
      </c>
      <c r="B1423">
        <v>1887</v>
      </c>
      <c r="C1423">
        <v>1880</v>
      </c>
      <c r="D1423">
        <v>1917</v>
      </c>
      <c r="E1423" s="136">
        <v>41103</v>
      </c>
      <c r="F1423">
        <v>22.370999999999999</v>
      </c>
      <c r="G1423">
        <v>21.510999999999999</v>
      </c>
      <c r="H1423">
        <v>22.515999999999998</v>
      </c>
      <c r="I1423" s="136">
        <v>41103</v>
      </c>
      <c r="J1423">
        <v>35.06</v>
      </c>
      <c r="K1423">
        <v>34.86</v>
      </c>
      <c r="L1423">
        <v>36.200000000000003</v>
      </c>
    </row>
    <row r="1424" spans="1:12">
      <c r="A1424" s="136">
        <v>41104</v>
      </c>
      <c r="B1424">
        <v>1887</v>
      </c>
      <c r="C1424">
        <v>1880</v>
      </c>
      <c r="D1424">
        <v>1917</v>
      </c>
      <c r="E1424" s="136">
        <v>41104</v>
      </c>
      <c r="F1424">
        <v>22.370999999999999</v>
      </c>
      <c r="G1424">
        <v>21.510999999999999</v>
      </c>
      <c r="H1424">
        <v>22.515999999999998</v>
      </c>
      <c r="I1424" s="136">
        <v>41104</v>
      </c>
      <c r="J1424">
        <v>35.06</v>
      </c>
      <c r="K1424">
        <v>34.86</v>
      </c>
      <c r="L1424">
        <v>36.200000000000003</v>
      </c>
    </row>
    <row r="1425" spans="1:12">
      <c r="A1425" s="136">
        <v>41105</v>
      </c>
      <c r="B1425">
        <v>1887</v>
      </c>
      <c r="C1425">
        <v>1880</v>
      </c>
      <c r="D1425">
        <v>1917</v>
      </c>
      <c r="E1425" s="136">
        <v>41105</v>
      </c>
      <c r="F1425">
        <v>22.370999999999999</v>
      </c>
      <c r="G1425">
        <v>21.510999999999999</v>
      </c>
      <c r="H1425">
        <v>22.515999999999998</v>
      </c>
      <c r="I1425" s="136">
        <v>41105</v>
      </c>
      <c r="J1425">
        <v>35.06</v>
      </c>
      <c r="K1425">
        <v>34.86</v>
      </c>
      <c r="L1425">
        <v>36.200000000000003</v>
      </c>
    </row>
    <row r="1426" spans="1:12">
      <c r="A1426" s="136">
        <v>41106</v>
      </c>
      <c r="B1426">
        <v>1910</v>
      </c>
      <c r="C1426">
        <v>1888.25</v>
      </c>
      <c r="D1426">
        <v>1918.75</v>
      </c>
      <c r="E1426" s="136">
        <v>41106</v>
      </c>
      <c r="F1426">
        <v>22.047999999999998</v>
      </c>
      <c r="G1426">
        <v>21.434999999999999</v>
      </c>
      <c r="H1426">
        <v>22.175000000000001</v>
      </c>
      <c r="I1426" s="136">
        <v>41106</v>
      </c>
      <c r="J1426">
        <v>35.76</v>
      </c>
      <c r="K1426">
        <v>34.729999999999997</v>
      </c>
      <c r="L1426">
        <v>35.85</v>
      </c>
    </row>
    <row r="1427" spans="1:12">
      <c r="A1427" s="136">
        <v>41107</v>
      </c>
      <c r="B1427">
        <v>1913.5</v>
      </c>
      <c r="C1427">
        <v>1892.25</v>
      </c>
      <c r="D1427">
        <v>1925</v>
      </c>
      <c r="E1427" s="136">
        <v>41107</v>
      </c>
      <c r="F1427">
        <v>21.655999999999999</v>
      </c>
      <c r="G1427">
        <v>21.167000000000002</v>
      </c>
      <c r="H1427">
        <v>21.876999999999999</v>
      </c>
      <c r="I1427" s="136">
        <v>41107</v>
      </c>
      <c r="J1427">
        <v>35.44</v>
      </c>
      <c r="K1427">
        <v>34.270099999999999</v>
      </c>
      <c r="L1427">
        <v>35.479999999999997</v>
      </c>
    </row>
    <row r="1428" spans="1:12">
      <c r="A1428" s="136">
        <v>41108</v>
      </c>
      <c r="B1428">
        <v>1910</v>
      </c>
      <c r="C1428">
        <v>1886</v>
      </c>
      <c r="D1428">
        <v>1917.25</v>
      </c>
      <c r="E1428" s="136">
        <v>41108</v>
      </c>
      <c r="F1428">
        <v>21.408999999999999</v>
      </c>
      <c r="G1428">
        <v>20.923999999999999</v>
      </c>
      <c r="H1428">
        <v>21.962</v>
      </c>
      <c r="I1428" s="136">
        <v>41108</v>
      </c>
      <c r="J1428">
        <v>34.75</v>
      </c>
      <c r="K1428">
        <v>34.65</v>
      </c>
      <c r="L1428">
        <v>35.229999999999997</v>
      </c>
    </row>
    <row r="1429" spans="1:12">
      <c r="A1429" s="136">
        <v>41109</v>
      </c>
      <c r="B1429">
        <v>1911.75</v>
      </c>
      <c r="C1429">
        <v>1908.25</v>
      </c>
      <c r="D1429">
        <v>1946</v>
      </c>
      <c r="E1429" s="136">
        <v>41109</v>
      </c>
      <c r="F1429">
        <v>21.928000000000001</v>
      </c>
      <c r="G1429">
        <v>21.533000000000001</v>
      </c>
      <c r="H1429">
        <v>22.192</v>
      </c>
      <c r="I1429" s="136">
        <v>41109</v>
      </c>
      <c r="J1429">
        <v>35.020000000000003</v>
      </c>
      <c r="K1429">
        <v>34.31</v>
      </c>
      <c r="L1429">
        <v>35.17</v>
      </c>
    </row>
    <row r="1430" spans="1:12">
      <c r="A1430" s="136">
        <v>41110</v>
      </c>
      <c r="B1430">
        <v>1938</v>
      </c>
      <c r="C1430">
        <v>1889.75</v>
      </c>
      <c r="D1430">
        <v>1940</v>
      </c>
      <c r="E1430" s="136">
        <v>41110</v>
      </c>
      <c r="F1430">
        <v>21.86</v>
      </c>
      <c r="G1430">
        <v>20.928000000000001</v>
      </c>
      <c r="H1430">
        <v>22.068999999999999</v>
      </c>
      <c r="I1430" s="136">
        <v>41110</v>
      </c>
      <c r="J1430">
        <v>34.049999999999997</v>
      </c>
      <c r="K1430">
        <v>33.9</v>
      </c>
      <c r="L1430">
        <v>34.130000000000003</v>
      </c>
    </row>
    <row r="1431" spans="1:12">
      <c r="A1431" s="136">
        <v>41111</v>
      </c>
      <c r="B1431">
        <v>1938</v>
      </c>
      <c r="C1431">
        <v>1889.75</v>
      </c>
      <c r="D1431">
        <v>1940</v>
      </c>
      <c r="E1431" s="136">
        <v>41111</v>
      </c>
      <c r="F1431">
        <v>21.86</v>
      </c>
      <c r="G1431">
        <v>20.928000000000001</v>
      </c>
      <c r="H1431">
        <v>22.068999999999999</v>
      </c>
      <c r="I1431" s="136">
        <v>41111</v>
      </c>
      <c r="J1431">
        <v>34.049999999999997</v>
      </c>
      <c r="K1431">
        <v>33.9</v>
      </c>
      <c r="L1431">
        <v>34.130000000000003</v>
      </c>
    </row>
    <row r="1432" spans="1:12">
      <c r="A1432" s="136">
        <v>41112</v>
      </c>
      <c r="B1432">
        <v>1938</v>
      </c>
      <c r="C1432">
        <v>1889.75</v>
      </c>
      <c r="D1432">
        <v>1940</v>
      </c>
      <c r="E1432" s="136">
        <v>41112</v>
      </c>
      <c r="F1432">
        <v>21.86</v>
      </c>
      <c r="G1432">
        <v>20.928000000000001</v>
      </c>
      <c r="H1432">
        <v>22.068999999999999</v>
      </c>
      <c r="I1432" s="136">
        <v>41112</v>
      </c>
      <c r="J1432">
        <v>34.049999999999997</v>
      </c>
      <c r="K1432">
        <v>33.9</v>
      </c>
      <c r="L1432">
        <v>34.130000000000003</v>
      </c>
    </row>
    <row r="1433" spans="1:12">
      <c r="A1433" s="136">
        <v>41113</v>
      </c>
      <c r="B1433">
        <v>1896</v>
      </c>
      <c r="C1433">
        <v>1857</v>
      </c>
      <c r="D1433">
        <v>1899</v>
      </c>
      <c r="E1433" s="136">
        <v>41113</v>
      </c>
      <c r="F1433">
        <v>20.847000000000001</v>
      </c>
      <c r="G1433">
        <v>19.805</v>
      </c>
      <c r="H1433">
        <v>20.847000000000001</v>
      </c>
      <c r="I1433" s="136">
        <v>41113</v>
      </c>
      <c r="J1433">
        <v>33.24</v>
      </c>
      <c r="K1433">
        <v>33.1</v>
      </c>
      <c r="L1433">
        <v>34.5</v>
      </c>
    </row>
    <row r="1434" spans="1:12">
      <c r="A1434" s="136">
        <v>41114</v>
      </c>
      <c r="B1434">
        <v>1880</v>
      </c>
      <c r="C1434">
        <v>1864</v>
      </c>
      <c r="D1434">
        <v>1886</v>
      </c>
      <c r="E1434" s="136">
        <v>41114</v>
      </c>
      <c r="F1434">
        <v>20.064</v>
      </c>
      <c r="G1434">
        <v>19.681000000000001</v>
      </c>
      <c r="H1434">
        <v>20.515000000000001</v>
      </c>
      <c r="I1434" s="136">
        <v>41114</v>
      </c>
      <c r="J1434">
        <v>34.58</v>
      </c>
      <c r="K1434">
        <v>34.22</v>
      </c>
      <c r="L1434">
        <v>34.89</v>
      </c>
    </row>
    <row r="1435" spans="1:12">
      <c r="A1435" s="136">
        <v>41115</v>
      </c>
      <c r="B1435">
        <v>1868.5</v>
      </c>
      <c r="C1435">
        <v>1862</v>
      </c>
      <c r="D1435">
        <v>1893</v>
      </c>
      <c r="E1435" s="136">
        <v>41115</v>
      </c>
      <c r="F1435">
        <v>19.698</v>
      </c>
      <c r="G1435">
        <v>18.888999999999999</v>
      </c>
      <c r="H1435">
        <v>19.792000000000002</v>
      </c>
      <c r="I1435" s="136">
        <v>41115</v>
      </c>
      <c r="J1435">
        <v>34.979999999999997</v>
      </c>
      <c r="K1435">
        <v>34.79</v>
      </c>
      <c r="L1435">
        <v>35.450000000000003</v>
      </c>
    </row>
    <row r="1436" spans="1:12">
      <c r="A1436" s="136">
        <v>41116</v>
      </c>
      <c r="B1436">
        <v>1875</v>
      </c>
      <c r="C1436">
        <v>1863</v>
      </c>
      <c r="D1436">
        <v>1910</v>
      </c>
      <c r="E1436" s="136">
        <v>41116</v>
      </c>
      <c r="F1436">
        <v>19.213000000000001</v>
      </c>
      <c r="G1436">
        <v>18.821000000000002</v>
      </c>
      <c r="H1436">
        <v>20.196000000000002</v>
      </c>
      <c r="I1436" s="136">
        <v>41116</v>
      </c>
      <c r="J1436">
        <v>35.78</v>
      </c>
      <c r="K1436">
        <v>35.340000000000003</v>
      </c>
      <c r="L1436">
        <v>35.94</v>
      </c>
    </row>
    <row r="1437" spans="1:12">
      <c r="A1437" s="136">
        <v>41117</v>
      </c>
      <c r="B1437">
        <v>1877</v>
      </c>
      <c r="C1437">
        <v>1876</v>
      </c>
      <c r="D1437">
        <v>1904.25</v>
      </c>
      <c r="E1437" s="136">
        <v>41117</v>
      </c>
      <c r="F1437">
        <v>20.192</v>
      </c>
      <c r="G1437">
        <v>19.719000000000001</v>
      </c>
      <c r="H1437">
        <v>21.297999999999998</v>
      </c>
      <c r="I1437" s="136">
        <v>41117</v>
      </c>
      <c r="J1437">
        <v>36.01</v>
      </c>
      <c r="K1437">
        <v>35.51</v>
      </c>
      <c r="L1437">
        <v>37.200000000000003</v>
      </c>
    </row>
    <row r="1438" spans="1:12">
      <c r="A1438" s="136">
        <v>41118</v>
      </c>
      <c r="B1438">
        <v>1877</v>
      </c>
      <c r="C1438">
        <v>1876</v>
      </c>
      <c r="D1438">
        <v>1904.25</v>
      </c>
      <c r="E1438" s="136">
        <v>41118</v>
      </c>
      <c r="F1438">
        <v>20.192</v>
      </c>
      <c r="G1438">
        <v>19.719000000000001</v>
      </c>
      <c r="H1438">
        <v>21.297999999999998</v>
      </c>
      <c r="I1438" s="136">
        <v>41118</v>
      </c>
      <c r="J1438">
        <v>36.01</v>
      </c>
      <c r="K1438">
        <v>35.51</v>
      </c>
      <c r="L1438">
        <v>37.200000000000003</v>
      </c>
    </row>
    <row r="1439" spans="1:12">
      <c r="A1439" s="136">
        <v>41119</v>
      </c>
      <c r="B1439">
        <v>1877</v>
      </c>
      <c r="C1439">
        <v>1876</v>
      </c>
      <c r="D1439">
        <v>1904.25</v>
      </c>
      <c r="E1439" s="136">
        <v>41119</v>
      </c>
      <c r="F1439">
        <v>20.192</v>
      </c>
      <c r="G1439">
        <v>19.719000000000001</v>
      </c>
      <c r="H1439">
        <v>21.297999999999998</v>
      </c>
      <c r="I1439" s="136">
        <v>41119</v>
      </c>
      <c r="J1439">
        <v>36.01</v>
      </c>
      <c r="K1439">
        <v>35.51</v>
      </c>
      <c r="L1439">
        <v>37.200000000000003</v>
      </c>
    </row>
    <row r="1440" spans="1:12">
      <c r="A1440" s="136">
        <v>41120</v>
      </c>
      <c r="B1440">
        <v>1894.25</v>
      </c>
      <c r="C1440">
        <v>1883.75</v>
      </c>
      <c r="D1440">
        <v>1902.75</v>
      </c>
      <c r="E1440" s="136">
        <v>41120</v>
      </c>
      <c r="F1440">
        <v>21.026</v>
      </c>
      <c r="G1440">
        <v>20.86</v>
      </c>
      <c r="H1440">
        <v>21.617999999999999</v>
      </c>
      <c r="I1440" s="136">
        <v>41120</v>
      </c>
      <c r="J1440">
        <v>36.5</v>
      </c>
      <c r="K1440">
        <v>35.94</v>
      </c>
      <c r="L1440">
        <v>36.520000000000003</v>
      </c>
    </row>
    <row r="1441" spans="1:12">
      <c r="A1441" s="136">
        <v>41121</v>
      </c>
      <c r="B1441">
        <v>1899.25</v>
      </c>
      <c r="C1441">
        <v>1885</v>
      </c>
      <c r="D1441">
        <v>1912.5</v>
      </c>
      <c r="E1441" s="136">
        <v>41121</v>
      </c>
      <c r="F1441">
        <v>21.196000000000002</v>
      </c>
      <c r="G1441">
        <v>20.698</v>
      </c>
      <c r="H1441">
        <v>22.12</v>
      </c>
      <c r="I1441" s="136">
        <v>41121</v>
      </c>
      <c r="J1441">
        <v>36.11</v>
      </c>
      <c r="K1441">
        <v>35.909999999999997</v>
      </c>
      <c r="L1441">
        <v>36.33</v>
      </c>
    </row>
    <row r="1442" spans="1:12">
      <c r="A1442" s="136">
        <v>41122</v>
      </c>
      <c r="B1442">
        <v>1890</v>
      </c>
      <c r="C1442">
        <v>1860</v>
      </c>
      <c r="D1442">
        <v>1890</v>
      </c>
      <c r="E1442" s="136">
        <v>41122</v>
      </c>
      <c r="F1442">
        <v>21.103000000000002</v>
      </c>
      <c r="G1442">
        <v>20.771000000000001</v>
      </c>
      <c r="H1442">
        <v>21.361999999999998</v>
      </c>
      <c r="I1442" s="136">
        <v>41122</v>
      </c>
      <c r="J1442">
        <v>36.19</v>
      </c>
      <c r="K1442">
        <v>35.82</v>
      </c>
      <c r="L1442">
        <v>36.4</v>
      </c>
    </row>
    <row r="1443" spans="1:12">
      <c r="A1443" s="136">
        <v>41123</v>
      </c>
      <c r="B1443">
        <v>1862</v>
      </c>
      <c r="C1443">
        <v>1832.25</v>
      </c>
      <c r="D1443">
        <v>1869.5</v>
      </c>
      <c r="E1443" s="136">
        <v>41123</v>
      </c>
      <c r="F1443">
        <v>20.856000000000002</v>
      </c>
      <c r="G1443">
        <v>19.596</v>
      </c>
      <c r="H1443">
        <v>21.315999999999999</v>
      </c>
      <c r="I1443" s="136">
        <v>41123</v>
      </c>
      <c r="J1443">
        <v>35.619999999999997</v>
      </c>
      <c r="K1443">
        <v>34.76</v>
      </c>
      <c r="L1443">
        <v>35.840000000000003</v>
      </c>
    </row>
    <row r="1444" spans="1:12">
      <c r="A1444" s="136">
        <v>41124</v>
      </c>
      <c r="B1444">
        <v>1837</v>
      </c>
      <c r="C1444">
        <v>1837</v>
      </c>
      <c r="D1444">
        <v>1867.25</v>
      </c>
      <c r="E1444" s="136">
        <v>41124</v>
      </c>
      <c r="F1444">
        <v>19.762</v>
      </c>
      <c r="G1444">
        <v>19.715</v>
      </c>
      <c r="H1444">
        <v>21.55</v>
      </c>
      <c r="I1444" s="136">
        <v>41124</v>
      </c>
      <c r="J1444">
        <v>35.82</v>
      </c>
      <c r="K1444">
        <v>35.5</v>
      </c>
      <c r="L1444">
        <v>36.29</v>
      </c>
    </row>
    <row r="1445" spans="1:12">
      <c r="A1445" s="136">
        <v>41125</v>
      </c>
      <c r="B1445">
        <v>1837</v>
      </c>
      <c r="C1445">
        <v>1837</v>
      </c>
      <c r="D1445">
        <v>1867.25</v>
      </c>
      <c r="E1445" s="136">
        <v>41125</v>
      </c>
      <c r="F1445">
        <v>19.762</v>
      </c>
      <c r="G1445">
        <v>19.715</v>
      </c>
      <c r="H1445">
        <v>21.55</v>
      </c>
      <c r="I1445" s="136">
        <v>41125</v>
      </c>
      <c r="J1445">
        <v>35.82</v>
      </c>
      <c r="K1445">
        <v>35.5</v>
      </c>
      <c r="L1445">
        <v>36.29</v>
      </c>
    </row>
    <row r="1446" spans="1:12">
      <c r="A1446" s="136">
        <v>41126</v>
      </c>
      <c r="B1446">
        <v>1837</v>
      </c>
      <c r="C1446">
        <v>1837</v>
      </c>
      <c r="D1446">
        <v>1867.25</v>
      </c>
      <c r="E1446" s="136">
        <v>41126</v>
      </c>
      <c r="F1446">
        <v>19.762</v>
      </c>
      <c r="G1446">
        <v>19.715</v>
      </c>
      <c r="H1446">
        <v>21.55</v>
      </c>
      <c r="I1446" s="136">
        <v>41126</v>
      </c>
      <c r="J1446">
        <v>35.82</v>
      </c>
      <c r="K1446">
        <v>35.5</v>
      </c>
      <c r="L1446">
        <v>36.29</v>
      </c>
    </row>
    <row r="1447" spans="1:12">
      <c r="A1447" s="136">
        <v>41127</v>
      </c>
      <c r="B1447">
        <v>1860</v>
      </c>
      <c r="C1447">
        <v>1843.75</v>
      </c>
      <c r="D1447">
        <v>1884</v>
      </c>
      <c r="E1447" s="136">
        <v>41127</v>
      </c>
      <c r="F1447">
        <v>21.536999999999999</v>
      </c>
      <c r="G1447">
        <v>21.068999999999999</v>
      </c>
      <c r="H1447">
        <v>21.75</v>
      </c>
      <c r="I1447" s="136">
        <v>41127</v>
      </c>
      <c r="J1447">
        <v>36.24</v>
      </c>
      <c r="K1447">
        <v>36.11</v>
      </c>
      <c r="L1447">
        <v>36.799999999999997</v>
      </c>
    </row>
    <row r="1448" spans="1:12">
      <c r="A1448" s="136">
        <v>41128</v>
      </c>
      <c r="B1448">
        <v>1877.5</v>
      </c>
      <c r="C1448">
        <v>1870</v>
      </c>
      <c r="D1448">
        <v>1913</v>
      </c>
      <c r="E1448" s="136">
        <v>41128</v>
      </c>
      <c r="F1448">
        <v>21.545000000000002</v>
      </c>
      <c r="G1448">
        <v>21.201000000000001</v>
      </c>
      <c r="H1448">
        <v>21.885999999999999</v>
      </c>
      <c r="I1448" s="136">
        <v>41128</v>
      </c>
      <c r="J1448">
        <v>36.57</v>
      </c>
      <c r="K1448">
        <v>36.57</v>
      </c>
      <c r="L1448">
        <v>37.869999999999997</v>
      </c>
    </row>
    <row r="1449" spans="1:12">
      <c r="A1449" s="136">
        <v>41129</v>
      </c>
      <c r="B1449">
        <v>1908</v>
      </c>
      <c r="C1449">
        <v>1891</v>
      </c>
      <c r="D1449">
        <v>1923</v>
      </c>
      <c r="E1449" s="136">
        <v>41129</v>
      </c>
      <c r="F1449">
        <v>21.788</v>
      </c>
      <c r="G1449">
        <v>21.401</v>
      </c>
      <c r="H1449">
        <v>21.818000000000001</v>
      </c>
      <c r="I1449" s="136">
        <v>41129</v>
      </c>
      <c r="J1449">
        <v>36.85</v>
      </c>
      <c r="K1449">
        <v>36.75</v>
      </c>
      <c r="L1449">
        <v>37.479999999999997</v>
      </c>
    </row>
    <row r="1450" spans="1:12">
      <c r="A1450" s="136">
        <v>41130</v>
      </c>
      <c r="B1450">
        <v>1907.75</v>
      </c>
      <c r="C1450">
        <v>1896</v>
      </c>
      <c r="D1450">
        <v>1915.5</v>
      </c>
      <c r="E1450" s="136">
        <v>41130</v>
      </c>
      <c r="F1450">
        <v>21.774999999999999</v>
      </c>
      <c r="G1450">
        <v>21.469000000000001</v>
      </c>
      <c r="H1450">
        <v>22.09</v>
      </c>
      <c r="I1450" s="136">
        <v>41130</v>
      </c>
      <c r="J1450">
        <v>36.72</v>
      </c>
      <c r="K1450">
        <v>36.590000000000003</v>
      </c>
      <c r="L1450">
        <v>37.26</v>
      </c>
    </row>
    <row r="1451" spans="1:12">
      <c r="A1451" s="136">
        <v>41131</v>
      </c>
      <c r="B1451">
        <v>1899</v>
      </c>
      <c r="C1451">
        <v>1871.5</v>
      </c>
      <c r="D1451">
        <v>1900.5</v>
      </c>
      <c r="E1451" s="136">
        <v>41131</v>
      </c>
      <c r="F1451">
        <v>21.818000000000001</v>
      </c>
      <c r="G1451">
        <v>21.503</v>
      </c>
      <c r="H1451">
        <v>21.86</v>
      </c>
      <c r="I1451" s="136">
        <v>41131</v>
      </c>
      <c r="J1451">
        <v>36.76</v>
      </c>
      <c r="K1451">
        <v>36.4</v>
      </c>
      <c r="L1451">
        <v>37</v>
      </c>
    </row>
    <row r="1452" spans="1:12">
      <c r="A1452" s="136">
        <v>41132</v>
      </c>
      <c r="B1452">
        <v>1899</v>
      </c>
      <c r="C1452">
        <v>1871.5</v>
      </c>
      <c r="D1452">
        <v>1900.5</v>
      </c>
      <c r="E1452" s="136">
        <v>41132</v>
      </c>
      <c r="F1452">
        <v>21.818000000000001</v>
      </c>
      <c r="G1452">
        <v>21.503</v>
      </c>
      <c r="H1452">
        <v>21.86</v>
      </c>
      <c r="I1452" s="136">
        <v>41132</v>
      </c>
      <c r="J1452">
        <v>36.76</v>
      </c>
      <c r="K1452">
        <v>36.4</v>
      </c>
      <c r="L1452">
        <v>37</v>
      </c>
    </row>
    <row r="1453" spans="1:12">
      <c r="A1453" s="136">
        <v>41133</v>
      </c>
      <c r="B1453">
        <v>1899</v>
      </c>
      <c r="C1453">
        <v>1871.5</v>
      </c>
      <c r="D1453">
        <v>1900.5</v>
      </c>
      <c r="E1453" s="136">
        <v>41133</v>
      </c>
      <c r="F1453">
        <v>21.818000000000001</v>
      </c>
      <c r="G1453">
        <v>21.503</v>
      </c>
      <c r="H1453">
        <v>21.86</v>
      </c>
      <c r="I1453" s="136">
        <v>41133</v>
      </c>
      <c r="J1453">
        <v>36.76</v>
      </c>
      <c r="K1453">
        <v>36.4</v>
      </c>
      <c r="L1453">
        <v>37</v>
      </c>
    </row>
    <row r="1454" spans="1:12">
      <c r="A1454" s="136">
        <v>41134</v>
      </c>
      <c r="B1454">
        <v>1881</v>
      </c>
      <c r="C1454">
        <v>1855</v>
      </c>
      <c r="D1454">
        <v>1883</v>
      </c>
      <c r="E1454" s="136">
        <v>41134</v>
      </c>
      <c r="F1454">
        <v>21.571000000000002</v>
      </c>
      <c r="G1454">
        <v>21.167000000000002</v>
      </c>
      <c r="H1454">
        <v>21.774999999999999</v>
      </c>
      <c r="I1454" s="136">
        <v>41134</v>
      </c>
      <c r="J1454">
        <v>36.869999999999997</v>
      </c>
      <c r="K1454">
        <v>36.645000000000003</v>
      </c>
      <c r="L1454">
        <v>37.090000000000003</v>
      </c>
    </row>
    <row r="1455" spans="1:12">
      <c r="A1455" s="136">
        <v>41135</v>
      </c>
      <c r="B1455">
        <v>1859.25</v>
      </c>
      <c r="C1455">
        <v>1847.25</v>
      </c>
      <c r="D1455">
        <v>1870.5</v>
      </c>
      <c r="E1455" s="136">
        <v>41135</v>
      </c>
      <c r="F1455">
        <v>21.446999999999999</v>
      </c>
      <c r="G1455">
        <v>21.26</v>
      </c>
      <c r="H1455">
        <v>21.613</v>
      </c>
      <c r="I1455" s="136">
        <v>41135</v>
      </c>
      <c r="J1455">
        <v>37.42</v>
      </c>
      <c r="K1455">
        <v>36.979999999999997</v>
      </c>
      <c r="L1455">
        <v>37.64</v>
      </c>
    </row>
    <row r="1456" spans="1:12">
      <c r="A1456" s="136">
        <v>41136</v>
      </c>
      <c r="B1456">
        <v>1858</v>
      </c>
      <c r="C1456">
        <v>1836</v>
      </c>
      <c r="D1456">
        <v>1862</v>
      </c>
      <c r="E1456" s="136">
        <v>41136</v>
      </c>
      <c r="F1456">
        <v>21.358000000000001</v>
      </c>
      <c r="G1456">
        <v>21.154</v>
      </c>
      <c r="H1456">
        <v>21.469000000000001</v>
      </c>
      <c r="I1456" s="136">
        <v>41136</v>
      </c>
      <c r="J1456">
        <v>37.07</v>
      </c>
      <c r="K1456">
        <v>36.950000000000003</v>
      </c>
      <c r="L1456">
        <v>37.409999999999997</v>
      </c>
    </row>
    <row r="1457" spans="1:12">
      <c r="A1457" s="136">
        <v>41137</v>
      </c>
      <c r="B1457">
        <v>1840</v>
      </c>
      <c r="C1457">
        <v>1827.25</v>
      </c>
      <c r="D1457">
        <v>1854</v>
      </c>
      <c r="E1457" s="136">
        <v>41137</v>
      </c>
      <c r="F1457">
        <v>21.408999999999999</v>
      </c>
      <c r="G1457">
        <v>21.192</v>
      </c>
      <c r="H1457">
        <v>22.132999999999999</v>
      </c>
      <c r="I1457" s="136">
        <v>41137</v>
      </c>
      <c r="J1457">
        <v>37.18</v>
      </c>
      <c r="K1457">
        <v>36.799999999999997</v>
      </c>
      <c r="L1457">
        <v>37.35</v>
      </c>
    </row>
    <row r="1458" spans="1:12">
      <c r="A1458" s="136">
        <v>41138</v>
      </c>
      <c r="B1458">
        <v>1849</v>
      </c>
      <c r="C1458">
        <v>1843.75</v>
      </c>
      <c r="D1458">
        <v>1865</v>
      </c>
      <c r="E1458" s="136">
        <v>41138</v>
      </c>
      <c r="F1458">
        <v>22.068999999999999</v>
      </c>
      <c r="G1458">
        <v>21.962</v>
      </c>
      <c r="H1458">
        <v>22.821999999999999</v>
      </c>
      <c r="I1458" s="136">
        <v>41138</v>
      </c>
      <c r="J1458">
        <v>37.200000000000003</v>
      </c>
      <c r="K1458">
        <v>36.799999999999997</v>
      </c>
      <c r="L1458">
        <v>37.200000000000003</v>
      </c>
    </row>
    <row r="1459" spans="1:12">
      <c r="A1459" s="136">
        <v>41139</v>
      </c>
      <c r="B1459">
        <v>1849</v>
      </c>
      <c r="C1459">
        <v>1843.75</v>
      </c>
      <c r="D1459">
        <v>1865</v>
      </c>
      <c r="E1459" s="136">
        <v>41139</v>
      </c>
      <c r="F1459">
        <v>22.068999999999999</v>
      </c>
      <c r="G1459">
        <v>21.962</v>
      </c>
      <c r="H1459">
        <v>22.821999999999999</v>
      </c>
      <c r="I1459" s="136">
        <v>41139</v>
      </c>
      <c r="J1459">
        <v>37.200000000000003</v>
      </c>
      <c r="K1459">
        <v>36.799999999999997</v>
      </c>
      <c r="L1459">
        <v>37.200000000000003</v>
      </c>
    </row>
    <row r="1460" spans="1:12">
      <c r="A1460" s="136">
        <v>41140</v>
      </c>
      <c r="B1460">
        <v>1849</v>
      </c>
      <c r="C1460">
        <v>1843.75</v>
      </c>
      <c r="D1460">
        <v>1865</v>
      </c>
      <c r="E1460" s="136">
        <v>41140</v>
      </c>
      <c r="F1460">
        <v>22.068999999999999</v>
      </c>
      <c r="G1460">
        <v>21.962</v>
      </c>
      <c r="H1460">
        <v>22.821999999999999</v>
      </c>
      <c r="I1460" s="136">
        <v>41140</v>
      </c>
      <c r="J1460">
        <v>37.200000000000003</v>
      </c>
      <c r="K1460">
        <v>36.799999999999997</v>
      </c>
      <c r="L1460">
        <v>37.200000000000003</v>
      </c>
    </row>
    <row r="1461" spans="1:12">
      <c r="A1461" s="136">
        <v>41141</v>
      </c>
      <c r="B1461">
        <v>1854.75</v>
      </c>
      <c r="C1461">
        <v>1830</v>
      </c>
      <c r="D1461">
        <v>1854.75</v>
      </c>
      <c r="E1461" s="136">
        <v>41141</v>
      </c>
      <c r="F1461">
        <v>22.388000000000002</v>
      </c>
      <c r="G1461">
        <v>22.15</v>
      </c>
      <c r="H1461">
        <v>22.792000000000002</v>
      </c>
      <c r="I1461" s="136">
        <v>41141</v>
      </c>
      <c r="J1461">
        <v>36.92</v>
      </c>
      <c r="K1461">
        <v>36.799999999999997</v>
      </c>
      <c r="L1461">
        <v>37.5</v>
      </c>
    </row>
    <row r="1462" spans="1:12">
      <c r="A1462" s="136">
        <v>41142</v>
      </c>
      <c r="B1462">
        <v>1838</v>
      </c>
      <c r="C1462">
        <v>1835.75</v>
      </c>
      <c r="D1462">
        <v>1878.75</v>
      </c>
      <c r="E1462" s="136">
        <v>41142</v>
      </c>
      <c r="F1462">
        <v>22.434999999999999</v>
      </c>
      <c r="G1462">
        <v>22.38</v>
      </c>
      <c r="H1462">
        <v>23.742000000000001</v>
      </c>
      <c r="I1462" s="136">
        <v>41142</v>
      </c>
      <c r="J1462">
        <v>37.630000000000003</v>
      </c>
      <c r="K1462">
        <v>37.56</v>
      </c>
      <c r="L1462">
        <v>38.86</v>
      </c>
    </row>
    <row r="1463" spans="1:12">
      <c r="A1463" s="136">
        <v>41143</v>
      </c>
      <c r="B1463">
        <v>1862</v>
      </c>
      <c r="C1463">
        <v>1855.25</v>
      </c>
      <c r="D1463">
        <v>1885.75</v>
      </c>
      <c r="E1463" s="136">
        <v>41143</v>
      </c>
      <c r="F1463">
        <v>23.256</v>
      </c>
      <c r="G1463">
        <v>23.027000000000001</v>
      </c>
      <c r="H1463">
        <v>23.776</v>
      </c>
      <c r="I1463" s="136">
        <v>41143</v>
      </c>
      <c r="J1463">
        <v>37.880000000000003</v>
      </c>
      <c r="K1463">
        <v>37.56</v>
      </c>
      <c r="L1463">
        <v>38.18</v>
      </c>
    </row>
    <row r="1464" spans="1:12">
      <c r="A1464" s="136">
        <v>41144</v>
      </c>
      <c r="B1464">
        <v>1875</v>
      </c>
      <c r="C1464">
        <v>1874</v>
      </c>
      <c r="D1464">
        <v>1910</v>
      </c>
      <c r="E1464" s="136">
        <v>41144</v>
      </c>
      <c r="F1464">
        <v>23.529</v>
      </c>
      <c r="G1464">
        <v>23.146000000000001</v>
      </c>
      <c r="H1464">
        <v>24.074000000000002</v>
      </c>
      <c r="I1464" s="136">
        <v>41144</v>
      </c>
      <c r="J1464">
        <v>37.81</v>
      </c>
      <c r="K1464">
        <v>37.200000000000003</v>
      </c>
      <c r="L1464">
        <v>37.89</v>
      </c>
    </row>
    <row r="1465" spans="1:12">
      <c r="A1465" s="136">
        <v>41145</v>
      </c>
      <c r="B1465">
        <v>1895</v>
      </c>
      <c r="C1465">
        <v>1885</v>
      </c>
      <c r="D1465">
        <v>1922</v>
      </c>
      <c r="E1465" s="136">
        <v>41145</v>
      </c>
      <c r="F1465">
        <v>23.282</v>
      </c>
      <c r="G1465">
        <v>22.745999999999999</v>
      </c>
      <c r="H1465">
        <v>23.393000000000001</v>
      </c>
      <c r="I1465" s="136">
        <v>41145</v>
      </c>
      <c r="J1465">
        <v>36.94</v>
      </c>
      <c r="K1465">
        <v>36.67</v>
      </c>
      <c r="L1465">
        <v>37.44</v>
      </c>
    </row>
    <row r="1466" spans="1:12">
      <c r="A1466" s="136">
        <v>41146</v>
      </c>
      <c r="B1466">
        <v>1895</v>
      </c>
      <c r="C1466">
        <v>1885</v>
      </c>
      <c r="D1466">
        <v>1922</v>
      </c>
      <c r="E1466" s="136">
        <v>41146</v>
      </c>
      <c r="F1466">
        <v>23.282</v>
      </c>
      <c r="G1466">
        <v>22.745999999999999</v>
      </c>
      <c r="H1466">
        <v>23.393000000000001</v>
      </c>
      <c r="I1466" s="136">
        <v>41146</v>
      </c>
      <c r="J1466">
        <v>36.94</v>
      </c>
      <c r="K1466">
        <v>36.67</v>
      </c>
      <c r="L1466">
        <v>37.44</v>
      </c>
    </row>
    <row r="1467" spans="1:12">
      <c r="A1467" s="136">
        <v>41147</v>
      </c>
      <c r="B1467">
        <v>1895</v>
      </c>
      <c r="C1467">
        <v>1885</v>
      </c>
      <c r="D1467">
        <v>1922</v>
      </c>
      <c r="E1467" s="136">
        <v>41147</v>
      </c>
      <c r="F1467">
        <v>23.282</v>
      </c>
      <c r="G1467">
        <v>22.745999999999999</v>
      </c>
      <c r="H1467">
        <v>23.393000000000001</v>
      </c>
      <c r="I1467" s="136">
        <v>41147</v>
      </c>
      <c r="J1467">
        <v>36.94</v>
      </c>
      <c r="K1467">
        <v>36.67</v>
      </c>
      <c r="L1467">
        <v>37.44</v>
      </c>
    </row>
    <row r="1468" spans="1:12">
      <c r="A1468" s="136">
        <v>41148</v>
      </c>
      <c r="B1468">
        <v>1895</v>
      </c>
      <c r="C1468">
        <v>1885</v>
      </c>
      <c r="D1468">
        <v>1922</v>
      </c>
      <c r="E1468" s="136">
        <v>41148</v>
      </c>
      <c r="F1468">
        <v>23.201000000000001</v>
      </c>
      <c r="G1468">
        <v>22.940999999999999</v>
      </c>
      <c r="H1468">
        <v>24.091000000000001</v>
      </c>
      <c r="I1468" s="136">
        <v>41148</v>
      </c>
      <c r="J1468">
        <v>37.31</v>
      </c>
      <c r="K1468">
        <v>36.9</v>
      </c>
      <c r="L1468">
        <v>37.44</v>
      </c>
    </row>
    <row r="1469" spans="1:12">
      <c r="A1469" s="136">
        <v>41149</v>
      </c>
      <c r="B1469">
        <v>1918</v>
      </c>
      <c r="C1469">
        <v>1897</v>
      </c>
      <c r="D1469">
        <v>1918</v>
      </c>
      <c r="E1469" s="136">
        <v>41149</v>
      </c>
      <c r="F1469">
        <v>23.503</v>
      </c>
      <c r="G1469">
        <v>23.116</v>
      </c>
      <c r="H1469">
        <v>23.635000000000002</v>
      </c>
      <c r="I1469" s="136">
        <v>41149</v>
      </c>
      <c r="J1469">
        <v>37.1</v>
      </c>
      <c r="K1469">
        <v>36.9</v>
      </c>
      <c r="L1469">
        <v>37.491</v>
      </c>
    </row>
    <row r="1470" spans="1:12">
      <c r="A1470" s="136">
        <v>41150</v>
      </c>
      <c r="B1470">
        <v>1909.75</v>
      </c>
      <c r="C1470">
        <v>1890.25</v>
      </c>
      <c r="D1470">
        <v>1913.25</v>
      </c>
      <c r="E1470" s="136">
        <v>41150</v>
      </c>
      <c r="F1470">
        <v>23.265000000000001</v>
      </c>
      <c r="G1470">
        <v>23.129000000000001</v>
      </c>
      <c r="H1470">
        <v>23.486000000000001</v>
      </c>
      <c r="I1470" s="136">
        <v>41150</v>
      </c>
      <c r="J1470">
        <v>37.32</v>
      </c>
      <c r="K1470">
        <v>37.06</v>
      </c>
      <c r="L1470">
        <v>37.49</v>
      </c>
    </row>
    <row r="1471" spans="1:12">
      <c r="A1471" s="136">
        <v>41151</v>
      </c>
      <c r="B1471">
        <v>1890</v>
      </c>
      <c r="C1471">
        <v>1869</v>
      </c>
      <c r="D1471">
        <v>1899.75</v>
      </c>
      <c r="E1471" s="136">
        <v>41151</v>
      </c>
      <c r="F1471">
        <v>23.29</v>
      </c>
      <c r="G1471">
        <v>22.788</v>
      </c>
      <c r="H1471">
        <v>23.456</v>
      </c>
      <c r="I1471" s="136">
        <v>41151</v>
      </c>
      <c r="J1471">
        <v>37.06</v>
      </c>
      <c r="K1471">
        <v>36.71</v>
      </c>
      <c r="L1471">
        <v>37.130000000000003</v>
      </c>
    </row>
    <row r="1472" spans="1:12">
      <c r="A1472" s="136">
        <v>41152</v>
      </c>
      <c r="B1472">
        <v>1882</v>
      </c>
      <c r="C1472">
        <v>1864</v>
      </c>
      <c r="D1472">
        <v>1907</v>
      </c>
      <c r="E1472" s="136">
        <v>41152</v>
      </c>
      <c r="F1472">
        <v>22.971</v>
      </c>
      <c r="G1472">
        <v>22.882000000000001</v>
      </c>
      <c r="H1472">
        <v>24.303000000000001</v>
      </c>
      <c r="I1472" s="136">
        <v>41152</v>
      </c>
      <c r="J1472">
        <v>37.14</v>
      </c>
      <c r="K1472">
        <v>36.86</v>
      </c>
      <c r="L1472">
        <v>37.4</v>
      </c>
    </row>
    <row r="1473" spans="1:12">
      <c r="A1473" s="136">
        <v>41153</v>
      </c>
      <c r="B1473">
        <v>1882</v>
      </c>
      <c r="C1473">
        <v>1864</v>
      </c>
      <c r="D1473">
        <v>1907</v>
      </c>
      <c r="E1473" s="136">
        <v>41153</v>
      </c>
      <c r="F1473">
        <v>22.971</v>
      </c>
      <c r="G1473">
        <v>22.882000000000001</v>
      </c>
      <c r="H1473">
        <v>24.303000000000001</v>
      </c>
      <c r="I1473" s="136">
        <v>41153</v>
      </c>
      <c r="J1473">
        <v>37.14</v>
      </c>
      <c r="K1473">
        <v>36.86</v>
      </c>
      <c r="L1473">
        <v>37.4</v>
      </c>
    </row>
    <row r="1474" spans="1:12">
      <c r="A1474" s="136">
        <v>41154</v>
      </c>
      <c r="B1474">
        <v>1882</v>
      </c>
      <c r="C1474">
        <v>1864</v>
      </c>
      <c r="D1474">
        <v>1907</v>
      </c>
      <c r="E1474" s="136">
        <v>41154</v>
      </c>
      <c r="F1474">
        <v>22.971</v>
      </c>
      <c r="G1474">
        <v>22.882000000000001</v>
      </c>
      <c r="H1474">
        <v>24.303000000000001</v>
      </c>
      <c r="I1474" s="136">
        <v>41154</v>
      </c>
      <c r="J1474">
        <v>37.14</v>
      </c>
      <c r="K1474">
        <v>36.86</v>
      </c>
      <c r="L1474">
        <v>37.4</v>
      </c>
    </row>
    <row r="1475" spans="1:12">
      <c r="A1475" s="136">
        <v>41155</v>
      </c>
      <c r="B1475">
        <v>1896</v>
      </c>
      <c r="C1475">
        <v>1886</v>
      </c>
      <c r="D1475">
        <v>1932.5</v>
      </c>
      <c r="E1475" s="136">
        <v>41155</v>
      </c>
      <c r="F1475">
        <v>23.98</v>
      </c>
      <c r="G1475">
        <v>23.673999999999999</v>
      </c>
      <c r="H1475">
        <v>24.213999999999999</v>
      </c>
      <c r="I1475" s="136">
        <v>41155</v>
      </c>
      <c r="J1475">
        <v>37.14</v>
      </c>
      <c r="K1475">
        <v>36.86</v>
      </c>
      <c r="L1475">
        <v>37.4</v>
      </c>
    </row>
    <row r="1476" spans="1:12">
      <c r="A1476" s="136">
        <v>41156</v>
      </c>
      <c r="B1476">
        <v>1923</v>
      </c>
      <c r="C1476">
        <v>1916</v>
      </c>
      <c r="D1476">
        <v>1954</v>
      </c>
      <c r="E1476" s="136">
        <v>41156</v>
      </c>
      <c r="F1476">
        <v>24.082000000000001</v>
      </c>
      <c r="G1476">
        <v>23.460999999999999</v>
      </c>
      <c r="H1476">
        <v>24.175999999999998</v>
      </c>
      <c r="I1476" s="136">
        <v>41156</v>
      </c>
      <c r="J1476">
        <v>36.979999999999997</v>
      </c>
      <c r="K1476">
        <v>36.78</v>
      </c>
      <c r="L1476">
        <v>37.24</v>
      </c>
    </row>
    <row r="1477" spans="1:12">
      <c r="A1477" s="136">
        <v>41157</v>
      </c>
      <c r="B1477">
        <v>1937</v>
      </c>
      <c r="C1477">
        <v>1927</v>
      </c>
      <c r="D1477">
        <v>1972</v>
      </c>
      <c r="E1477" s="136">
        <v>41157</v>
      </c>
      <c r="F1477">
        <v>23.536999999999999</v>
      </c>
      <c r="G1477">
        <v>23.213999999999999</v>
      </c>
      <c r="H1477">
        <v>23.92</v>
      </c>
      <c r="I1477" s="136">
        <v>41157</v>
      </c>
      <c r="J1477">
        <v>37.08</v>
      </c>
      <c r="K1477">
        <v>36.94</v>
      </c>
      <c r="L1477">
        <v>37.29</v>
      </c>
    </row>
    <row r="1478" spans="1:12">
      <c r="A1478" s="136">
        <v>41158</v>
      </c>
      <c r="B1478">
        <v>1964</v>
      </c>
      <c r="C1478">
        <v>1958.25</v>
      </c>
      <c r="D1478">
        <v>1987.5</v>
      </c>
      <c r="E1478" s="136">
        <v>41158</v>
      </c>
      <c r="F1478">
        <v>23.988</v>
      </c>
      <c r="G1478">
        <v>23.852</v>
      </c>
      <c r="H1478">
        <v>25.363</v>
      </c>
      <c r="I1478" s="136">
        <v>41158</v>
      </c>
      <c r="J1478">
        <v>37.58</v>
      </c>
      <c r="K1478">
        <v>37.5</v>
      </c>
      <c r="L1478">
        <v>38.869999999999997</v>
      </c>
    </row>
    <row r="1479" spans="1:12">
      <c r="A1479" s="136">
        <v>41159</v>
      </c>
      <c r="B1479">
        <v>1977.5</v>
      </c>
      <c r="C1479">
        <v>1968.25</v>
      </c>
      <c r="D1479">
        <v>2034</v>
      </c>
      <c r="E1479" s="136">
        <v>41159</v>
      </c>
      <c r="F1479">
        <v>25.308</v>
      </c>
      <c r="G1479">
        <v>25.227</v>
      </c>
      <c r="H1479">
        <v>27.184999999999999</v>
      </c>
      <c r="I1479" s="136">
        <v>41159</v>
      </c>
      <c r="J1479">
        <v>39.04</v>
      </c>
      <c r="K1479">
        <v>39</v>
      </c>
      <c r="L1479">
        <v>39.53</v>
      </c>
    </row>
    <row r="1480" spans="1:12">
      <c r="A1480" s="136">
        <v>41160</v>
      </c>
      <c r="B1480">
        <v>1977.5</v>
      </c>
      <c r="C1480">
        <v>1968.25</v>
      </c>
      <c r="D1480">
        <v>2034</v>
      </c>
      <c r="E1480" s="136">
        <v>41160</v>
      </c>
      <c r="F1480">
        <v>25.308</v>
      </c>
      <c r="G1480">
        <v>25.227</v>
      </c>
      <c r="H1480">
        <v>27.184999999999999</v>
      </c>
      <c r="I1480" s="136">
        <v>41160</v>
      </c>
      <c r="J1480">
        <v>39.04</v>
      </c>
      <c r="K1480">
        <v>39</v>
      </c>
      <c r="L1480">
        <v>39.53</v>
      </c>
    </row>
    <row r="1481" spans="1:12">
      <c r="A1481" s="136">
        <v>41161</v>
      </c>
      <c r="B1481">
        <v>1977.5</v>
      </c>
      <c r="C1481">
        <v>1968.25</v>
      </c>
      <c r="D1481">
        <v>2034</v>
      </c>
      <c r="E1481" s="136">
        <v>41161</v>
      </c>
      <c r="F1481">
        <v>25.308</v>
      </c>
      <c r="G1481">
        <v>25.227</v>
      </c>
      <c r="H1481">
        <v>27.184999999999999</v>
      </c>
      <c r="I1481" s="136">
        <v>41161</v>
      </c>
      <c r="J1481">
        <v>39.04</v>
      </c>
      <c r="K1481">
        <v>39</v>
      </c>
      <c r="L1481">
        <v>39.53</v>
      </c>
    </row>
    <row r="1482" spans="1:12">
      <c r="A1482" s="136">
        <v>41162</v>
      </c>
      <c r="B1482">
        <v>2020</v>
      </c>
      <c r="C1482">
        <v>2020</v>
      </c>
      <c r="D1482">
        <v>2065</v>
      </c>
      <c r="E1482" s="136">
        <v>41162</v>
      </c>
      <c r="F1482">
        <v>26.635999999999999</v>
      </c>
      <c r="G1482">
        <v>26.474</v>
      </c>
      <c r="H1482">
        <v>27.734000000000002</v>
      </c>
      <c r="I1482" s="136">
        <v>41162</v>
      </c>
      <c r="J1482">
        <v>39.229999999999997</v>
      </c>
      <c r="K1482">
        <v>38.729999999999997</v>
      </c>
      <c r="L1482">
        <v>39.78</v>
      </c>
    </row>
    <row r="1483" spans="1:12">
      <c r="A1483" s="136">
        <v>41163</v>
      </c>
      <c r="B1483">
        <v>2060</v>
      </c>
      <c r="C1483">
        <v>2036</v>
      </c>
      <c r="D1483">
        <v>2080.1999999999998</v>
      </c>
      <c r="E1483" s="136">
        <v>41163</v>
      </c>
      <c r="F1483">
        <v>26.815000000000001</v>
      </c>
      <c r="G1483">
        <v>26.683</v>
      </c>
      <c r="H1483">
        <v>28.228000000000002</v>
      </c>
      <c r="I1483" s="136">
        <v>41163</v>
      </c>
      <c r="J1483">
        <v>38.799999999999997</v>
      </c>
      <c r="K1483">
        <v>38.729900000000001</v>
      </c>
      <c r="L1483">
        <v>39.630000000000003</v>
      </c>
    </row>
    <row r="1484" spans="1:12">
      <c r="A1484" s="136">
        <v>41164</v>
      </c>
      <c r="B1484">
        <v>2069</v>
      </c>
      <c r="C1484">
        <v>2064</v>
      </c>
      <c r="D1484">
        <v>2099</v>
      </c>
      <c r="E1484" s="136">
        <v>41164</v>
      </c>
      <c r="F1484">
        <v>28.164000000000001</v>
      </c>
      <c r="G1484">
        <v>27.742999999999999</v>
      </c>
      <c r="H1484">
        <v>28.925999999999998</v>
      </c>
      <c r="I1484" s="136">
        <v>41164</v>
      </c>
      <c r="J1484">
        <v>39.880000000000003</v>
      </c>
      <c r="K1484">
        <v>39.784999999999997</v>
      </c>
      <c r="L1484">
        <v>40.25</v>
      </c>
    </row>
    <row r="1485" spans="1:12">
      <c r="A1485" s="136">
        <v>41165</v>
      </c>
      <c r="B1485">
        <v>2081.5</v>
      </c>
      <c r="C1485">
        <v>2068</v>
      </c>
      <c r="D1485">
        <v>2123.75</v>
      </c>
      <c r="E1485" s="136">
        <v>41165</v>
      </c>
      <c r="F1485">
        <v>28.091999999999999</v>
      </c>
      <c r="G1485">
        <v>27.257000000000001</v>
      </c>
      <c r="H1485">
        <v>28.253</v>
      </c>
      <c r="I1485" s="136">
        <v>41165</v>
      </c>
      <c r="J1485">
        <v>39.840000000000003</v>
      </c>
      <c r="K1485">
        <v>39.590000000000003</v>
      </c>
      <c r="L1485">
        <v>41.58</v>
      </c>
    </row>
    <row r="1486" spans="1:12">
      <c r="A1486" s="136">
        <v>41166</v>
      </c>
      <c r="B1486">
        <v>2115</v>
      </c>
      <c r="C1486">
        <v>2115</v>
      </c>
      <c r="D1486">
        <v>2200.1999999999998</v>
      </c>
      <c r="E1486" s="136">
        <v>41166</v>
      </c>
      <c r="F1486">
        <v>28.177</v>
      </c>
      <c r="G1486">
        <v>28.045000000000002</v>
      </c>
      <c r="H1486">
        <v>28.913</v>
      </c>
      <c r="I1486" s="136">
        <v>41166</v>
      </c>
      <c r="J1486">
        <v>41.96</v>
      </c>
      <c r="K1486">
        <v>41.23</v>
      </c>
      <c r="L1486">
        <v>42.09</v>
      </c>
    </row>
    <row r="1487" spans="1:12">
      <c r="A1487" s="136">
        <v>41167</v>
      </c>
      <c r="B1487">
        <v>2115</v>
      </c>
      <c r="C1487">
        <v>2115</v>
      </c>
      <c r="D1487">
        <v>2200.1999999999998</v>
      </c>
      <c r="E1487" s="136">
        <v>41167</v>
      </c>
      <c r="F1487">
        <v>28.177</v>
      </c>
      <c r="G1487">
        <v>28.045000000000002</v>
      </c>
      <c r="H1487">
        <v>28.913</v>
      </c>
      <c r="I1487" s="136">
        <v>41167</v>
      </c>
      <c r="J1487">
        <v>41.96</v>
      </c>
      <c r="K1487">
        <v>41.23</v>
      </c>
      <c r="L1487">
        <v>42.09</v>
      </c>
    </row>
    <row r="1488" spans="1:12">
      <c r="A1488" s="136">
        <v>41168</v>
      </c>
      <c r="B1488">
        <v>2115</v>
      </c>
      <c r="C1488">
        <v>2115</v>
      </c>
      <c r="D1488">
        <v>2200.1999999999998</v>
      </c>
      <c r="E1488" s="136">
        <v>41168</v>
      </c>
      <c r="F1488">
        <v>28.177</v>
      </c>
      <c r="G1488">
        <v>28.045000000000002</v>
      </c>
      <c r="H1488">
        <v>28.913</v>
      </c>
      <c r="I1488" s="136">
        <v>41168</v>
      </c>
      <c r="J1488">
        <v>41.96</v>
      </c>
      <c r="K1488">
        <v>41.23</v>
      </c>
      <c r="L1488">
        <v>42.09</v>
      </c>
    </row>
    <row r="1489" spans="1:12">
      <c r="A1489" s="136">
        <v>41169</v>
      </c>
      <c r="B1489">
        <v>2190</v>
      </c>
      <c r="C1489">
        <v>2156.5</v>
      </c>
      <c r="D1489">
        <v>2190</v>
      </c>
      <c r="E1489" s="136">
        <v>41169</v>
      </c>
      <c r="F1489">
        <v>28.347000000000001</v>
      </c>
      <c r="G1489">
        <v>28.286999999999999</v>
      </c>
      <c r="H1489">
        <v>29.053000000000001</v>
      </c>
      <c r="I1489" s="136">
        <v>41169</v>
      </c>
      <c r="J1489">
        <v>41</v>
      </c>
      <c r="K1489">
        <v>40.950000000000003</v>
      </c>
      <c r="L1489">
        <v>41.44</v>
      </c>
    </row>
    <row r="1490" spans="1:12">
      <c r="A1490" s="136">
        <v>41170</v>
      </c>
      <c r="B1490">
        <v>2156</v>
      </c>
      <c r="C1490">
        <v>2141</v>
      </c>
      <c r="D1490">
        <v>2176.5</v>
      </c>
      <c r="E1490" s="136">
        <v>41170</v>
      </c>
      <c r="F1490">
        <v>28.904</v>
      </c>
      <c r="G1490">
        <v>27.524999999999999</v>
      </c>
      <c r="H1490">
        <v>28.904</v>
      </c>
      <c r="I1490" s="136">
        <v>41170</v>
      </c>
      <c r="J1490">
        <v>41.05</v>
      </c>
      <c r="K1490">
        <v>40.659999999999997</v>
      </c>
      <c r="L1490">
        <v>41.33</v>
      </c>
    </row>
    <row r="1491" spans="1:12">
      <c r="A1491" s="136">
        <v>41171</v>
      </c>
      <c r="B1491">
        <v>2153.75</v>
      </c>
      <c r="C1491">
        <v>2129</v>
      </c>
      <c r="D1491">
        <v>2185.25</v>
      </c>
      <c r="E1491" s="136">
        <v>41171</v>
      </c>
      <c r="F1491">
        <v>27.802</v>
      </c>
      <c r="G1491">
        <v>27.283000000000001</v>
      </c>
      <c r="H1491">
        <v>28.167999999999999</v>
      </c>
      <c r="I1491" s="136">
        <v>41171</v>
      </c>
      <c r="J1491">
        <v>41.33</v>
      </c>
      <c r="K1491">
        <v>41.04</v>
      </c>
      <c r="L1491">
        <v>41.76</v>
      </c>
    </row>
    <row r="1492" spans="1:12">
      <c r="A1492" s="136">
        <v>41172</v>
      </c>
      <c r="B1492">
        <v>2135</v>
      </c>
      <c r="C1492">
        <v>2100</v>
      </c>
      <c r="D1492">
        <v>2139.75</v>
      </c>
      <c r="E1492" s="136">
        <v>41172</v>
      </c>
      <c r="F1492">
        <v>27.827999999999999</v>
      </c>
      <c r="G1492">
        <v>26.942</v>
      </c>
      <c r="H1492">
        <v>28.032</v>
      </c>
      <c r="I1492" s="136">
        <v>41172</v>
      </c>
      <c r="J1492">
        <v>40.96</v>
      </c>
      <c r="K1492">
        <v>40.549999999999997</v>
      </c>
      <c r="L1492">
        <v>41.28</v>
      </c>
    </row>
    <row r="1493" spans="1:12">
      <c r="A1493" s="136">
        <v>41173</v>
      </c>
      <c r="B1493">
        <v>2105</v>
      </c>
      <c r="C1493">
        <v>2101</v>
      </c>
      <c r="D1493">
        <v>2128</v>
      </c>
      <c r="E1493" s="136">
        <v>41173</v>
      </c>
      <c r="F1493">
        <v>27.666</v>
      </c>
      <c r="G1493">
        <v>27.597999999999999</v>
      </c>
      <c r="H1493">
        <v>28.513000000000002</v>
      </c>
      <c r="I1493" s="136">
        <v>41173</v>
      </c>
      <c r="J1493">
        <v>41.53</v>
      </c>
      <c r="K1493">
        <v>40.770000000000003</v>
      </c>
      <c r="L1493">
        <v>41.7</v>
      </c>
    </row>
    <row r="1494" spans="1:12">
      <c r="A1494" s="136">
        <v>41174</v>
      </c>
      <c r="B1494">
        <v>2105</v>
      </c>
      <c r="C1494">
        <v>2101</v>
      </c>
      <c r="D1494">
        <v>2128</v>
      </c>
      <c r="E1494" s="136">
        <v>41174</v>
      </c>
      <c r="F1494">
        <v>27.666</v>
      </c>
      <c r="G1494">
        <v>27.597999999999999</v>
      </c>
      <c r="H1494">
        <v>28.513000000000002</v>
      </c>
      <c r="I1494" s="136">
        <v>41174</v>
      </c>
      <c r="J1494">
        <v>41.53</v>
      </c>
      <c r="K1494">
        <v>40.770000000000003</v>
      </c>
      <c r="L1494">
        <v>41.7</v>
      </c>
    </row>
    <row r="1495" spans="1:12">
      <c r="A1495" s="136">
        <v>41175</v>
      </c>
      <c r="B1495">
        <v>2105</v>
      </c>
      <c r="C1495">
        <v>2101</v>
      </c>
      <c r="D1495">
        <v>2128</v>
      </c>
      <c r="E1495" s="136">
        <v>41175</v>
      </c>
      <c r="F1495">
        <v>27.666</v>
      </c>
      <c r="G1495">
        <v>27.597999999999999</v>
      </c>
      <c r="H1495">
        <v>28.513000000000002</v>
      </c>
      <c r="I1495" s="136">
        <v>41175</v>
      </c>
      <c r="J1495">
        <v>41.53</v>
      </c>
      <c r="K1495">
        <v>40.770000000000003</v>
      </c>
      <c r="L1495">
        <v>41.7</v>
      </c>
    </row>
    <row r="1496" spans="1:12">
      <c r="A1496" s="136">
        <v>41176</v>
      </c>
      <c r="B1496">
        <v>2113.25</v>
      </c>
      <c r="C1496">
        <v>2072</v>
      </c>
      <c r="D1496">
        <v>2113.25</v>
      </c>
      <c r="E1496" s="136">
        <v>41176</v>
      </c>
      <c r="F1496">
        <v>27.920999999999999</v>
      </c>
      <c r="G1496">
        <v>27.478999999999999</v>
      </c>
      <c r="H1496">
        <v>28.079000000000001</v>
      </c>
      <c r="I1496" s="136">
        <v>41176</v>
      </c>
      <c r="J1496">
        <v>40.61</v>
      </c>
      <c r="K1496">
        <v>40.590000000000003</v>
      </c>
      <c r="L1496">
        <v>41.47</v>
      </c>
    </row>
    <row r="1497" spans="1:12">
      <c r="A1497" s="136">
        <v>41177</v>
      </c>
      <c r="B1497">
        <v>2084</v>
      </c>
      <c r="C1497">
        <v>2080</v>
      </c>
      <c r="D1497">
        <v>2111</v>
      </c>
      <c r="E1497" s="136">
        <v>41177</v>
      </c>
      <c r="F1497">
        <v>27.913</v>
      </c>
      <c r="G1497">
        <v>27.381</v>
      </c>
      <c r="H1497">
        <v>28.045000000000002</v>
      </c>
      <c r="I1497" s="136">
        <v>41177</v>
      </c>
      <c r="J1497">
        <v>41.55</v>
      </c>
      <c r="K1497">
        <v>40.53</v>
      </c>
      <c r="L1497">
        <v>41.55</v>
      </c>
    </row>
    <row r="1498" spans="1:12">
      <c r="A1498" s="136">
        <v>41178</v>
      </c>
      <c r="B1498">
        <v>2095</v>
      </c>
      <c r="C1498">
        <v>2062.75</v>
      </c>
      <c r="D1498">
        <v>2099.25</v>
      </c>
      <c r="E1498" s="136">
        <v>41178</v>
      </c>
      <c r="F1498">
        <v>27.507999999999999</v>
      </c>
      <c r="G1498">
        <v>26.01</v>
      </c>
      <c r="H1498">
        <v>27.53</v>
      </c>
      <c r="I1498" s="136">
        <v>41178</v>
      </c>
      <c r="J1498">
        <v>40.15</v>
      </c>
      <c r="K1498">
        <v>39.700000000000003</v>
      </c>
      <c r="L1498">
        <v>40.625</v>
      </c>
    </row>
    <row r="1499" spans="1:12">
      <c r="A1499" s="136">
        <v>41179</v>
      </c>
      <c r="B1499">
        <v>2081</v>
      </c>
      <c r="C1499">
        <v>2072</v>
      </c>
      <c r="D1499">
        <v>2113</v>
      </c>
      <c r="E1499" s="136">
        <v>41179</v>
      </c>
      <c r="F1499">
        <v>26.323</v>
      </c>
      <c r="G1499">
        <v>25.904</v>
      </c>
      <c r="H1499">
        <v>26.785</v>
      </c>
      <c r="I1499" s="136">
        <v>41179</v>
      </c>
      <c r="J1499">
        <v>40.4</v>
      </c>
      <c r="K1499">
        <v>40.21</v>
      </c>
      <c r="L1499">
        <v>40.99</v>
      </c>
    </row>
    <row r="1500" spans="1:12">
      <c r="A1500" s="136">
        <v>41180</v>
      </c>
      <c r="B1500">
        <v>2109</v>
      </c>
      <c r="C1500">
        <v>2105</v>
      </c>
      <c r="D1500">
        <v>2136</v>
      </c>
      <c r="E1500" s="136">
        <v>41180</v>
      </c>
      <c r="F1500">
        <v>26.87</v>
      </c>
      <c r="G1500">
        <v>26.094999999999999</v>
      </c>
      <c r="H1500">
        <v>26.882999999999999</v>
      </c>
      <c r="I1500" s="136">
        <v>41180</v>
      </c>
      <c r="J1500">
        <v>40.42</v>
      </c>
      <c r="K1500">
        <v>40.159999999999997</v>
      </c>
      <c r="L1500">
        <v>40.630000000000003</v>
      </c>
    </row>
    <row r="1501" spans="1:12">
      <c r="A1501" s="136">
        <v>41181</v>
      </c>
      <c r="B1501">
        <v>2109</v>
      </c>
      <c r="C1501">
        <v>2105</v>
      </c>
      <c r="D1501">
        <v>2136</v>
      </c>
      <c r="E1501" s="136">
        <v>41181</v>
      </c>
      <c r="F1501">
        <v>26.87</v>
      </c>
      <c r="G1501">
        <v>26.094999999999999</v>
      </c>
      <c r="H1501">
        <v>26.882999999999999</v>
      </c>
      <c r="I1501" s="136">
        <v>41181</v>
      </c>
      <c r="J1501">
        <v>40.42</v>
      </c>
      <c r="K1501">
        <v>40.159999999999997</v>
      </c>
      <c r="L1501">
        <v>40.630000000000003</v>
      </c>
    </row>
    <row r="1502" spans="1:12">
      <c r="A1502" s="136">
        <v>41182</v>
      </c>
      <c r="B1502">
        <v>2109</v>
      </c>
      <c r="C1502">
        <v>2105</v>
      </c>
      <c r="D1502">
        <v>2136</v>
      </c>
      <c r="E1502" s="136">
        <v>41182</v>
      </c>
      <c r="F1502">
        <v>26.87</v>
      </c>
      <c r="G1502">
        <v>26.094999999999999</v>
      </c>
      <c r="H1502">
        <v>26.882999999999999</v>
      </c>
      <c r="I1502" s="136">
        <v>41182</v>
      </c>
      <c r="J1502">
        <v>40.42</v>
      </c>
      <c r="K1502">
        <v>40.159999999999997</v>
      </c>
      <c r="L1502">
        <v>40.630000000000003</v>
      </c>
    </row>
    <row r="1503" spans="1:12">
      <c r="A1503" s="136">
        <v>41183</v>
      </c>
      <c r="B1503">
        <v>2105</v>
      </c>
      <c r="C1503">
        <v>2078.75</v>
      </c>
      <c r="D1503">
        <v>2134</v>
      </c>
      <c r="E1503" s="136">
        <v>41183</v>
      </c>
      <c r="F1503">
        <v>26.184999999999999</v>
      </c>
      <c r="G1503">
        <v>25.972000000000001</v>
      </c>
      <c r="H1503">
        <v>26.908000000000001</v>
      </c>
      <c r="I1503" s="136">
        <v>41183</v>
      </c>
      <c r="J1503">
        <v>40.880000000000003</v>
      </c>
      <c r="K1503">
        <v>40.799999999999997</v>
      </c>
      <c r="L1503">
        <v>41.5</v>
      </c>
    </row>
    <row r="1504" spans="1:12">
      <c r="A1504" s="136">
        <v>41184</v>
      </c>
      <c r="B1504">
        <v>2130</v>
      </c>
      <c r="C1504">
        <v>2100.75</v>
      </c>
      <c r="D1504">
        <v>2140</v>
      </c>
      <c r="E1504" s="136">
        <v>41184</v>
      </c>
      <c r="F1504">
        <v>26.721</v>
      </c>
      <c r="G1504">
        <v>26.457000000000001</v>
      </c>
      <c r="H1504">
        <v>27.486999999999998</v>
      </c>
      <c r="I1504" s="136">
        <v>41184</v>
      </c>
      <c r="J1504">
        <v>41.14</v>
      </c>
      <c r="K1504">
        <v>40.56</v>
      </c>
      <c r="L1504">
        <v>41.24</v>
      </c>
    </row>
    <row r="1505" spans="1:12">
      <c r="A1505" s="136">
        <v>41185</v>
      </c>
      <c r="B1505">
        <v>2102</v>
      </c>
      <c r="C1505">
        <v>2090</v>
      </c>
      <c r="D1505">
        <v>2108.25</v>
      </c>
      <c r="E1505" s="136">
        <v>41185</v>
      </c>
      <c r="F1505">
        <v>26.798000000000002</v>
      </c>
      <c r="G1505">
        <v>26.734000000000002</v>
      </c>
      <c r="H1505">
        <v>27.597999999999999</v>
      </c>
      <c r="I1505" s="136">
        <v>41185</v>
      </c>
      <c r="J1505">
        <v>40.83</v>
      </c>
      <c r="K1505">
        <v>40.42</v>
      </c>
      <c r="L1505">
        <v>41</v>
      </c>
    </row>
    <row r="1506" spans="1:12">
      <c r="A1506" s="136">
        <v>41186</v>
      </c>
      <c r="B1506">
        <v>2095</v>
      </c>
      <c r="C1506">
        <v>2087</v>
      </c>
      <c r="D1506">
        <v>2129.75</v>
      </c>
      <c r="E1506" s="136">
        <v>41186</v>
      </c>
      <c r="F1506">
        <v>27.619</v>
      </c>
      <c r="G1506">
        <v>27.279</v>
      </c>
      <c r="H1506">
        <v>27.835999999999999</v>
      </c>
      <c r="I1506" s="136">
        <v>41186</v>
      </c>
      <c r="J1506">
        <v>41.16</v>
      </c>
      <c r="K1506">
        <v>40.909999999999997</v>
      </c>
      <c r="L1506">
        <v>41.987099999999998</v>
      </c>
    </row>
    <row r="1507" spans="1:12">
      <c r="A1507" s="136">
        <v>41187</v>
      </c>
      <c r="B1507">
        <v>2120</v>
      </c>
      <c r="C1507">
        <v>2096</v>
      </c>
      <c r="D1507">
        <v>2125</v>
      </c>
      <c r="E1507" s="136">
        <v>41187</v>
      </c>
      <c r="F1507">
        <v>27.683</v>
      </c>
      <c r="G1507">
        <v>27.550999999999998</v>
      </c>
      <c r="H1507">
        <v>28.113</v>
      </c>
      <c r="I1507" s="136">
        <v>41187</v>
      </c>
      <c r="J1507">
        <v>42.04</v>
      </c>
      <c r="K1507">
        <v>41.46</v>
      </c>
      <c r="L1507">
        <v>42.44</v>
      </c>
    </row>
    <row r="1508" spans="1:12">
      <c r="A1508" s="136">
        <v>41188</v>
      </c>
      <c r="B1508">
        <v>2120</v>
      </c>
      <c r="C1508">
        <v>2096</v>
      </c>
      <c r="D1508">
        <v>2125</v>
      </c>
      <c r="E1508" s="136">
        <v>41188</v>
      </c>
      <c r="F1508">
        <v>27.683</v>
      </c>
      <c r="G1508">
        <v>27.550999999999998</v>
      </c>
      <c r="H1508">
        <v>28.113</v>
      </c>
      <c r="I1508" s="136">
        <v>41188</v>
      </c>
      <c r="J1508">
        <v>42.04</v>
      </c>
      <c r="K1508">
        <v>41.46</v>
      </c>
      <c r="L1508">
        <v>42.44</v>
      </c>
    </row>
    <row r="1509" spans="1:12">
      <c r="A1509" s="136">
        <v>41189</v>
      </c>
      <c r="B1509">
        <v>2120</v>
      </c>
      <c r="C1509">
        <v>2096</v>
      </c>
      <c r="D1509">
        <v>2125</v>
      </c>
      <c r="E1509" s="136">
        <v>41189</v>
      </c>
      <c r="F1509">
        <v>27.683</v>
      </c>
      <c r="G1509">
        <v>27.550999999999998</v>
      </c>
      <c r="H1509">
        <v>28.113</v>
      </c>
      <c r="I1509" s="136">
        <v>41189</v>
      </c>
      <c r="J1509">
        <v>42.04</v>
      </c>
      <c r="K1509">
        <v>41.46</v>
      </c>
      <c r="L1509">
        <v>42.44</v>
      </c>
    </row>
    <row r="1510" spans="1:12">
      <c r="A1510" s="136">
        <v>41190</v>
      </c>
      <c r="B1510">
        <v>2100.25</v>
      </c>
      <c r="C1510">
        <v>2071</v>
      </c>
      <c r="D1510">
        <v>2105</v>
      </c>
      <c r="E1510" s="136">
        <v>41190</v>
      </c>
      <c r="F1510">
        <v>27.550999999999998</v>
      </c>
      <c r="G1510">
        <v>27.231999999999999</v>
      </c>
      <c r="H1510">
        <v>27.704999999999998</v>
      </c>
      <c r="I1510" s="136">
        <v>41190</v>
      </c>
      <c r="J1510">
        <v>41.33</v>
      </c>
      <c r="K1510">
        <v>41.11</v>
      </c>
      <c r="L1510">
        <v>41.84</v>
      </c>
    </row>
    <row r="1511" spans="1:12">
      <c r="A1511" s="136">
        <v>41191</v>
      </c>
      <c r="B1511">
        <v>2084</v>
      </c>
      <c r="C1511">
        <v>2044</v>
      </c>
      <c r="D1511">
        <v>2089</v>
      </c>
      <c r="E1511" s="136">
        <v>41191</v>
      </c>
      <c r="F1511">
        <v>27.350999999999999</v>
      </c>
      <c r="G1511">
        <v>26.818999999999999</v>
      </c>
      <c r="H1511">
        <v>27.478999999999999</v>
      </c>
      <c r="I1511" s="136">
        <v>41191</v>
      </c>
      <c r="J1511">
        <v>41.77</v>
      </c>
      <c r="K1511">
        <v>41.3</v>
      </c>
      <c r="L1511">
        <v>41.95</v>
      </c>
    </row>
    <row r="1512" spans="1:12">
      <c r="A1512" s="136">
        <v>41192</v>
      </c>
      <c r="B1512">
        <v>2050</v>
      </c>
      <c r="C1512">
        <v>2002.25</v>
      </c>
      <c r="D1512">
        <v>2051.25</v>
      </c>
      <c r="E1512" s="136">
        <v>41192</v>
      </c>
      <c r="F1512">
        <v>26.934000000000001</v>
      </c>
      <c r="G1512">
        <v>26.754999999999999</v>
      </c>
      <c r="H1512">
        <v>27.462</v>
      </c>
      <c r="I1512" s="136">
        <v>41192</v>
      </c>
      <c r="J1512">
        <v>41.55</v>
      </c>
      <c r="K1512">
        <v>41.33</v>
      </c>
      <c r="L1512">
        <v>42</v>
      </c>
    </row>
    <row r="1513" spans="1:12">
      <c r="A1513" s="136">
        <v>41193</v>
      </c>
      <c r="B1513">
        <v>2008.75</v>
      </c>
      <c r="C1513">
        <v>1993</v>
      </c>
      <c r="D1513">
        <v>2026.5</v>
      </c>
      <c r="E1513" s="136">
        <v>41193</v>
      </c>
      <c r="F1513">
        <v>27.07</v>
      </c>
      <c r="G1513">
        <v>26.975999999999999</v>
      </c>
      <c r="H1513">
        <v>28.33</v>
      </c>
      <c r="I1513" s="136">
        <v>41193</v>
      </c>
      <c r="J1513">
        <v>42.37</v>
      </c>
      <c r="K1513">
        <v>41.85</v>
      </c>
      <c r="L1513">
        <v>42.64</v>
      </c>
    </row>
    <row r="1514" spans="1:12">
      <c r="A1514" s="136">
        <v>41194</v>
      </c>
      <c r="B1514">
        <v>2018</v>
      </c>
      <c r="C1514">
        <v>1983.2</v>
      </c>
      <c r="D1514">
        <v>2021.5</v>
      </c>
      <c r="E1514" s="136">
        <v>41194</v>
      </c>
      <c r="F1514">
        <v>28.04</v>
      </c>
      <c r="G1514">
        <v>27.564</v>
      </c>
      <c r="H1514">
        <v>28.652999999999999</v>
      </c>
      <c r="I1514" s="136">
        <v>41194</v>
      </c>
      <c r="J1514">
        <v>41.6</v>
      </c>
      <c r="K1514">
        <v>41.15</v>
      </c>
      <c r="L1514">
        <v>42.43</v>
      </c>
    </row>
    <row r="1515" spans="1:12">
      <c r="A1515" s="136">
        <v>41195</v>
      </c>
      <c r="B1515">
        <v>2018</v>
      </c>
      <c r="C1515">
        <v>1983.2</v>
      </c>
      <c r="D1515">
        <v>2021.5</v>
      </c>
      <c r="E1515" s="136">
        <v>41195</v>
      </c>
      <c r="F1515">
        <v>28.04</v>
      </c>
      <c r="G1515">
        <v>27.564</v>
      </c>
      <c r="H1515">
        <v>28.652999999999999</v>
      </c>
      <c r="I1515" s="136">
        <v>41195</v>
      </c>
      <c r="J1515">
        <v>41.6</v>
      </c>
      <c r="K1515">
        <v>41.15</v>
      </c>
      <c r="L1515">
        <v>42.43</v>
      </c>
    </row>
    <row r="1516" spans="1:12">
      <c r="A1516" s="136">
        <v>41196</v>
      </c>
      <c r="B1516">
        <v>2018</v>
      </c>
      <c r="C1516">
        <v>1983.2</v>
      </c>
      <c r="D1516">
        <v>2021.5</v>
      </c>
      <c r="E1516" s="136">
        <v>41196</v>
      </c>
      <c r="F1516">
        <v>28.04</v>
      </c>
      <c r="G1516">
        <v>27.564</v>
      </c>
      <c r="H1516">
        <v>28.652999999999999</v>
      </c>
      <c r="I1516" s="136">
        <v>41196</v>
      </c>
      <c r="J1516">
        <v>41.6</v>
      </c>
      <c r="K1516">
        <v>41.15</v>
      </c>
      <c r="L1516">
        <v>42.43</v>
      </c>
    </row>
    <row r="1517" spans="1:12">
      <c r="A1517" s="136">
        <v>41197</v>
      </c>
      <c r="B1517">
        <v>1985</v>
      </c>
      <c r="C1517">
        <v>1962.25</v>
      </c>
      <c r="D1517">
        <v>1994</v>
      </c>
      <c r="E1517" s="136">
        <v>41197</v>
      </c>
      <c r="F1517">
        <v>27.696000000000002</v>
      </c>
      <c r="G1517">
        <v>27.581</v>
      </c>
      <c r="H1517">
        <v>28.286999999999999</v>
      </c>
      <c r="I1517" s="136">
        <v>41197</v>
      </c>
      <c r="J1517">
        <v>41.91</v>
      </c>
      <c r="K1517">
        <v>41.73</v>
      </c>
      <c r="L1517">
        <v>42.41</v>
      </c>
    </row>
    <row r="1518" spans="1:12">
      <c r="A1518" s="136">
        <v>41198</v>
      </c>
      <c r="B1518">
        <v>1975</v>
      </c>
      <c r="C1518">
        <v>1946</v>
      </c>
      <c r="D1518">
        <v>1985</v>
      </c>
      <c r="E1518" s="136">
        <v>41198</v>
      </c>
      <c r="F1518">
        <v>28.27</v>
      </c>
      <c r="G1518">
        <v>28.193999999999999</v>
      </c>
      <c r="H1518">
        <v>29.454000000000001</v>
      </c>
      <c r="I1518" s="136">
        <v>41198</v>
      </c>
      <c r="J1518">
        <v>42.79</v>
      </c>
      <c r="K1518">
        <v>42.27</v>
      </c>
      <c r="L1518">
        <v>43.11</v>
      </c>
    </row>
    <row r="1519" spans="1:12">
      <c r="A1519" s="136">
        <v>41199</v>
      </c>
      <c r="B1519">
        <v>1968</v>
      </c>
      <c r="C1519">
        <v>1955</v>
      </c>
      <c r="D1519">
        <v>1995.25</v>
      </c>
      <c r="E1519" s="136">
        <v>41199</v>
      </c>
      <c r="F1519">
        <v>29.288</v>
      </c>
      <c r="G1519">
        <v>29.241</v>
      </c>
      <c r="H1519">
        <v>29.824000000000002</v>
      </c>
      <c r="I1519" s="136">
        <v>41199</v>
      </c>
      <c r="J1519">
        <v>42.93</v>
      </c>
      <c r="K1519">
        <v>42.77</v>
      </c>
      <c r="L1519">
        <v>43.54</v>
      </c>
    </row>
    <row r="1520" spans="1:12">
      <c r="A1520" s="136">
        <v>41200</v>
      </c>
      <c r="B1520">
        <v>1990</v>
      </c>
      <c r="C1520">
        <v>1979</v>
      </c>
      <c r="D1520">
        <v>2015.25</v>
      </c>
      <c r="E1520" s="136">
        <v>41200</v>
      </c>
      <c r="F1520">
        <v>29.649000000000001</v>
      </c>
      <c r="G1520">
        <v>29.495999999999999</v>
      </c>
      <c r="H1520">
        <v>30.518000000000001</v>
      </c>
      <c r="I1520" s="136">
        <v>41200</v>
      </c>
      <c r="J1520">
        <v>43.09</v>
      </c>
      <c r="K1520">
        <v>42.75</v>
      </c>
      <c r="L1520">
        <v>43.35</v>
      </c>
    </row>
    <row r="1521" spans="1:12">
      <c r="A1521" s="136">
        <v>41201</v>
      </c>
      <c r="B1521">
        <v>2011</v>
      </c>
      <c r="C1521">
        <v>1965</v>
      </c>
      <c r="D1521">
        <v>2016.5</v>
      </c>
      <c r="E1521" s="136">
        <v>41201</v>
      </c>
      <c r="F1521">
        <v>30.169</v>
      </c>
      <c r="G1521">
        <v>29.048999999999999</v>
      </c>
      <c r="H1521">
        <v>30.347000000000001</v>
      </c>
      <c r="I1521" s="136">
        <v>41201</v>
      </c>
      <c r="J1521">
        <v>42.8</v>
      </c>
      <c r="K1521">
        <v>42.06</v>
      </c>
      <c r="L1521">
        <v>42.82</v>
      </c>
    </row>
    <row r="1522" spans="1:12">
      <c r="A1522" s="136">
        <v>41202</v>
      </c>
      <c r="B1522">
        <v>2011</v>
      </c>
      <c r="C1522">
        <v>1965</v>
      </c>
      <c r="D1522">
        <v>2016.5</v>
      </c>
      <c r="E1522" s="136">
        <v>41202</v>
      </c>
      <c r="F1522">
        <v>30.169</v>
      </c>
      <c r="G1522">
        <v>29.048999999999999</v>
      </c>
      <c r="H1522">
        <v>30.347000000000001</v>
      </c>
      <c r="I1522" s="136">
        <v>41202</v>
      </c>
      <c r="J1522">
        <v>42.8</v>
      </c>
      <c r="K1522">
        <v>42.06</v>
      </c>
      <c r="L1522">
        <v>42.82</v>
      </c>
    </row>
    <row r="1523" spans="1:12">
      <c r="A1523" s="136">
        <v>41203</v>
      </c>
      <c r="B1523">
        <v>2011</v>
      </c>
      <c r="C1523">
        <v>1965</v>
      </c>
      <c r="D1523">
        <v>2016.5</v>
      </c>
      <c r="E1523" s="136">
        <v>41203</v>
      </c>
      <c r="F1523">
        <v>30.169</v>
      </c>
      <c r="G1523">
        <v>29.048999999999999</v>
      </c>
      <c r="H1523">
        <v>30.347000000000001</v>
      </c>
      <c r="I1523" s="136">
        <v>41203</v>
      </c>
      <c r="J1523">
        <v>42.8</v>
      </c>
      <c r="K1523">
        <v>42.06</v>
      </c>
      <c r="L1523">
        <v>42.82</v>
      </c>
    </row>
    <row r="1524" spans="1:12">
      <c r="A1524" s="136">
        <v>41204</v>
      </c>
      <c r="B1524">
        <v>1966.25</v>
      </c>
      <c r="C1524">
        <v>1951</v>
      </c>
      <c r="D1524">
        <v>1974</v>
      </c>
      <c r="E1524" s="136">
        <v>41204</v>
      </c>
      <c r="F1524">
        <v>28.963999999999999</v>
      </c>
      <c r="G1524">
        <v>28.963999999999999</v>
      </c>
      <c r="H1524">
        <v>29.832000000000001</v>
      </c>
      <c r="I1524" s="136">
        <v>41204</v>
      </c>
      <c r="J1524">
        <v>42.25</v>
      </c>
      <c r="K1524">
        <v>41.5</v>
      </c>
      <c r="L1524">
        <v>42.52</v>
      </c>
    </row>
    <row r="1525" spans="1:12">
      <c r="A1525" s="136">
        <v>41205</v>
      </c>
      <c r="B1525">
        <v>1970</v>
      </c>
      <c r="C1525">
        <v>1929</v>
      </c>
      <c r="D1525">
        <v>1974.75</v>
      </c>
      <c r="E1525" s="136">
        <v>41205</v>
      </c>
      <c r="F1525">
        <v>29.495999999999999</v>
      </c>
      <c r="G1525">
        <v>28.295999999999999</v>
      </c>
      <c r="H1525">
        <v>29.666</v>
      </c>
      <c r="I1525" s="136">
        <v>41205</v>
      </c>
      <c r="J1525">
        <v>41.47</v>
      </c>
      <c r="K1525">
        <v>41.05</v>
      </c>
      <c r="L1525">
        <v>41.74</v>
      </c>
    </row>
    <row r="1526" spans="1:12">
      <c r="A1526" s="136">
        <v>41206</v>
      </c>
      <c r="B1526">
        <v>1953.5</v>
      </c>
      <c r="C1526">
        <v>1925</v>
      </c>
      <c r="D1526">
        <v>1954</v>
      </c>
      <c r="E1526" s="136">
        <v>41206</v>
      </c>
      <c r="F1526">
        <v>28.777000000000001</v>
      </c>
      <c r="G1526">
        <v>27.994</v>
      </c>
      <c r="H1526">
        <v>28.798000000000002</v>
      </c>
      <c r="I1526" s="136">
        <v>41206</v>
      </c>
      <c r="J1526">
        <v>41.68</v>
      </c>
      <c r="K1526">
        <v>41.34</v>
      </c>
      <c r="L1526">
        <v>41.875</v>
      </c>
    </row>
    <row r="1527" spans="1:12">
      <c r="A1527" s="136">
        <v>41207</v>
      </c>
      <c r="B1527">
        <v>1945</v>
      </c>
      <c r="C1527">
        <v>1930</v>
      </c>
      <c r="D1527">
        <v>1954</v>
      </c>
      <c r="E1527" s="136">
        <v>41207</v>
      </c>
      <c r="F1527">
        <v>28.568000000000001</v>
      </c>
      <c r="G1527">
        <v>28.238</v>
      </c>
      <c r="H1527">
        <v>29.181000000000001</v>
      </c>
      <c r="I1527" s="136">
        <v>41207</v>
      </c>
      <c r="J1527">
        <v>42.24</v>
      </c>
      <c r="K1527">
        <v>41.4</v>
      </c>
      <c r="L1527">
        <v>42.28</v>
      </c>
    </row>
    <row r="1528" spans="1:12">
      <c r="A1528" s="136">
        <v>41208</v>
      </c>
      <c r="B1528">
        <v>1942</v>
      </c>
      <c r="C1528">
        <v>1920</v>
      </c>
      <c r="D1528">
        <v>1946</v>
      </c>
      <c r="E1528" s="136">
        <v>41208</v>
      </c>
      <c r="F1528">
        <v>28.385000000000002</v>
      </c>
      <c r="G1528">
        <v>28.015000000000001</v>
      </c>
      <c r="H1528">
        <v>28.798000000000002</v>
      </c>
      <c r="I1528" s="136">
        <v>41208</v>
      </c>
      <c r="J1528">
        <v>41.42</v>
      </c>
      <c r="K1528">
        <v>40.869999999999997</v>
      </c>
      <c r="L1528">
        <v>41.662399999999998</v>
      </c>
    </row>
    <row r="1529" spans="1:12">
      <c r="A1529" s="136">
        <v>41209</v>
      </c>
      <c r="B1529">
        <v>1942</v>
      </c>
      <c r="C1529">
        <v>1920</v>
      </c>
      <c r="D1529">
        <v>1946</v>
      </c>
      <c r="E1529" s="136">
        <v>41209</v>
      </c>
      <c r="F1529">
        <v>28.385000000000002</v>
      </c>
      <c r="G1529">
        <v>28.015000000000001</v>
      </c>
      <c r="H1529">
        <v>28.798000000000002</v>
      </c>
      <c r="I1529" s="136">
        <v>41209</v>
      </c>
      <c r="J1529">
        <v>41.42</v>
      </c>
      <c r="K1529">
        <v>40.869999999999997</v>
      </c>
      <c r="L1529">
        <v>41.662399999999998</v>
      </c>
    </row>
    <row r="1530" spans="1:12">
      <c r="A1530" s="136">
        <v>41210</v>
      </c>
      <c r="B1530">
        <v>1942</v>
      </c>
      <c r="C1530">
        <v>1920</v>
      </c>
      <c r="D1530">
        <v>1946</v>
      </c>
      <c r="E1530" s="136">
        <v>41210</v>
      </c>
      <c r="F1530">
        <v>28.385000000000002</v>
      </c>
      <c r="G1530">
        <v>28.015000000000001</v>
      </c>
      <c r="H1530">
        <v>28.798000000000002</v>
      </c>
      <c r="I1530" s="136">
        <v>41210</v>
      </c>
      <c r="J1530">
        <v>41.42</v>
      </c>
      <c r="K1530">
        <v>40.869999999999997</v>
      </c>
      <c r="L1530">
        <v>41.662399999999998</v>
      </c>
    </row>
    <row r="1531" spans="1:12">
      <c r="A1531" s="136">
        <v>41211</v>
      </c>
      <c r="B1531">
        <v>1924.75</v>
      </c>
      <c r="C1531">
        <v>1887</v>
      </c>
      <c r="D1531">
        <v>1932.25</v>
      </c>
      <c r="E1531" s="136">
        <v>41211</v>
      </c>
      <c r="F1531">
        <v>28.547000000000001</v>
      </c>
      <c r="G1531">
        <v>28.117000000000001</v>
      </c>
      <c r="H1531">
        <v>28.763999999999999</v>
      </c>
      <c r="I1531" s="136">
        <v>41211</v>
      </c>
      <c r="J1531">
        <v>41.42</v>
      </c>
      <c r="K1531">
        <v>40.869999999999997</v>
      </c>
      <c r="L1531">
        <v>41.662399999999998</v>
      </c>
    </row>
    <row r="1532" spans="1:12">
      <c r="A1532" s="136">
        <v>41212</v>
      </c>
      <c r="B1532">
        <v>1897</v>
      </c>
      <c r="C1532">
        <v>1889</v>
      </c>
      <c r="D1532">
        <v>1923</v>
      </c>
      <c r="E1532" s="136">
        <v>41212</v>
      </c>
      <c r="F1532">
        <v>28.652999999999999</v>
      </c>
      <c r="G1532">
        <v>28.576999999999998</v>
      </c>
      <c r="H1532">
        <v>29.623999999999999</v>
      </c>
      <c r="I1532" s="136">
        <v>41212</v>
      </c>
      <c r="J1532">
        <v>41.42</v>
      </c>
      <c r="K1532">
        <v>40.869999999999997</v>
      </c>
      <c r="L1532">
        <v>41.662399999999998</v>
      </c>
    </row>
    <row r="1533" spans="1:12">
      <c r="A1533" s="136">
        <v>41213</v>
      </c>
      <c r="B1533">
        <v>1920.75</v>
      </c>
      <c r="C1533">
        <v>1897</v>
      </c>
      <c r="D1533">
        <v>1930.5</v>
      </c>
      <c r="E1533" s="136">
        <v>41213</v>
      </c>
      <c r="F1533">
        <v>29.521999999999998</v>
      </c>
      <c r="G1533">
        <v>29.495999999999999</v>
      </c>
      <c r="H1533">
        <v>30.271999999999998</v>
      </c>
      <c r="I1533" s="136">
        <v>41213</v>
      </c>
      <c r="J1533">
        <v>41.45</v>
      </c>
      <c r="K1533">
        <v>41.15</v>
      </c>
      <c r="L1533">
        <v>41.79</v>
      </c>
    </row>
    <row r="1534" spans="1:12">
      <c r="A1534" s="136">
        <v>41214</v>
      </c>
      <c r="B1534">
        <v>1904</v>
      </c>
      <c r="C1534">
        <v>1904</v>
      </c>
      <c r="D1534">
        <v>1945</v>
      </c>
      <c r="E1534" s="136">
        <v>41214</v>
      </c>
      <c r="F1534">
        <v>29.734000000000002</v>
      </c>
      <c r="G1534">
        <v>29.666</v>
      </c>
      <c r="H1534">
        <v>30.637</v>
      </c>
      <c r="I1534" s="136">
        <v>41214</v>
      </c>
      <c r="J1534">
        <v>41.7</v>
      </c>
      <c r="K1534">
        <v>41.58</v>
      </c>
      <c r="L1534">
        <v>42.9</v>
      </c>
    </row>
    <row r="1535" spans="1:12">
      <c r="A1535" s="136">
        <v>41215</v>
      </c>
      <c r="B1535">
        <v>1940</v>
      </c>
      <c r="C1535">
        <v>1923.75</v>
      </c>
      <c r="D1535">
        <v>1962.75</v>
      </c>
      <c r="E1535" s="136">
        <v>41215</v>
      </c>
      <c r="F1535">
        <v>30.509</v>
      </c>
      <c r="G1535">
        <v>30.122</v>
      </c>
      <c r="H1535">
        <v>30.606999999999999</v>
      </c>
      <c r="I1535" s="136">
        <v>41215</v>
      </c>
      <c r="J1535">
        <v>43.04</v>
      </c>
      <c r="K1535">
        <v>42.33</v>
      </c>
      <c r="L1535">
        <v>43.07</v>
      </c>
    </row>
    <row r="1536" spans="1:12">
      <c r="A1536" s="136">
        <v>41216</v>
      </c>
      <c r="B1536">
        <v>1940</v>
      </c>
      <c r="C1536">
        <v>1923.75</v>
      </c>
      <c r="D1536">
        <v>1962.75</v>
      </c>
      <c r="E1536" s="136">
        <v>41216</v>
      </c>
      <c r="F1536">
        <v>30.509</v>
      </c>
      <c r="G1536">
        <v>30.122</v>
      </c>
      <c r="H1536">
        <v>30.606999999999999</v>
      </c>
      <c r="I1536" s="136">
        <v>41216</v>
      </c>
      <c r="J1536">
        <v>43.04</v>
      </c>
      <c r="K1536">
        <v>42.33</v>
      </c>
      <c r="L1536">
        <v>43.07</v>
      </c>
    </row>
    <row r="1537" spans="1:12">
      <c r="A1537" s="136">
        <v>41217</v>
      </c>
      <c r="B1537">
        <v>1940</v>
      </c>
      <c r="C1537">
        <v>1923.75</v>
      </c>
      <c r="D1537">
        <v>1962.75</v>
      </c>
      <c r="E1537" s="136">
        <v>41217</v>
      </c>
      <c r="F1537">
        <v>30.509</v>
      </c>
      <c r="G1537">
        <v>30.122</v>
      </c>
      <c r="H1537">
        <v>30.606999999999999</v>
      </c>
      <c r="I1537" s="136">
        <v>41217</v>
      </c>
      <c r="J1537">
        <v>43.04</v>
      </c>
      <c r="K1537">
        <v>42.33</v>
      </c>
      <c r="L1537">
        <v>43.07</v>
      </c>
    </row>
    <row r="1538" spans="1:12">
      <c r="A1538" s="136">
        <v>41218</v>
      </c>
      <c r="B1538">
        <v>1928</v>
      </c>
      <c r="C1538">
        <v>1899.6</v>
      </c>
      <c r="D1538">
        <v>1928</v>
      </c>
      <c r="E1538" s="136">
        <v>41218</v>
      </c>
      <c r="F1538">
        <v>29.93</v>
      </c>
      <c r="G1538">
        <v>29.623999999999999</v>
      </c>
      <c r="H1538">
        <v>30.088000000000001</v>
      </c>
      <c r="I1538" s="136">
        <v>41218</v>
      </c>
      <c r="J1538">
        <v>42.33</v>
      </c>
      <c r="K1538">
        <v>41.854999999999997</v>
      </c>
      <c r="L1538">
        <v>42.36</v>
      </c>
    </row>
    <row r="1539" spans="1:12">
      <c r="A1539" s="136">
        <v>41219</v>
      </c>
      <c r="B1539">
        <v>1910</v>
      </c>
      <c r="C1539">
        <v>1908.5</v>
      </c>
      <c r="D1539">
        <v>1928.5</v>
      </c>
      <c r="E1539" s="136">
        <v>41219</v>
      </c>
      <c r="F1539">
        <v>29.977</v>
      </c>
      <c r="G1539">
        <v>29.841000000000001</v>
      </c>
      <c r="H1539">
        <v>30.803000000000001</v>
      </c>
      <c r="I1539" s="136">
        <v>41219</v>
      </c>
      <c r="J1539">
        <v>42.57</v>
      </c>
      <c r="K1539">
        <v>42.41</v>
      </c>
      <c r="L1539">
        <v>43.05</v>
      </c>
    </row>
    <row r="1540" spans="1:12">
      <c r="A1540" s="136">
        <v>41220</v>
      </c>
      <c r="B1540">
        <v>1926</v>
      </c>
      <c r="C1540">
        <v>1910</v>
      </c>
      <c r="D1540">
        <v>1945.25</v>
      </c>
      <c r="E1540" s="136">
        <v>41220</v>
      </c>
      <c r="F1540">
        <v>30.654</v>
      </c>
      <c r="G1540">
        <v>29.181000000000001</v>
      </c>
      <c r="H1540">
        <v>31.02</v>
      </c>
      <c r="I1540" s="136">
        <v>41220</v>
      </c>
      <c r="J1540">
        <v>42.01</v>
      </c>
      <c r="K1540">
        <v>40.31</v>
      </c>
      <c r="L1540">
        <v>42.01</v>
      </c>
    </row>
    <row r="1541" spans="1:12">
      <c r="A1541" s="136">
        <v>41221</v>
      </c>
      <c r="B1541">
        <v>1925</v>
      </c>
      <c r="C1541">
        <v>1910</v>
      </c>
      <c r="D1541">
        <v>1927.75</v>
      </c>
      <c r="E1541" s="136">
        <v>41221</v>
      </c>
      <c r="F1541">
        <v>29.423999999999999</v>
      </c>
      <c r="G1541">
        <v>28.998000000000001</v>
      </c>
      <c r="H1541">
        <v>29.573</v>
      </c>
      <c r="I1541" s="136">
        <v>41221</v>
      </c>
      <c r="J1541">
        <v>41.28</v>
      </c>
      <c r="K1541">
        <v>40.4</v>
      </c>
      <c r="L1541">
        <v>41.5</v>
      </c>
    </row>
    <row r="1542" spans="1:12">
      <c r="A1542" s="136">
        <v>41222</v>
      </c>
      <c r="B1542">
        <v>1924.25</v>
      </c>
      <c r="C1542">
        <v>1898</v>
      </c>
      <c r="D1542">
        <v>1930.5</v>
      </c>
      <c r="E1542" s="136">
        <v>41222</v>
      </c>
      <c r="F1542">
        <v>29.082999999999998</v>
      </c>
      <c r="G1542">
        <v>27.721</v>
      </c>
      <c r="H1542">
        <v>29.231999999999999</v>
      </c>
      <c r="I1542" s="136">
        <v>41222</v>
      </c>
      <c r="J1542">
        <v>40.31</v>
      </c>
      <c r="K1542">
        <v>39.86</v>
      </c>
      <c r="L1542">
        <v>41.23</v>
      </c>
    </row>
    <row r="1543" spans="1:12">
      <c r="A1543" s="136">
        <v>41223</v>
      </c>
      <c r="B1543">
        <v>1924.25</v>
      </c>
      <c r="C1543">
        <v>1898</v>
      </c>
      <c r="D1543">
        <v>1930.5</v>
      </c>
      <c r="E1543" s="136">
        <v>41223</v>
      </c>
      <c r="F1543">
        <v>29.082999999999998</v>
      </c>
      <c r="G1543">
        <v>27.721</v>
      </c>
      <c r="H1543">
        <v>29.231999999999999</v>
      </c>
      <c r="I1543" s="136">
        <v>41223</v>
      </c>
      <c r="J1543">
        <v>40.31</v>
      </c>
      <c r="K1543">
        <v>39.86</v>
      </c>
      <c r="L1543">
        <v>41.23</v>
      </c>
    </row>
    <row r="1544" spans="1:12">
      <c r="A1544" s="136">
        <v>41224</v>
      </c>
      <c r="B1544">
        <v>1924.25</v>
      </c>
      <c r="C1544">
        <v>1898</v>
      </c>
      <c r="D1544">
        <v>1930.5</v>
      </c>
      <c r="E1544" s="136">
        <v>41224</v>
      </c>
      <c r="F1544">
        <v>29.082999999999998</v>
      </c>
      <c r="G1544">
        <v>27.721</v>
      </c>
      <c r="H1544">
        <v>29.231999999999999</v>
      </c>
      <c r="I1544" s="136">
        <v>41224</v>
      </c>
      <c r="J1544">
        <v>40.31</v>
      </c>
      <c r="K1544">
        <v>39.86</v>
      </c>
      <c r="L1544">
        <v>41.23</v>
      </c>
    </row>
    <row r="1545" spans="1:12">
      <c r="A1545" s="136">
        <v>41225</v>
      </c>
      <c r="B1545">
        <v>1923</v>
      </c>
      <c r="C1545">
        <v>1915</v>
      </c>
      <c r="D1545">
        <v>1976</v>
      </c>
      <c r="E1545" s="136">
        <v>41225</v>
      </c>
      <c r="F1545">
        <v>28.777000000000001</v>
      </c>
      <c r="G1545">
        <v>28.036000000000001</v>
      </c>
      <c r="H1545">
        <v>28.777000000000001</v>
      </c>
      <c r="I1545" s="136">
        <v>41225</v>
      </c>
      <c r="J1545">
        <v>40.85</v>
      </c>
      <c r="K1545">
        <v>40.299999999999997</v>
      </c>
      <c r="L1545">
        <v>40.909999999999997</v>
      </c>
    </row>
    <row r="1546" spans="1:12">
      <c r="A1546" s="136">
        <v>41226</v>
      </c>
      <c r="B1546">
        <v>1967.5</v>
      </c>
      <c r="C1546">
        <v>1947</v>
      </c>
      <c r="D1546">
        <v>1989</v>
      </c>
      <c r="E1546" s="136">
        <v>41226</v>
      </c>
      <c r="F1546">
        <v>28.385000000000002</v>
      </c>
      <c r="G1546">
        <v>28.177</v>
      </c>
      <c r="H1546">
        <v>29.16</v>
      </c>
      <c r="I1546" s="136">
        <v>41226</v>
      </c>
      <c r="J1546">
        <v>40.18</v>
      </c>
      <c r="K1546">
        <v>40</v>
      </c>
      <c r="L1546">
        <v>40.520000000000003</v>
      </c>
    </row>
    <row r="1547" spans="1:12">
      <c r="A1547" s="136">
        <v>41227</v>
      </c>
      <c r="B1547">
        <v>1977</v>
      </c>
      <c r="C1547">
        <v>1964.75</v>
      </c>
      <c r="D1547">
        <v>2007</v>
      </c>
      <c r="E1547" s="136">
        <v>41227</v>
      </c>
      <c r="F1547">
        <v>28.939</v>
      </c>
      <c r="G1547">
        <v>28.177</v>
      </c>
      <c r="H1547">
        <v>29.369</v>
      </c>
      <c r="I1547" s="136">
        <v>41227</v>
      </c>
      <c r="J1547">
        <v>40.21</v>
      </c>
      <c r="K1547">
        <v>39.130000000000003</v>
      </c>
      <c r="L1547">
        <v>40.369999999999997</v>
      </c>
    </row>
    <row r="1548" spans="1:12">
      <c r="A1548" s="136">
        <v>41228</v>
      </c>
      <c r="B1548">
        <v>1968</v>
      </c>
      <c r="C1548">
        <v>1952.25</v>
      </c>
      <c r="D1548">
        <v>1975</v>
      </c>
      <c r="E1548" s="136">
        <v>41228</v>
      </c>
      <c r="F1548">
        <v>27.994</v>
      </c>
      <c r="G1548">
        <v>27.884</v>
      </c>
      <c r="H1548">
        <v>28.683</v>
      </c>
      <c r="I1548" s="136">
        <v>41228</v>
      </c>
      <c r="J1548">
        <v>39.06</v>
      </c>
      <c r="K1548">
        <v>38.97</v>
      </c>
      <c r="L1548">
        <v>39.72</v>
      </c>
    </row>
    <row r="1549" spans="1:12">
      <c r="A1549" s="136">
        <v>41229</v>
      </c>
      <c r="B1549">
        <v>1963</v>
      </c>
      <c r="C1549">
        <v>1930</v>
      </c>
      <c r="D1549">
        <v>1964.75</v>
      </c>
      <c r="E1549" s="136">
        <v>41229</v>
      </c>
      <c r="F1549">
        <v>28.388999999999999</v>
      </c>
      <c r="G1549">
        <v>27.324999999999999</v>
      </c>
      <c r="H1549">
        <v>28.555</v>
      </c>
      <c r="I1549" s="136">
        <v>41229</v>
      </c>
      <c r="J1549">
        <v>39.43</v>
      </c>
      <c r="K1549">
        <v>38.83</v>
      </c>
      <c r="L1549">
        <v>39.67</v>
      </c>
    </row>
    <row r="1550" spans="1:12">
      <c r="A1550" s="136">
        <v>41230</v>
      </c>
      <c r="B1550">
        <v>1963</v>
      </c>
      <c r="C1550">
        <v>1930</v>
      </c>
      <c r="D1550">
        <v>1964.75</v>
      </c>
      <c r="E1550" s="136">
        <v>41230</v>
      </c>
      <c r="F1550">
        <v>28.388999999999999</v>
      </c>
      <c r="G1550">
        <v>27.324999999999999</v>
      </c>
      <c r="H1550">
        <v>28.555</v>
      </c>
      <c r="I1550" s="136">
        <v>41230</v>
      </c>
      <c r="J1550">
        <v>39.43</v>
      </c>
      <c r="K1550">
        <v>38.83</v>
      </c>
      <c r="L1550">
        <v>39.67</v>
      </c>
    </row>
    <row r="1551" spans="1:12">
      <c r="A1551" s="136">
        <v>41231</v>
      </c>
      <c r="B1551">
        <v>1963</v>
      </c>
      <c r="C1551">
        <v>1930</v>
      </c>
      <c r="D1551">
        <v>1964.75</v>
      </c>
      <c r="E1551" s="136">
        <v>41231</v>
      </c>
      <c r="F1551">
        <v>28.388999999999999</v>
      </c>
      <c r="G1551">
        <v>27.324999999999999</v>
      </c>
      <c r="H1551">
        <v>28.555</v>
      </c>
      <c r="I1551" s="136">
        <v>41231</v>
      </c>
      <c r="J1551">
        <v>39.43</v>
      </c>
      <c r="K1551">
        <v>38.83</v>
      </c>
      <c r="L1551">
        <v>39.67</v>
      </c>
    </row>
    <row r="1552" spans="1:12">
      <c r="A1552" s="136">
        <v>41232</v>
      </c>
      <c r="B1552">
        <v>1955</v>
      </c>
      <c r="C1552">
        <v>1942</v>
      </c>
      <c r="D1552">
        <v>1980.25</v>
      </c>
      <c r="E1552" s="136">
        <v>41232</v>
      </c>
      <c r="F1552">
        <v>27.742999999999999</v>
      </c>
      <c r="G1552">
        <v>27.678999999999998</v>
      </c>
      <c r="H1552">
        <v>28.815000000000001</v>
      </c>
      <c r="I1552" s="136">
        <v>41232</v>
      </c>
      <c r="J1552">
        <v>40.090000000000003</v>
      </c>
      <c r="K1552">
        <v>40.090000000000003</v>
      </c>
      <c r="L1552">
        <v>40.700000000000003</v>
      </c>
    </row>
    <row r="1553" spans="1:12">
      <c r="A1553" s="136">
        <v>41233</v>
      </c>
      <c r="B1553">
        <v>1976</v>
      </c>
      <c r="C1553">
        <v>1952.5</v>
      </c>
      <c r="D1553">
        <v>1989</v>
      </c>
      <c r="E1553" s="136">
        <v>41233</v>
      </c>
      <c r="F1553">
        <v>28.721</v>
      </c>
      <c r="G1553">
        <v>27.628</v>
      </c>
      <c r="H1553">
        <v>28.721</v>
      </c>
      <c r="I1553" s="136">
        <v>41233</v>
      </c>
      <c r="J1553">
        <v>40.33</v>
      </c>
      <c r="K1553">
        <v>40.25</v>
      </c>
      <c r="L1553">
        <v>41.18</v>
      </c>
    </row>
    <row r="1554" spans="1:12">
      <c r="A1554" s="136">
        <v>41234</v>
      </c>
      <c r="B1554">
        <v>1958</v>
      </c>
      <c r="C1554">
        <v>1929</v>
      </c>
      <c r="D1554">
        <v>1962</v>
      </c>
      <c r="E1554" s="136">
        <v>41234</v>
      </c>
      <c r="F1554">
        <v>28.126000000000001</v>
      </c>
      <c r="G1554">
        <v>27.84</v>
      </c>
      <c r="H1554">
        <v>28.303999999999998</v>
      </c>
      <c r="I1554" s="136">
        <v>41234</v>
      </c>
      <c r="J1554">
        <v>40.94</v>
      </c>
      <c r="K1554">
        <v>40.35</v>
      </c>
      <c r="L1554">
        <v>40.98</v>
      </c>
    </row>
    <row r="1555" spans="1:12">
      <c r="A1555" s="136">
        <v>41235</v>
      </c>
      <c r="B1555">
        <v>1938</v>
      </c>
      <c r="C1555">
        <v>1933</v>
      </c>
      <c r="D1555">
        <v>1948</v>
      </c>
      <c r="E1555" s="136">
        <v>41235</v>
      </c>
      <c r="F1555">
        <v>28.027999999999999</v>
      </c>
      <c r="G1555">
        <v>28.027999999999999</v>
      </c>
      <c r="H1555">
        <v>28.509</v>
      </c>
      <c r="I1555" s="136">
        <v>41235</v>
      </c>
      <c r="J1555">
        <v>40.94</v>
      </c>
      <c r="K1555">
        <v>40.35</v>
      </c>
      <c r="L1555">
        <v>40.98</v>
      </c>
    </row>
    <row r="1556" spans="1:12">
      <c r="A1556" s="136">
        <v>41236</v>
      </c>
      <c r="B1556">
        <v>1940.25</v>
      </c>
      <c r="C1556">
        <v>1937.5</v>
      </c>
      <c r="D1556">
        <v>1987</v>
      </c>
      <c r="E1556" s="136">
        <v>41236</v>
      </c>
      <c r="F1556">
        <v>28.398</v>
      </c>
      <c r="G1556">
        <v>28.056999999999999</v>
      </c>
      <c r="H1556">
        <v>28.832000000000001</v>
      </c>
      <c r="I1556" s="136">
        <v>41236</v>
      </c>
      <c r="J1556">
        <v>41.1</v>
      </c>
      <c r="K1556">
        <v>40.97</v>
      </c>
      <c r="L1556">
        <v>41.22</v>
      </c>
    </row>
    <row r="1557" spans="1:12">
      <c r="A1557" s="136">
        <v>41237</v>
      </c>
      <c r="B1557">
        <v>1940.25</v>
      </c>
      <c r="C1557">
        <v>1937.5</v>
      </c>
      <c r="D1557">
        <v>1987</v>
      </c>
      <c r="E1557" s="136">
        <v>41237</v>
      </c>
      <c r="F1557">
        <v>28.398</v>
      </c>
      <c r="G1557">
        <v>28.056999999999999</v>
      </c>
      <c r="H1557">
        <v>28.832000000000001</v>
      </c>
      <c r="I1557" s="136">
        <v>41237</v>
      </c>
      <c r="J1557">
        <v>41.1</v>
      </c>
      <c r="K1557">
        <v>40.97</v>
      </c>
      <c r="L1557">
        <v>41.22</v>
      </c>
    </row>
    <row r="1558" spans="1:12">
      <c r="A1558" s="136">
        <v>41238</v>
      </c>
      <c r="B1558">
        <v>1940.25</v>
      </c>
      <c r="C1558">
        <v>1937.5</v>
      </c>
      <c r="D1558">
        <v>1987</v>
      </c>
      <c r="E1558" s="136">
        <v>41238</v>
      </c>
      <c r="F1558">
        <v>28.398</v>
      </c>
      <c r="G1558">
        <v>28.056999999999999</v>
      </c>
      <c r="H1558">
        <v>28.832000000000001</v>
      </c>
      <c r="I1558" s="136">
        <v>41238</v>
      </c>
      <c r="J1558">
        <v>41.1</v>
      </c>
      <c r="K1558">
        <v>40.97</v>
      </c>
      <c r="L1558">
        <v>41.22</v>
      </c>
    </row>
    <row r="1559" spans="1:12">
      <c r="A1559" s="136">
        <v>41239</v>
      </c>
      <c r="B1559">
        <v>1978</v>
      </c>
      <c r="C1559">
        <v>1975.5</v>
      </c>
      <c r="D1559">
        <v>2001.15</v>
      </c>
      <c r="E1559" s="136">
        <v>41239</v>
      </c>
      <c r="F1559">
        <v>28.568000000000001</v>
      </c>
      <c r="G1559">
        <v>28.126000000000001</v>
      </c>
      <c r="H1559">
        <v>28.751000000000001</v>
      </c>
      <c r="I1559" s="136">
        <v>41239</v>
      </c>
      <c r="J1559">
        <v>40.79</v>
      </c>
      <c r="K1559">
        <v>40.090000000000003</v>
      </c>
      <c r="L1559">
        <v>40.880000000000003</v>
      </c>
    </row>
    <row r="1560" spans="1:12">
      <c r="A1560" s="136">
        <v>41240</v>
      </c>
      <c r="B1560">
        <v>1996.5</v>
      </c>
      <c r="C1560">
        <v>1989</v>
      </c>
      <c r="D1560">
        <v>2022</v>
      </c>
      <c r="E1560" s="136">
        <v>41240</v>
      </c>
      <c r="F1560">
        <v>28.56</v>
      </c>
      <c r="G1560">
        <v>28.452999999999999</v>
      </c>
      <c r="H1560">
        <v>29.224</v>
      </c>
      <c r="I1560" s="136">
        <v>41240</v>
      </c>
      <c r="J1560">
        <v>40.869999999999997</v>
      </c>
      <c r="K1560">
        <v>40.64</v>
      </c>
      <c r="L1560">
        <v>41.2</v>
      </c>
    </row>
    <row r="1561" spans="1:12">
      <c r="A1561" s="136">
        <v>41241</v>
      </c>
      <c r="B1561">
        <v>2006</v>
      </c>
      <c r="C1561">
        <v>1990.25</v>
      </c>
      <c r="D1561">
        <v>2009</v>
      </c>
      <c r="E1561" s="136">
        <v>41241</v>
      </c>
      <c r="F1561">
        <v>28.67</v>
      </c>
      <c r="G1561">
        <v>27.673999999999999</v>
      </c>
      <c r="H1561">
        <v>28.687000000000001</v>
      </c>
      <c r="I1561" s="136">
        <v>41241</v>
      </c>
      <c r="J1561">
        <v>40.49</v>
      </c>
      <c r="K1561">
        <v>39.880000000000003</v>
      </c>
      <c r="L1561">
        <v>40.880000000000003</v>
      </c>
    </row>
    <row r="1562" spans="1:12">
      <c r="A1562" s="136">
        <v>41242</v>
      </c>
      <c r="B1562">
        <v>2000</v>
      </c>
      <c r="C1562">
        <v>1995</v>
      </c>
      <c r="D1562">
        <v>2068.75</v>
      </c>
      <c r="E1562" s="136">
        <v>41242</v>
      </c>
      <c r="F1562">
        <v>28.452999999999999</v>
      </c>
      <c r="G1562">
        <v>28.452999999999999</v>
      </c>
      <c r="H1562">
        <v>28.913</v>
      </c>
      <c r="I1562" s="136">
        <v>41242</v>
      </c>
      <c r="J1562">
        <v>41.15</v>
      </c>
      <c r="K1562">
        <v>40.909999999999997</v>
      </c>
      <c r="L1562">
        <v>41.35</v>
      </c>
    </row>
    <row r="1563" spans="1:12">
      <c r="A1563" s="136">
        <v>41243</v>
      </c>
      <c r="B1563">
        <v>2060</v>
      </c>
      <c r="C1563">
        <v>2057</v>
      </c>
      <c r="D1563">
        <v>2095</v>
      </c>
      <c r="E1563" s="136">
        <v>41243</v>
      </c>
      <c r="F1563">
        <v>28.742999999999999</v>
      </c>
      <c r="G1563">
        <v>28.658000000000001</v>
      </c>
      <c r="H1563">
        <v>29.143000000000001</v>
      </c>
      <c r="I1563" s="136">
        <v>41243</v>
      </c>
      <c r="J1563">
        <v>40.99</v>
      </c>
      <c r="K1563">
        <v>40.85</v>
      </c>
      <c r="L1563">
        <v>41.34</v>
      </c>
    </row>
    <row r="1564" spans="1:12">
      <c r="A1564" s="136">
        <v>41244</v>
      </c>
      <c r="B1564">
        <v>2060</v>
      </c>
      <c r="C1564">
        <v>2057</v>
      </c>
      <c r="D1564">
        <v>2095</v>
      </c>
      <c r="E1564" s="136">
        <v>41244</v>
      </c>
      <c r="F1564">
        <v>28.742999999999999</v>
      </c>
      <c r="G1564">
        <v>28.658000000000001</v>
      </c>
      <c r="H1564">
        <v>29.143000000000001</v>
      </c>
      <c r="I1564" s="136">
        <v>41244</v>
      </c>
      <c r="J1564">
        <v>40.99</v>
      </c>
      <c r="K1564">
        <v>40.85</v>
      </c>
      <c r="L1564">
        <v>41.34</v>
      </c>
    </row>
    <row r="1565" spans="1:12">
      <c r="A1565" s="136">
        <v>41245</v>
      </c>
      <c r="B1565">
        <v>2060</v>
      </c>
      <c r="C1565">
        <v>2057</v>
      </c>
      <c r="D1565">
        <v>2095</v>
      </c>
      <c r="E1565" s="136">
        <v>41245</v>
      </c>
      <c r="F1565">
        <v>28.742999999999999</v>
      </c>
      <c r="G1565">
        <v>28.658000000000001</v>
      </c>
      <c r="H1565">
        <v>29.143000000000001</v>
      </c>
      <c r="I1565" s="136">
        <v>41245</v>
      </c>
      <c r="J1565">
        <v>40.99</v>
      </c>
      <c r="K1565">
        <v>40.85</v>
      </c>
      <c r="L1565">
        <v>41.34</v>
      </c>
    </row>
    <row r="1566" spans="1:12">
      <c r="A1566" s="136">
        <v>41246</v>
      </c>
      <c r="B1566">
        <v>2094</v>
      </c>
      <c r="C1566">
        <v>2080</v>
      </c>
      <c r="D1566">
        <v>2125</v>
      </c>
      <c r="E1566" s="136">
        <v>41246</v>
      </c>
      <c r="F1566">
        <v>28.913</v>
      </c>
      <c r="G1566">
        <v>28.777000000000001</v>
      </c>
      <c r="H1566">
        <v>29.539000000000001</v>
      </c>
      <c r="I1566" s="136">
        <v>41246</v>
      </c>
      <c r="J1566">
        <v>41.27</v>
      </c>
      <c r="K1566">
        <v>40.75</v>
      </c>
      <c r="L1566">
        <v>41.37</v>
      </c>
    </row>
    <row r="1567" spans="1:12">
      <c r="A1567" s="136">
        <v>41247</v>
      </c>
      <c r="B1567">
        <v>2114</v>
      </c>
      <c r="C1567">
        <v>2087</v>
      </c>
      <c r="D1567">
        <v>2115</v>
      </c>
      <c r="E1567" s="136">
        <v>41247</v>
      </c>
      <c r="F1567">
        <v>28.879000000000001</v>
      </c>
      <c r="G1567">
        <v>28.815000000000001</v>
      </c>
      <c r="H1567">
        <v>29.509</v>
      </c>
      <c r="I1567" s="136">
        <v>41247</v>
      </c>
      <c r="J1567">
        <v>40.78</v>
      </c>
      <c r="K1567">
        <v>40.200000000000003</v>
      </c>
      <c r="L1567">
        <v>40.92</v>
      </c>
    </row>
    <row r="1568" spans="1:12">
      <c r="A1568" s="136">
        <v>41248</v>
      </c>
      <c r="B1568">
        <v>2092</v>
      </c>
      <c r="C1568">
        <v>2085</v>
      </c>
      <c r="D1568">
        <v>2107</v>
      </c>
      <c r="E1568" s="136">
        <v>41248</v>
      </c>
      <c r="F1568">
        <v>29.53</v>
      </c>
      <c r="G1568">
        <v>29.53</v>
      </c>
      <c r="H1568">
        <v>30.091999999999999</v>
      </c>
      <c r="I1568" s="136">
        <v>41248</v>
      </c>
      <c r="J1568">
        <v>40.69</v>
      </c>
      <c r="K1568">
        <v>40.5</v>
      </c>
      <c r="L1568">
        <v>41.49</v>
      </c>
    </row>
    <row r="1569" spans="1:12">
      <c r="A1569" s="136">
        <v>41249</v>
      </c>
      <c r="B1569">
        <v>2102.5</v>
      </c>
      <c r="C1569">
        <v>2082</v>
      </c>
      <c r="D1569">
        <v>2113</v>
      </c>
      <c r="E1569" s="136">
        <v>41249</v>
      </c>
      <c r="F1569">
        <v>29.747</v>
      </c>
      <c r="G1569">
        <v>29.113</v>
      </c>
      <c r="H1569">
        <v>30.22</v>
      </c>
      <c r="I1569" s="136">
        <v>41249</v>
      </c>
      <c r="J1569">
        <v>41.25</v>
      </c>
      <c r="K1569">
        <v>41.11</v>
      </c>
      <c r="L1569">
        <v>41.55</v>
      </c>
    </row>
    <row r="1570" spans="1:12">
      <c r="A1570" s="136">
        <v>41250</v>
      </c>
      <c r="B1570">
        <v>2085</v>
      </c>
      <c r="C1570">
        <v>2077</v>
      </c>
      <c r="D1570">
        <v>2095</v>
      </c>
      <c r="E1570" s="136">
        <v>41250</v>
      </c>
      <c r="F1570">
        <v>29.7</v>
      </c>
      <c r="G1570">
        <v>29.210999999999999</v>
      </c>
      <c r="H1570">
        <v>29.922000000000001</v>
      </c>
      <c r="I1570" s="136">
        <v>41250</v>
      </c>
      <c r="J1570">
        <v>41.84</v>
      </c>
      <c r="K1570">
        <v>41.73</v>
      </c>
      <c r="L1570">
        <v>42.57</v>
      </c>
    </row>
    <row r="1571" spans="1:12">
      <c r="A1571" s="136">
        <v>41251</v>
      </c>
      <c r="B1571">
        <v>2085</v>
      </c>
      <c r="C1571">
        <v>2077</v>
      </c>
      <c r="D1571">
        <v>2095</v>
      </c>
      <c r="E1571" s="136">
        <v>41251</v>
      </c>
      <c r="F1571">
        <v>29.7</v>
      </c>
      <c r="G1571">
        <v>29.210999999999999</v>
      </c>
      <c r="H1571">
        <v>29.922000000000001</v>
      </c>
      <c r="I1571" s="136">
        <v>41251</v>
      </c>
      <c r="J1571">
        <v>41.84</v>
      </c>
      <c r="K1571">
        <v>41.73</v>
      </c>
      <c r="L1571">
        <v>42.57</v>
      </c>
    </row>
    <row r="1572" spans="1:12">
      <c r="A1572" s="136">
        <v>41252</v>
      </c>
      <c r="B1572">
        <v>2085</v>
      </c>
      <c r="C1572">
        <v>2077</v>
      </c>
      <c r="D1572">
        <v>2095</v>
      </c>
      <c r="E1572" s="136">
        <v>41252</v>
      </c>
      <c r="F1572">
        <v>29.7</v>
      </c>
      <c r="G1572">
        <v>29.210999999999999</v>
      </c>
      <c r="H1572">
        <v>29.922000000000001</v>
      </c>
      <c r="I1572" s="136">
        <v>41252</v>
      </c>
      <c r="J1572">
        <v>41.84</v>
      </c>
      <c r="K1572">
        <v>41.73</v>
      </c>
      <c r="L1572">
        <v>42.57</v>
      </c>
    </row>
    <row r="1573" spans="1:12">
      <c r="A1573" s="136">
        <v>41253</v>
      </c>
      <c r="B1573">
        <v>2095</v>
      </c>
      <c r="C1573">
        <v>2094</v>
      </c>
      <c r="D1573">
        <v>2138</v>
      </c>
      <c r="E1573" s="136">
        <v>41253</v>
      </c>
      <c r="F1573">
        <v>29.33</v>
      </c>
      <c r="G1573">
        <v>28.475000000000001</v>
      </c>
      <c r="H1573">
        <v>29.33</v>
      </c>
      <c r="I1573" s="136">
        <v>41253</v>
      </c>
      <c r="J1573">
        <v>42.54</v>
      </c>
      <c r="K1573">
        <v>42.01</v>
      </c>
      <c r="L1573">
        <v>42.67</v>
      </c>
    </row>
    <row r="1574" spans="1:12">
      <c r="A1574" s="136">
        <v>41254</v>
      </c>
      <c r="B1574">
        <v>2124.25</v>
      </c>
      <c r="C1574">
        <v>2111.25</v>
      </c>
      <c r="D1574">
        <v>2142</v>
      </c>
      <c r="E1574" s="136">
        <v>41254</v>
      </c>
      <c r="F1574">
        <v>29.065999999999999</v>
      </c>
      <c r="G1574">
        <v>28.619</v>
      </c>
      <c r="H1574">
        <v>29.283000000000001</v>
      </c>
      <c r="I1574" s="136">
        <v>41254</v>
      </c>
      <c r="J1574">
        <v>42.6</v>
      </c>
      <c r="K1574">
        <v>42.42</v>
      </c>
      <c r="L1574">
        <v>43.09</v>
      </c>
    </row>
    <row r="1575" spans="1:12">
      <c r="A1575" s="136">
        <v>41255</v>
      </c>
      <c r="B1575">
        <v>2114</v>
      </c>
      <c r="C1575">
        <v>2110</v>
      </c>
      <c r="D1575">
        <v>2148</v>
      </c>
      <c r="E1575" s="136">
        <v>41255</v>
      </c>
      <c r="F1575">
        <v>29.198</v>
      </c>
      <c r="G1575">
        <v>28.858000000000001</v>
      </c>
      <c r="H1575">
        <v>29.603000000000002</v>
      </c>
      <c r="I1575" s="136">
        <v>41255</v>
      </c>
      <c r="J1575">
        <v>43</v>
      </c>
      <c r="K1575">
        <v>42.7</v>
      </c>
      <c r="L1575">
        <v>43.375</v>
      </c>
    </row>
    <row r="1576" spans="1:12">
      <c r="A1576" s="136">
        <v>41256</v>
      </c>
      <c r="B1576">
        <v>2142</v>
      </c>
      <c r="C1576">
        <v>2115.75</v>
      </c>
      <c r="D1576">
        <v>2142</v>
      </c>
      <c r="E1576" s="136">
        <v>41256</v>
      </c>
      <c r="F1576">
        <v>29.041</v>
      </c>
      <c r="G1576">
        <v>28.202000000000002</v>
      </c>
      <c r="H1576">
        <v>29.215</v>
      </c>
      <c r="I1576" s="136">
        <v>41256</v>
      </c>
      <c r="J1576">
        <v>42.65</v>
      </c>
      <c r="K1576">
        <v>42.5</v>
      </c>
      <c r="L1576">
        <v>42.92</v>
      </c>
    </row>
    <row r="1577" spans="1:12">
      <c r="A1577" s="136">
        <v>41257</v>
      </c>
      <c r="B1577">
        <v>2121</v>
      </c>
      <c r="C1577">
        <v>2116</v>
      </c>
      <c r="D1577">
        <v>2133.5</v>
      </c>
      <c r="E1577" s="136">
        <v>41257</v>
      </c>
      <c r="F1577">
        <v>28.096</v>
      </c>
      <c r="G1577">
        <v>27.341999999999999</v>
      </c>
      <c r="H1577">
        <v>28.334</v>
      </c>
      <c r="I1577" s="136">
        <v>41257</v>
      </c>
      <c r="J1577">
        <v>42.77</v>
      </c>
      <c r="K1577">
        <v>42.71</v>
      </c>
      <c r="L1577">
        <v>43.11</v>
      </c>
    </row>
    <row r="1578" spans="1:12">
      <c r="A1578" s="136">
        <v>41258</v>
      </c>
      <c r="B1578">
        <v>2121</v>
      </c>
      <c r="C1578">
        <v>2116</v>
      </c>
      <c r="D1578">
        <v>2133.5</v>
      </c>
      <c r="E1578" s="136">
        <v>41258</v>
      </c>
      <c r="F1578">
        <v>28.096</v>
      </c>
      <c r="G1578">
        <v>27.341999999999999</v>
      </c>
      <c r="H1578">
        <v>28.334</v>
      </c>
      <c r="I1578" s="136">
        <v>41258</v>
      </c>
      <c r="J1578">
        <v>42.77</v>
      </c>
      <c r="K1578">
        <v>42.71</v>
      </c>
      <c r="L1578">
        <v>43.11</v>
      </c>
    </row>
    <row r="1579" spans="1:12">
      <c r="A1579" s="136">
        <v>41259</v>
      </c>
      <c r="B1579">
        <v>2121</v>
      </c>
      <c r="C1579">
        <v>2116</v>
      </c>
      <c r="D1579">
        <v>2133.5</v>
      </c>
      <c r="E1579" s="136">
        <v>41259</v>
      </c>
      <c r="F1579">
        <v>28.096</v>
      </c>
      <c r="G1579">
        <v>27.341999999999999</v>
      </c>
      <c r="H1579">
        <v>28.334</v>
      </c>
      <c r="I1579" s="136">
        <v>41259</v>
      </c>
      <c r="J1579">
        <v>42.77</v>
      </c>
      <c r="K1579">
        <v>42.71</v>
      </c>
      <c r="L1579">
        <v>43.11</v>
      </c>
    </row>
    <row r="1580" spans="1:12">
      <c r="A1580" s="136">
        <v>41260</v>
      </c>
      <c r="B1580">
        <v>2123</v>
      </c>
      <c r="C1580">
        <v>2088</v>
      </c>
      <c r="D1580">
        <v>2126</v>
      </c>
      <c r="E1580" s="136">
        <v>41260</v>
      </c>
      <c r="F1580">
        <v>27.785</v>
      </c>
      <c r="G1580">
        <v>27.445</v>
      </c>
      <c r="H1580">
        <v>28.001999999999999</v>
      </c>
      <c r="I1580" s="136">
        <v>41260</v>
      </c>
      <c r="J1580">
        <v>43</v>
      </c>
      <c r="K1580">
        <v>42.81</v>
      </c>
      <c r="L1580">
        <v>43.51</v>
      </c>
    </row>
    <row r="1581" spans="1:12">
      <c r="A1581" s="136">
        <v>41261</v>
      </c>
      <c r="B1581">
        <v>2109</v>
      </c>
      <c r="C1581">
        <v>2088</v>
      </c>
      <c r="D1581">
        <v>2117.25</v>
      </c>
      <c r="E1581" s="136">
        <v>41261</v>
      </c>
      <c r="F1581">
        <v>27.763999999999999</v>
      </c>
      <c r="G1581">
        <v>27.747</v>
      </c>
      <c r="H1581">
        <v>28.431999999999999</v>
      </c>
      <c r="I1581" s="136">
        <v>41261</v>
      </c>
      <c r="J1581">
        <v>43.83</v>
      </c>
      <c r="K1581">
        <v>43.31</v>
      </c>
      <c r="L1581">
        <v>43.94</v>
      </c>
    </row>
    <row r="1582" spans="1:12">
      <c r="A1582" s="136">
        <v>41262</v>
      </c>
      <c r="B1582">
        <v>2100</v>
      </c>
      <c r="C1582">
        <v>2084</v>
      </c>
      <c r="D1582">
        <v>2119</v>
      </c>
      <c r="E1582" s="136">
        <v>41262</v>
      </c>
      <c r="F1582">
        <v>28.295999999999999</v>
      </c>
      <c r="G1582">
        <v>28.286999999999999</v>
      </c>
      <c r="H1582">
        <v>28.939</v>
      </c>
      <c r="I1582" s="136">
        <v>41262</v>
      </c>
      <c r="J1582">
        <v>43.99</v>
      </c>
      <c r="K1582">
        <v>43.42</v>
      </c>
      <c r="L1582">
        <v>44.39</v>
      </c>
    </row>
    <row r="1583" spans="1:12">
      <c r="A1583" s="136">
        <v>41263</v>
      </c>
      <c r="B1583">
        <v>2087.5</v>
      </c>
      <c r="C1583">
        <v>2055</v>
      </c>
      <c r="D1583">
        <v>2090</v>
      </c>
      <c r="E1583" s="136">
        <v>41263</v>
      </c>
      <c r="F1583">
        <v>28.585000000000001</v>
      </c>
      <c r="G1583">
        <v>28.350999999999999</v>
      </c>
      <c r="H1583">
        <v>28.635999999999999</v>
      </c>
      <c r="I1583" s="136">
        <v>41263</v>
      </c>
      <c r="J1583">
        <v>43.69</v>
      </c>
      <c r="K1583">
        <v>43.41</v>
      </c>
      <c r="L1583">
        <v>44.54</v>
      </c>
    </row>
    <row r="1584" spans="1:12">
      <c r="A1584" s="136">
        <v>41264</v>
      </c>
      <c r="B1584">
        <v>2065</v>
      </c>
      <c r="C1584">
        <v>2054.25</v>
      </c>
      <c r="D1584">
        <v>2097.25</v>
      </c>
      <c r="E1584" s="136">
        <v>41264</v>
      </c>
      <c r="F1584">
        <v>28.091999999999999</v>
      </c>
      <c r="G1584">
        <v>27.635999999999999</v>
      </c>
      <c r="H1584">
        <v>28.367999999999999</v>
      </c>
      <c r="I1584" s="136">
        <v>41264</v>
      </c>
      <c r="J1584">
        <v>43.82</v>
      </c>
      <c r="K1584">
        <v>43.34</v>
      </c>
      <c r="L1584">
        <v>44.2</v>
      </c>
    </row>
    <row r="1585" spans="1:12">
      <c r="A1585" s="136">
        <v>41265</v>
      </c>
      <c r="B1585">
        <v>2065</v>
      </c>
      <c r="C1585">
        <v>2054.25</v>
      </c>
      <c r="D1585">
        <v>2097.25</v>
      </c>
      <c r="E1585" s="136">
        <v>41265</v>
      </c>
      <c r="F1585">
        <v>28.091999999999999</v>
      </c>
      <c r="G1585">
        <v>27.635999999999999</v>
      </c>
      <c r="H1585">
        <v>28.367999999999999</v>
      </c>
      <c r="I1585" s="136">
        <v>41265</v>
      </c>
      <c r="J1585">
        <v>43.82</v>
      </c>
      <c r="K1585">
        <v>43.34</v>
      </c>
      <c r="L1585">
        <v>44.2</v>
      </c>
    </row>
    <row r="1586" spans="1:12">
      <c r="A1586" s="136">
        <v>41266</v>
      </c>
      <c r="B1586">
        <v>2065</v>
      </c>
      <c r="C1586">
        <v>2054.25</v>
      </c>
      <c r="D1586">
        <v>2097.25</v>
      </c>
      <c r="E1586" s="136">
        <v>41266</v>
      </c>
      <c r="F1586">
        <v>28.091999999999999</v>
      </c>
      <c r="G1586">
        <v>27.635999999999999</v>
      </c>
      <c r="H1586">
        <v>28.367999999999999</v>
      </c>
      <c r="I1586" s="136">
        <v>41266</v>
      </c>
      <c r="J1586">
        <v>43.82</v>
      </c>
      <c r="K1586">
        <v>43.34</v>
      </c>
      <c r="L1586">
        <v>44.2</v>
      </c>
    </row>
    <row r="1587" spans="1:12">
      <c r="A1587" s="136">
        <v>41267</v>
      </c>
      <c r="B1587">
        <v>2080</v>
      </c>
      <c r="C1587">
        <v>2067</v>
      </c>
      <c r="D1587">
        <v>2115</v>
      </c>
      <c r="E1587" s="136">
        <v>41267</v>
      </c>
      <c r="F1587">
        <v>28.091999999999999</v>
      </c>
      <c r="G1587">
        <v>27.635999999999999</v>
      </c>
      <c r="H1587">
        <v>28.367999999999999</v>
      </c>
      <c r="I1587" s="136">
        <v>41267</v>
      </c>
      <c r="J1587">
        <v>43.72</v>
      </c>
      <c r="K1587">
        <v>43.71</v>
      </c>
      <c r="L1587">
        <v>44.02</v>
      </c>
    </row>
    <row r="1588" spans="1:12">
      <c r="A1588" s="136">
        <v>41268</v>
      </c>
      <c r="B1588">
        <v>2080</v>
      </c>
      <c r="C1588">
        <v>2067</v>
      </c>
      <c r="D1588">
        <v>2115</v>
      </c>
      <c r="E1588" s="136">
        <v>41268</v>
      </c>
      <c r="F1588">
        <v>28.091999999999999</v>
      </c>
      <c r="G1588">
        <v>27.635999999999999</v>
      </c>
      <c r="H1588">
        <v>28.367999999999999</v>
      </c>
      <c r="I1588" s="136">
        <v>41268</v>
      </c>
      <c r="J1588">
        <v>43.72</v>
      </c>
      <c r="K1588">
        <v>43.71</v>
      </c>
      <c r="L1588">
        <v>44.02</v>
      </c>
    </row>
    <row r="1589" spans="1:12">
      <c r="A1589" s="136">
        <v>41269</v>
      </c>
      <c r="B1589">
        <v>2080</v>
      </c>
      <c r="C1589">
        <v>2067</v>
      </c>
      <c r="D1589">
        <v>2115</v>
      </c>
      <c r="E1589" s="136">
        <v>41269</v>
      </c>
      <c r="F1589">
        <v>28.091999999999999</v>
      </c>
      <c r="G1589">
        <v>27.635999999999999</v>
      </c>
      <c r="H1589">
        <v>28.367999999999999</v>
      </c>
      <c r="I1589" s="136">
        <v>41269</v>
      </c>
      <c r="J1589">
        <v>43.95</v>
      </c>
      <c r="K1589">
        <v>43.72</v>
      </c>
      <c r="L1589">
        <v>44.18</v>
      </c>
    </row>
    <row r="1590" spans="1:12">
      <c r="A1590" s="136">
        <v>41270</v>
      </c>
      <c r="B1590">
        <v>2080.5</v>
      </c>
      <c r="C1590">
        <v>2075</v>
      </c>
      <c r="D1590">
        <v>2108</v>
      </c>
      <c r="E1590" s="136">
        <v>41270</v>
      </c>
      <c r="F1590">
        <v>28.001999999999999</v>
      </c>
      <c r="G1590">
        <v>27.879000000000001</v>
      </c>
      <c r="H1590">
        <v>28.756</v>
      </c>
      <c r="I1590" s="136">
        <v>41270</v>
      </c>
      <c r="J1590">
        <v>43.96</v>
      </c>
      <c r="K1590">
        <v>42.9</v>
      </c>
      <c r="L1590">
        <v>44.02</v>
      </c>
    </row>
    <row r="1591" spans="1:12">
      <c r="A1591" s="136">
        <v>41271</v>
      </c>
      <c r="B1591">
        <v>2084</v>
      </c>
      <c r="C1591">
        <v>2057.5</v>
      </c>
      <c r="D1591">
        <v>2087</v>
      </c>
      <c r="E1591" s="136">
        <v>41271</v>
      </c>
      <c r="F1591">
        <v>28.338000000000001</v>
      </c>
      <c r="G1591">
        <v>27.835999999999999</v>
      </c>
      <c r="H1591">
        <v>28.431999999999999</v>
      </c>
      <c r="I1591" s="136">
        <v>41271</v>
      </c>
      <c r="J1591">
        <v>43.1</v>
      </c>
      <c r="K1591">
        <v>43.09</v>
      </c>
      <c r="L1591">
        <v>43.69</v>
      </c>
    </row>
    <row r="1592" spans="1:12">
      <c r="A1592" s="136">
        <v>41272</v>
      </c>
      <c r="B1592">
        <v>2084</v>
      </c>
      <c r="C1592">
        <v>2057.5</v>
      </c>
      <c r="D1592">
        <v>2087</v>
      </c>
      <c r="E1592" s="136">
        <v>41272</v>
      </c>
      <c r="F1592">
        <v>28.338000000000001</v>
      </c>
      <c r="G1592">
        <v>27.835999999999999</v>
      </c>
      <c r="H1592">
        <v>28.431999999999999</v>
      </c>
      <c r="I1592" s="136">
        <v>41272</v>
      </c>
      <c r="J1592">
        <v>43.1</v>
      </c>
      <c r="K1592">
        <v>43.09</v>
      </c>
      <c r="L1592">
        <v>43.69</v>
      </c>
    </row>
    <row r="1593" spans="1:12">
      <c r="A1593" s="136">
        <v>41273</v>
      </c>
      <c r="B1593">
        <v>2084</v>
      </c>
      <c r="C1593">
        <v>2057.5</v>
      </c>
      <c r="D1593">
        <v>2087</v>
      </c>
      <c r="E1593" s="136">
        <v>41273</v>
      </c>
      <c r="F1593">
        <v>28.338000000000001</v>
      </c>
      <c r="G1593">
        <v>27.835999999999999</v>
      </c>
      <c r="H1593">
        <v>28.431999999999999</v>
      </c>
      <c r="I1593" s="136">
        <v>41273</v>
      </c>
      <c r="J1593">
        <v>43.1</v>
      </c>
      <c r="K1593">
        <v>43.09</v>
      </c>
      <c r="L1593">
        <v>43.69</v>
      </c>
    </row>
    <row r="1594" spans="1:12">
      <c r="A1594" s="136">
        <v>41274</v>
      </c>
      <c r="B1594">
        <v>2065</v>
      </c>
      <c r="C1594">
        <v>2063</v>
      </c>
      <c r="D1594">
        <v>2086.25</v>
      </c>
      <c r="E1594" s="136">
        <v>41274</v>
      </c>
      <c r="F1594">
        <v>28.338000000000001</v>
      </c>
      <c r="G1594">
        <v>27.835999999999999</v>
      </c>
      <c r="H1594">
        <v>28.431999999999999</v>
      </c>
      <c r="I1594" s="136">
        <v>41274</v>
      </c>
      <c r="J1594">
        <v>43.1</v>
      </c>
      <c r="K1594">
        <v>43.05</v>
      </c>
      <c r="L1594">
        <v>44</v>
      </c>
    </row>
    <row r="1595" spans="1:12">
      <c r="A1595" s="136">
        <v>41275</v>
      </c>
      <c r="B1595">
        <v>2065</v>
      </c>
      <c r="C1595">
        <v>2063</v>
      </c>
      <c r="D1595">
        <v>2086.25</v>
      </c>
      <c r="E1595" s="136">
        <v>41275</v>
      </c>
      <c r="F1595">
        <v>28.338000000000001</v>
      </c>
      <c r="G1595">
        <v>27.835999999999999</v>
      </c>
      <c r="H1595">
        <v>28.431999999999999</v>
      </c>
      <c r="I1595" s="136">
        <v>41275</v>
      </c>
      <c r="J1595">
        <v>43.1</v>
      </c>
      <c r="K1595">
        <v>43.05</v>
      </c>
      <c r="L1595">
        <v>44</v>
      </c>
    </row>
    <row r="1596" spans="1:12">
      <c r="A1596" s="136">
        <v>41276</v>
      </c>
      <c r="B1596">
        <v>2075</v>
      </c>
      <c r="C1596">
        <v>2075</v>
      </c>
      <c r="D1596">
        <v>2164.25</v>
      </c>
      <c r="E1596" s="136">
        <v>41276</v>
      </c>
      <c r="F1596">
        <v>28.475000000000001</v>
      </c>
      <c r="G1596">
        <v>28.475000000000001</v>
      </c>
      <c r="H1596">
        <v>29.283000000000001</v>
      </c>
      <c r="I1596" s="136">
        <v>41276</v>
      </c>
      <c r="J1596">
        <v>44.98</v>
      </c>
      <c r="K1596">
        <v>44.22</v>
      </c>
      <c r="L1596">
        <v>45</v>
      </c>
    </row>
    <row r="1597" spans="1:12">
      <c r="A1597" s="136">
        <v>41277</v>
      </c>
      <c r="B1597">
        <v>2162</v>
      </c>
      <c r="C1597">
        <v>2108</v>
      </c>
      <c r="D1597">
        <v>2184</v>
      </c>
      <c r="E1597" s="136">
        <v>41277</v>
      </c>
      <c r="F1597">
        <v>29.113</v>
      </c>
      <c r="G1597">
        <v>28.96</v>
      </c>
      <c r="H1597">
        <v>29.475000000000001</v>
      </c>
      <c r="I1597" s="136">
        <v>41277</v>
      </c>
      <c r="J1597">
        <v>44.74</v>
      </c>
      <c r="K1597">
        <v>44.2</v>
      </c>
      <c r="L1597">
        <v>44.75</v>
      </c>
    </row>
    <row r="1598" spans="1:12">
      <c r="A1598" s="136">
        <v>41278</v>
      </c>
      <c r="B1598">
        <v>2105</v>
      </c>
      <c r="C1598">
        <v>2055.5</v>
      </c>
      <c r="D1598">
        <v>2110</v>
      </c>
      <c r="E1598" s="136">
        <v>41278</v>
      </c>
      <c r="F1598">
        <v>29.364000000000001</v>
      </c>
      <c r="G1598">
        <v>29.198</v>
      </c>
      <c r="H1598">
        <v>29.614999999999998</v>
      </c>
      <c r="I1598" s="136">
        <v>41278</v>
      </c>
      <c r="J1598">
        <v>44.45</v>
      </c>
      <c r="K1598">
        <v>44.44</v>
      </c>
      <c r="L1598">
        <v>45.43</v>
      </c>
    </row>
    <row r="1599" spans="1:12">
      <c r="A1599" s="136">
        <v>41279</v>
      </c>
      <c r="B1599">
        <v>2105</v>
      </c>
      <c r="C1599">
        <v>2055.5</v>
      </c>
      <c r="D1599">
        <v>2110</v>
      </c>
      <c r="E1599" s="136">
        <v>41279</v>
      </c>
      <c r="F1599">
        <v>29.364000000000001</v>
      </c>
      <c r="G1599">
        <v>29.198</v>
      </c>
      <c r="H1599">
        <v>29.614999999999998</v>
      </c>
      <c r="I1599" s="136">
        <v>41279</v>
      </c>
      <c r="J1599">
        <v>44.45</v>
      </c>
      <c r="K1599">
        <v>44.44</v>
      </c>
      <c r="L1599">
        <v>45.43</v>
      </c>
    </row>
    <row r="1600" spans="1:12">
      <c r="A1600" s="136">
        <v>41280</v>
      </c>
      <c r="B1600">
        <v>2105</v>
      </c>
      <c r="C1600">
        <v>2055.5</v>
      </c>
      <c r="D1600">
        <v>2110</v>
      </c>
      <c r="E1600" s="136">
        <v>41280</v>
      </c>
      <c r="F1600">
        <v>29.364000000000001</v>
      </c>
      <c r="G1600">
        <v>29.198</v>
      </c>
      <c r="H1600">
        <v>29.614999999999998</v>
      </c>
      <c r="I1600" s="136">
        <v>41280</v>
      </c>
      <c r="J1600">
        <v>44.45</v>
      </c>
      <c r="K1600">
        <v>44.44</v>
      </c>
      <c r="L1600">
        <v>45.43</v>
      </c>
    </row>
    <row r="1601" spans="1:12">
      <c r="A1601" s="136">
        <v>41281</v>
      </c>
      <c r="B1601">
        <v>2062.5</v>
      </c>
      <c r="C1601">
        <v>2034.25</v>
      </c>
      <c r="D1601">
        <v>2073.5</v>
      </c>
      <c r="E1601" s="136">
        <v>41281</v>
      </c>
      <c r="F1601">
        <v>29.713000000000001</v>
      </c>
      <c r="G1601">
        <v>29.576999999999998</v>
      </c>
      <c r="H1601">
        <v>31.015999999999998</v>
      </c>
      <c r="I1601" s="136">
        <v>41281</v>
      </c>
      <c r="J1601">
        <v>45.09</v>
      </c>
      <c r="K1601">
        <v>45.02</v>
      </c>
      <c r="L1601">
        <v>45.484999999999999</v>
      </c>
    </row>
    <row r="1602" spans="1:12">
      <c r="A1602" s="136">
        <v>41282</v>
      </c>
      <c r="B1602">
        <v>2072</v>
      </c>
      <c r="C1602">
        <v>2045</v>
      </c>
      <c r="D1602">
        <v>2084</v>
      </c>
      <c r="E1602" s="136">
        <v>41282</v>
      </c>
      <c r="F1602">
        <v>30.407</v>
      </c>
      <c r="G1602">
        <v>30.117999999999999</v>
      </c>
      <c r="H1602">
        <v>31.177</v>
      </c>
      <c r="I1602" s="136">
        <v>41282</v>
      </c>
      <c r="J1602">
        <v>45.4</v>
      </c>
      <c r="K1602">
        <v>44.96</v>
      </c>
      <c r="L1602">
        <v>45.5</v>
      </c>
    </row>
    <row r="1603" spans="1:12">
      <c r="A1603" s="136">
        <v>41283</v>
      </c>
      <c r="B1603">
        <v>2067</v>
      </c>
      <c r="C1603">
        <v>2060</v>
      </c>
      <c r="D1603">
        <v>2107</v>
      </c>
      <c r="E1603" s="136">
        <v>41283</v>
      </c>
      <c r="F1603">
        <v>30.884</v>
      </c>
      <c r="G1603">
        <v>30.827999999999999</v>
      </c>
      <c r="H1603">
        <v>31.437000000000001</v>
      </c>
      <c r="I1603" s="136">
        <v>41283</v>
      </c>
      <c r="J1603">
        <v>45.56</v>
      </c>
      <c r="K1603">
        <v>45.14</v>
      </c>
      <c r="L1603">
        <v>46.2</v>
      </c>
    </row>
    <row r="1604" spans="1:12">
      <c r="A1604" s="136">
        <v>41284</v>
      </c>
      <c r="B1604">
        <v>2079.75</v>
      </c>
      <c r="C1604">
        <v>2076.75</v>
      </c>
      <c r="D1604">
        <v>2120.5</v>
      </c>
      <c r="E1604" s="136">
        <v>41284</v>
      </c>
      <c r="F1604">
        <v>31.079000000000001</v>
      </c>
      <c r="G1604">
        <v>31.079000000000001</v>
      </c>
      <c r="H1604">
        <v>32.253999999999998</v>
      </c>
      <c r="I1604" s="136">
        <v>41284</v>
      </c>
      <c r="J1604">
        <v>45.89</v>
      </c>
      <c r="K1604">
        <v>45.53</v>
      </c>
      <c r="L1604">
        <v>46.16</v>
      </c>
    </row>
    <row r="1605" spans="1:12">
      <c r="A1605" s="136">
        <v>41285</v>
      </c>
      <c r="B1605">
        <v>2119</v>
      </c>
      <c r="C1605">
        <v>2097</v>
      </c>
      <c r="D1605">
        <v>2125.75</v>
      </c>
      <c r="E1605" s="136">
        <v>41285</v>
      </c>
      <c r="F1605">
        <v>31.748000000000001</v>
      </c>
      <c r="G1605">
        <v>31.096</v>
      </c>
      <c r="H1605">
        <v>31.939</v>
      </c>
      <c r="I1605" s="136">
        <v>41285</v>
      </c>
      <c r="J1605">
        <v>45.97</v>
      </c>
      <c r="K1605">
        <v>45.47</v>
      </c>
      <c r="L1605">
        <v>46.15</v>
      </c>
    </row>
    <row r="1606" spans="1:12">
      <c r="A1606" s="136">
        <v>41286</v>
      </c>
      <c r="B1606">
        <v>2119</v>
      </c>
      <c r="C1606">
        <v>2097</v>
      </c>
      <c r="D1606">
        <v>2125.75</v>
      </c>
      <c r="E1606" s="136">
        <v>41286</v>
      </c>
      <c r="F1606">
        <v>31.748000000000001</v>
      </c>
      <c r="G1606">
        <v>31.096</v>
      </c>
      <c r="H1606">
        <v>31.939</v>
      </c>
      <c r="I1606" s="136">
        <v>41286</v>
      </c>
      <c r="J1606">
        <v>45.97</v>
      </c>
      <c r="K1606">
        <v>45.47</v>
      </c>
      <c r="L1606">
        <v>46.15</v>
      </c>
    </row>
    <row r="1607" spans="1:12">
      <c r="A1607" s="136">
        <v>41287</v>
      </c>
      <c r="B1607">
        <v>2119</v>
      </c>
      <c r="C1607">
        <v>2097</v>
      </c>
      <c r="D1607">
        <v>2125.75</v>
      </c>
      <c r="E1607" s="136">
        <v>41287</v>
      </c>
      <c r="F1607">
        <v>31.748000000000001</v>
      </c>
      <c r="G1607">
        <v>31.096</v>
      </c>
      <c r="H1607">
        <v>31.939</v>
      </c>
      <c r="I1607" s="136">
        <v>41287</v>
      </c>
      <c r="J1607">
        <v>45.97</v>
      </c>
      <c r="K1607">
        <v>45.47</v>
      </c>
      <c r="L1607">
        <v>46.15</v>
      </c>
    </row>
    <row r="1608" spans="1:12">
      <c r="A1608" s="136">
        <v>41288</v>
      </c>
      <c r="B1608">
        <v>2101</v>
      </c>
      <c r="C1608">
        <v>2051.5</v>
      </c>
      <c r="D1608">
        <v>2116</v>
      </c>
      <c r="E1608" s="136">
        <v>41288</v>
      </c>
      <c r="F1608">
        <v>31.751000000000001</v>
      </c>
      <c r="G1608">
        <v>31.241</v>
      </c>
      <c r="H1608">
        <v>32.173000000000002</v>
      </c>
      <c r="I1608" s="136">
        <v>41288</v>
      </c>
      <c r="J1608">
        <v>45.89</v>
      </c>
      <c r="K1608">
        <v>45.48</v>
      </c>
      <c r="L1608">
        <v>46.18</v>
      </c>
    </row>
    <row r="1609" spans="1:12">
      <c r="A1609" s="136">
        <v>41289</v>
      </c>
      <c r="B1609">
        <v>2057</v>
      </c>
      <c r="C1609">
        <v>2033</v>
      </c>
      <c r="D1609">
        <v>2064</v>
      </c>
      <c r="E1609" s="136">
        <v>41289</v>
      </c>
      <c r="F1609">
        <v>31.428000000000001</v>
      </c>
      <c r="G1609">
        <v>30.875</v>
      </c>
      <c r="H1609">
        <v>31.62</v>
      </c>
      <c r="I1609" s="136">
        <v>41289</v>
      </c>
      <c r="J1609">
        <v>45.49</v>
      </c>
      <c r="K1609">
        <v>45.35</v>
      </c>
      <c r="L1609">
        <v>46.47</v>
      </c>
    </row>
    <row r="1610" spans="1:12">
      <c r="A1610" s="136">
        <v>41290</v>
      </c>
      <c r="B1610">
        <v>2059.5</v>
      </c>
      <c r="C1610">
        <v>2028.5</v>
      </c>
      <c r="D1610">
        <v>2060</v>
      </c>
      <c r="E1610" s="136">
        <v>41290</v>
      </c>
      <c r="F1610">
        <v>31.292000000000002</v>
      </c>
      <c r="G1610">
        <v>30.492000000000001</v>
      </c>
      <c r="H1610">
        <v>31.376999999999999</v>
      </c>
      <c r="I1610" s="136">
        <v>41290</v>
      </c>
      <c r="J1610">
        <v>45.91</v>
      </c>
      <c r="K1610">
        <v>45.57</v>
      </c>
      <c r="L1610">
        <v>46.83</v>
      </c>
    </row>
    <row r="1611" spans="1:12">
      <c r="A1611" s="136">
        <v>41291</v>
      </c>
      <c r="B1611">
        <v>2050</v>
      </c>
      <c r="C1611">
        <v>2036</v>
      </c>
      <c r="D1611">
        <v>2060</v>
      </c>
      <c r="E1611" s="136">
        <v>41291</v>
      </c>
      <c r="F1611">
        <v>31.148</v>
      </c>
      <c r="G1611">
        <v>30.969000000000001</v>
      </c>
      <c r="H1611">
        <v>31.542999999999999</v>
      </c>
      <c r="I1611" s="136">
        <v>41291</v>
      </c>
      <c r="J1611">
        <v>46.4</v>
      </c>
      <c r="K1611">
        <v>46.29</v>
      </c>
      <c r="L1611">
        <v>46.87</v>
      </c>
    </row>
    <row r="1612" spans="1:12">
      <c r="A1612" s="136">
        <v>41292</v>
      </c>
      <c r="B1612">
        <v>2050</v>
      </c>
      <c r="C1612">
        <v>2041.75</v>
      </c>
      <c r="D1612">
        <v>2067</v>
      </c>
      <c r="E1612" s="136">
        <v>41292</v>
      </c>
      <c r="F1612">
        <v>31.202999999999999</v>
      </c>
      <c r="G1612">
        <v>30.908999999999999</v>
      </c>
      <c r="H1612">
        <v>31.518000000000001</v>
      </c>
      <c r="I1612" s="136">
        <v>41292</v>
      </c>
      <c r="J1612">
        <v>46.38</v>
      </c>
      <c r="K1612">
        <v>46.18</v>
      </c>
      <c r="L1612">
        <v>46.6</v>
      </c>
    </row>
    <row r="1613" spans="1:12">
      <c r="A1613" s="136">
        <v>41293</v>
      </c>
      <c r="B1613">
        <v>2050</v>
      </c>
      <c r="C1613">
        <v>2041.75</v>
      </c>
      <c r="D1613">
        <v>2067</v>
      </c>
      <c r="E1613" s="136">
        <v>41293</v>
      </c>
      <c r="F1613">
        <v>31.202999999999999</v>
      </c>
      <c r="G1613">
        <v>30.908999999999999</v>
      </c>
      <c r="H1613">
        <v>31.518000000000001</v>
      </c>
      <c r="I1613" s="136">
        <v>41293</v>
      </c>
      <c r="J1613">
        <v>46.38</v>
      </c>
      <c r="K1613">
        <v>46.18</v>
      </c>
      <c r="L1613">
        <v>46.6</v>
      </c>
    </row>
    <row r="1614" spans="1:12">
      <c r="A1614" s="136">
        <v>41294</v>
      </c>
      <c r="B1614">
        <v>2050</v>
      </c>
      <c r="C1614">
        <v>2041.75</v>
      </c>
      <c r="D1614">
        <v>2067</v>
      </c>
      <c r="E1614" s="136">
        <v>41294</v>
      </c>
      <c r="F1614">
        <v>31.202999999999999</v>
      </c>
      <c r="G1614">
        <v>30.908999999999999</v>
      </c>
      <c r="H1614">
        <v>31.518000000000001</v>
      </c>
      <c r="I1614" s="136">
        <v>41294</v>
      </c>
      <c r="J1614">
        <v>46.38</v>
      </c>
      <c r="K1614">
        <v>46.18</v>
      </c>
      <c r="L1614">
        <v>46.6</v>
      </c>
    </row>
    <row r="1615" spans="1:12">
      <c r="A1615" s="136">
        <v>41295</v>
      </c>
      <c r="B1615">
        <v>2050</v>
      </c>
      <c r="C1615">
        <v>2037.75</v>
      </c>
      <c r="D1615">
        <v>2054</v>
      </c>
      <c r="E1615" s="136">
        <v>41295</v>
      </c>
      <c r="F1615">
        <v>31.318000000000001</v>
      </c>
      <c r="G1615">
        <v>31.114000000000001</v>
      </c>
      <c r="H1615">
        <v>31.475000000000001</v>
      </c>
      <c r="I1615" s="136">
        <v>41295</v>
      </c>
      <c r="J1615">
        <v>46.38</v>
      </c>
      <c r="K1615">
        <v>46.18</v>
      </c>
      <c r="L1615">
        <v>46.6</v>
      </c>
    </row>
    <row r="1616" spans="1:12">
      <c r="A1616" s="136">
        <v>41296</v>
      </c>
      <c r="B1616">
        <v>2045</v>
      </c>
      <c r="C1616">
        <v>2042</v>
      </c>
      <c r="D1616">
        <v>2076</v>
      </c>
      <c r="E1616" s="136">
        <v>41296</v>
      </c>
      <c r="F1616">
        <v>31.152000000000001</v>
      </c>
      <c r="G1616">
        <v>29.96</v>
      </c>
      <c r="H1616">
        <v>31.300999999999998</v>
      </c>
      <c r="I1616" s="136">
        <v>41296</v>
      </c>
      <c r="J1616">
        <v>46.25</v>
      </c>
      <c r="K1616">
        <v>46.13</v>
      </c>
      <c r="L1616">
        <v>46.55</v>
      </c>
    </row>
    <row r="1617" spans="1:12">
      <c r="A1617" s="136">
        <v>41297</v>
      </c>
      <c r="B1617">
        <v>2070</v>
      </c>
      <c r="C1617">
        <v>2067</v>
      </c>
      <c r="D1617">
        <v>2101.25</v>
      </c>
      <c r="E1617" s="136">
        <v>41297</v>
      </c>
      <c r="F1617">
        <v>30.861999999999998</v>
      </c>
      <c r="G1617">
        <v>30.082999999999998</v>
      </c>
      <c r="H1617">
        <v>30.861999999999998</v>
      </c>
      <c r="I1617" s="136">
        <v>41297</v>
      </c>
      <c r="J1617">
        <v>46.23</v>
      </c>
      <c r="K1617">
        <v>45.92</v>
      </c>
      <c r="L1617">
        <v>46.44</v>
      </c>
    </row>
    <row r="1618" spans="1:12">
      <c r="A1618" s="136">
        <v>41298</v>
      </c>
      <c r="B1618">
        <v>2075</v>
      </c>
      <c r="C1618">
        <v>2057.5</v>
      </c>
      <c r="D1618">
        <v>2090</v>
      </c>
      <c r="E1618" s="136">
        <v>41298</v>
      </c>
      <c r="F1618">
        <v>30.207000000000001</v>
      </c>
      <c r="G1618">
        <v>29.576999999999998</v>
      </c>
      <c r="H1618">
        <v>31.02</v>
      </c>
      <c r="I1618" s="136">
        <v>41298</v>
      </c>
      <c r="J1618">
        <v>46.24</v>
      </c>
      <c r="K1618">
        <v>46.08</v>
      </c>
      <c r="L1618">
        <v>46.8</v>
      </c>
    </row>
    <row r="1619" spans="1:12">
      <c r="A1619" s="136">
        <v>41299</v>
      </c>
      <c r="B1619">
        <v>2075</v>
      </c>
      <c r="C1619">
        <v>2041</v>
      </c>
      <c r="D1619">
        <v>2093</v>
      </c>
      <c r="E1619" s="136">
        <v>41299</v>
      </c>
      <c r="F1619">
        <v>30.811</v>
      </c>
      <c r="G1619">
        <v>30.645</v>
      </c>
      <c r="H1619">
        <v>31.321999999999999</v>
      </c>
      <c r="I1619" s="136">
        <v>41299</v>
      </c>
      <c r="J1619">
        <v>46.74</v>
      </c>
      <c r="K1619">
        <v>46.604999999999997</v>
      </c>
      <c r="L1619">
        <v>47.16</v>
      </c>
    </row>
    <row r="1620" spans="1:12">
      <c r="A1620" s="136">
        <v>41300</v>
      </c>
      <c r="B1620">
        <v>2075</v>
      </c>
      <c r="C1620">
        <v>2041</v>
      </c>
      <c r="D1620">
        <v>2093</v>
      </c>
      <c r="E1620" s="136">
        <v>41300</v>
      </c>
      <c r="F1620">
        <v>30.811</v>
      </c>
      <c r="G1620">
        <v>30.645</v>
      </c>
      <c r="H1620">
        <v>31.321999999999999</v>
      </c>
      <c r="I1620" s="136">
        <v>41300</v>
      </c>
      <c r="J1620">
        <v>46.74</v>
      </c>
      <c r="K1620">
        <v>46.604999999999997</v>
      </c>
      <c r="L1620">
        <v>47.16</v>
      </c>
    </row>
    <row r="1621" spans="1:12">
      <c r="A1621" s="136">
        <v>41301</v>
      </c>
      <c r="B1621">
        <v>2075</v>
      </c>
      <c r="C1621">
        <v>2041</v>
      </c>
      <c r="D1621">
        <v>2093</v>
      </c>
      <c r="E1621" s="136">
        <v>41301</v>
      </c>
      <c r="F1621">
        <v>30.811</v>
      </c>
      <c r="G1621">
        <v>30.645</v>
      </c>
      <c r="H1621">
        <v>31.321999999999999</v>
      </c>
      <c r="I1621" s="136">
        <v>41301</v>
      </c>
      <c r="J1621">
        <v>46.74</v>
      </c>
      <c r="K1621">
        <v>46.604999999999997</v>
      </c>
      <c r="L1621">
        <v>47.16</v>
      </c>
    </row>
    <row r="1622" spans="1:12">
      <c r="A1622" s="136">
        <v>41302</v>
      </c>
      <c r="B1622">
        <v>2050</v>
      </c>
      <c r="C1622">
        <v>2040</v>
      </c>
      <c r="D1622">
        <v>2060.75</v>
      </c>
      <c r="E1622" s="136">
        <v>41302</v>
      </c>
      <c r="F1622">
        <v>31.283999999999999</v>
      </c>
      <c r="G1622">
        <v>30.739000000000001</v>
      </c>
      <c r="H1622">
        <v>31.702999999999999</v>
      </c>
      <c r="I1622" s="136">
        <v>41302</v>
      </c>
      <c r="J1622">
        <v>46.84</v>
      </c>
      <c r="K1622">
        <v>46.48</v>
      </c>
      <c r="L1622">
        <v>47</v>
      </c>
    </row>
    <row r="1623" spans="1:12">
      <c r="A1623" s="136">
        <v>41303</v>
      </c>
      <c r="B1623">
        <v>2049</v>
      </c>
      <c r="C1623">
        <v>2033</v>
      </c>
      <c r="D1623">
        <v>2065</v>
      </c>
      <c r="E1623" s="136">
        <v>41303</v>
      </c>
      <c r="F1623">
        <v>31.488</v>
      </c>
      <c r="G1623">
        <v>30.917999999999999</v>
      </c>
      <c r="H1623">
        <v>31.637</v>
      </c>
      <c r="I1623" s="136">
        <v>41303</v>
      </c>
      <c r="J1623">
        <v>46.28</v>
      </c>
      <c r="K1623">
        <v>46.25</v>
      </c>
      <c r="L1623">
        <v>47.16</v>
      </c>
    </row>
    <row r="1624" spans="1:12">
      <c r="A1624" s="136">
        <v>41304</v>
      </c>
      <c r="B1624">
        <v>2060.75</v>
      </c>
      <c r="C1624">
        <v>2060.75</v>
      </c>
      <c r="D1624">
        <v>2109</v>
      </c>
      <c r="E1624" s="136">
        <v>41304</v>
      </c>
      <c r="F1624">
        <v>31.292000000000002</v>
      </c>
      <c r="G1624">
        <v>31.148</v>
      </c>
      <c r="H1624">
        <v>32.253999999999998</v>
      </c>
      <c r="I1624" s="136">
        <v>41304</v>
      </c>
      <c r="J1624">
        <v>47.04</v>
      </c>
      <c r="K1624">
        <v>46.96</v>
      </c>
      <c r="L1624">
        <v>47.35</v>
      </c>
    </row>
    <row r="1625" spans="1:12">
      <c r="A1625" s="136">
        <v>41305</v>
      </c>
      <c r="B1625">
        <v>2098</v>
      </c>
      <c r="C1625">
        <v>2088.25</v>
      </c>
      <c r="D1625">
        <v>2126</v>
      </c>
      <c r="E1625" s="136">
        <v>41305</v>
      </c>
      <c r="F1625">
        <v>30.22</v>
      </c>
      <c r="G1625">
        <v>30.007000000000001</v>
      </c>
      <c r="H1625">
        <v>32.808</v>
      </c>
      <c r="I1625" s="136">
        <v>41305</v>
      </c>
      <c r="J1625">
        <v>47.01</v>
      </c>
      <c r="K1625">
        <v>46.88</v>
      </c>
      <c r="L1625">
        <v>47.22</v>
      </c>
    </row>
    <row r="1626" spans="1:12">
      <c r="A1626" s="136">
        <v>41306</v>
      </c>
      <c r="B1626">
        <v>2094.75</v>
      </c>
      <c r="C1626">
        <v>2085.75</v>
      </c>
      <c r="D1626">
        <v>2136.75</v>
      </c>
      <c r="E1626" s="136">
        <v>41306</v>
      </c>
      <c r="F1626">
        <v>32.756</v>
      </c>
      <c r="G1626">
        <v>32.436</v>
      </c>
      <c r="H1626">
        <v>32.969000000000001</v>
      </c>
      <c r="I1626" s="136">
        <v>41306</v>
      </c>
      <c r="J1626">
        <v>47.4</v>
      </c>
      <c r="K1626">
        <v>47.21</v>
      </c>
      <c r="L1626">
        <v>48</v>
      </c>
    </row>
    <row r="1627" spans="1:12">
      <c r="A1627" s="136">
        <v>41307</v>
      </c>
      <c r="B1627">
        <v>2094.75</v>
      </c>
      <c r="C1627">
        <v>2085.75</v>
      </c>
      <c r="D1627">
        <v>2136.75</v>
      </c>
      <c r="E1627" s="136">
        <v>41307</v>
      </c>
      <c r="F1627">
        <v>32.756</v>
      </c>
      <c r="G1627">
        <v>32.436</v>
      </c>
      <c r="H1627">
        <v>32.969000000000001</v>
      </c>
      <c r="I1627" s="136">
        <v>41307</v>
      </c>
      <c r="J1627">
        <v>47.4</v>
      </c>
      <c r="K1627">
        <v>47.21</v>
      </c>
      <c r="L1627">
        <v>48</v>
      </c>
    </row>
    <row r="1628" spans="1:12">
      <c r="A1628" s="136">
        <v>41308</v>
      </c>
      <c r="B1628">
        <v>2094.75</v>
      </c>
      <c r="C1628">
        <v>2085.75</v>
      </c>
      <c r="D1628">
        <v>2136.75</v>
      </c>
      <c r="E1628" s="136">
        <v>41308</v>
      </c>
      <c r="F1628">
        <v>32.756</v>
      </c>
      <c r="G1628">
        <v>32.436</v>
      </c>
      <c r="H1628">
        <v>32.969000000000001</v>
      </c>
      <c r="I1628" s="136">
        <v>41308</v>
      </c>
      <c r="J1628">
        <v>47.4</v>
      </c>
      <c r="K1628">
        <v>47.21</v>
      </c>
      <c r="L1628">
        <v>48</v>
      </c>
    </row>
    <row r="1629" spans="1:12">
      <c r="A1629" s="136">
        <v>41309</v>
      </c>
      <c r="B1629">
        <v>2127</v>
      </c>
      <c r="C1629">
        <v>2110</v>
      </c>
      <c r="D1629">
        <v>2147.25</v>
      </c>
      <c r="E1629" s="136">
        <v>41309</v>
      </c>
      <c r="F1629">
        <v>32.853000000000002</v>
      </c>
      <c r="G1629">
        <v>31.416</v>
      </c>
      <c r="H1629">
        <v>32.909999999999997</v>
      </c>
      <c r="I1629" s="136">
        <v>41309</v>
      </c>
      <c r="J1629">
        <v>47.54</v>
      </c>
      <c r="K1629">
        <v>47.38</v>
      </c>
      <c r="L1629">
        <v>47.81</v>
      </c>
    </row>
    <row r="1630" spans="1:12">
      <c r="A1630" s="136">
        <v>41310</v>
      </c>
      <c r="B1630">
        <v>2113.5</v>
      </c>
      <c r="C1630">
        <v>2100</v>
      </c>
      <c r="D1630">
        <v>2120.5</v>
      </c>
      <c r="E1630" s="136">
        <v>41310</v>
      </c>
      <c r="F1630">
        <v>31.603000000000002</v>
      </c>
      <c r="G1630">
        <v>31.42</v>
      </c>
      <c r="H1630">
        <v>32.527000000000001</v>
      </c>
      <c r="I1630" s="136">
        <v>41310</v>
      </c>
      <c r="J1630">
        <v>47.94</v>
      </c>
      <c r="K1630">
        <v>47.93</v>
      </c>
      <c r="L1630">
        <v>48.8</v>
      </c>
    </row>
    <row r="1631" spans="1:12">
      <c r="A1631" s="136">
        <v>41311</v>
      </c>
      <c r="B1631">
        <v>2115</v>
      </c>
      <c r="C1631">
        <v>2090.5</v>
      </c>
      <c r="D1631">
        <v>2119.75</v>
      </c>
      <c r="E1631" s="136">
        <v>41311</v>
      </c>
      <c r="F1631">
        <v>32.177999999999997</v>
      </c>
      <c r="G1631">
        <v>31.364999999999998</v>
      </c>
      <c r="H1631">
        <v>32.470999999999997</v>
      </c>
      <c r="I1631" s="136">
        <v>41311</v>
      </c>
      <c r="J1631">
        <v>48.42</v>
      </c>
      <c r="K1631">
        <v>48.32</v>
      </c>
      <c r="L1631">
        <v>48.83</v>
      </c>
    </row>
    <row r="1632" spans="1:12">
      <c r="A1632" s="136">
        <v>41312</v>
      </c>
      <c r="B1632">
        <v>2101</v>
      </c>
      <c r="C1632">
        <v>2082</v>
      </c>
      <c r="D1632">
        <v>2108</v>
      </c>
      <c r="E1632" s="136">
        <v>41312</v>
      </c>
      <c r="F1632">
        <v>31.48</v>
      </c>
      <c r="G1632">
        <v>30.994</v>
      </c>
      <c r="H1632">
        <v>31.806999999999999</v>
      </c>
      <c r="I1632" s="136">
        <v>41312</v>
      </c>
      <c r="J1632">
        <v>48.65</v>
      </c>
      <c r="K1632">
        <v>47.9</v>
      </c>
      <c r="L1632">
        <v>48.75</v>
      </c>
    </row>
    <row r="1633" spans="1:12">
      <c r="A1633" s="136">
        <v>41313</v>
      </c>
      <c r="B1633">
        <v>2103</v>
      </c>
      <c r="C1633">
        <v>2099</v>
      </c>
      <c r="D1633">
        <v>2126.75</v>
      </c>
      <c r="E1633" s="136">
        <v>41313</v>
      </c>
      <c r="F1633">
        <v>31.22</v>
      </c>
      <c r="G1633">
        <v>30.901</v>
      </c>
      <c r="H1633">
        <v>31.497</v>
      </c>
      <c r="I1633" s="136">
        <v>41313</v>
      </c>
      <c r="J1633">
        <v>48.33</v>
      </c>
      <c r="K1633">
        <v>48.26</v>
      </c>
      <c r="L1633">
        <v>48.69</v>
      </c>
    </row>
    <row r="1634" spans="1:12">
      <c r="A1634" s="136">
        <v>41314</v>
      </c>
      <c r="B1634">
        <v>2103</v>
      </c>
      <c r="C1634">
        <v>2099</v>
      </c>
      <c r="D1634">
        <v>2126.75</v>
      </c>
      <c r="E1634" s="136">
        <v>41314</v>
      </c>
      <c r="F1634">
        <v>31.22</v>
      </c>
      <c r="G1634">
        <v>30.901</v>
      </c>
      <c r="H1634">
        <v>31.497</v>
      </c>
      <c r="I1634" s="136">
        <v>41314</v>
      </c>
      <c r="J1634">
        <v>48.33</v>
      </c>
      <c r="K1634">
        <v>48.26</v>
      </c>
      <c r="L1634">
        <v>48.69</v>
      </c>
    </row>
    <row r="1635" spans="1:12">
      <c r="A1635" s="136">
        <v>41315</v>
      </c>
      <c r="B1635">
        <v>2103</v>
      </c>
      <c r="C1635">
        <v>2099</v>
      </c>
      <c r="D1635">
        <v>2126.75</v>
      </c>
      <c r="E1635" s="136">
        <v>41315</v>
      </c>
      <c r="F1635">
        <v>31.22</v>
      </c>
      <c r="G1635">
        <v>30.901</v>
      </c>
      <c r="H1635">
        <v>31.497</v>
      </c>
      <c r="I1635" s="136">
        <v>41315</v>
      </c>
      <c r="J1635">
        <v>48.33</v>
      </c>
      <c r="K1635">
        <v>48.26</v>
      </c>
      <c r="L1635">
        <v>48.69</v>
      </c>
    </row>
    <row r="1636" spans="1:12">
      <c r="A1636" s="136">
        <v>41316</v>
      </c>
      <c r="B1636">
        <v>2126</v>
      </c>
      <c r="C1636">
        <v>2097</v>
      </c>
      <c r="D1636">
        <v>2127</v>
      </c>
      <c r="E1636" s="136">
        <v>41316</v>
      </c>
      <c r="F1636">
        <v>31.356000000000002</v>
      </c>
      <c r="G1636">
        <v>30.905000000000001</v>
      </c>
      <c r="H1636">
        <v>31.585999999999999</v>
      </c>
      <c r="I1636" s="136">
        <v>41316</v>
      </c>
      <c r="J1636">
        <v>48.51</v>
      </c>
      <c r="K1636">
        <v>48.38</v>
      </c>
      <c r="L1636">
        <v>48.9</v>
      </c>
    </row>
    <row r="1637" spans="1:12">
      <c r="A1637" s="136">
        <v>41317</v>
      </c>
      <c r="B1637">
        <v>2102</v>
      </c>
      <c r="C1637">
        <v>2090.75</v>
      </c>
      <c r="D1637">
        <v>2123</v>
      </c>
      <c r="E1637" s="136">
        <v>41317</v>
      </c>
      <c r="F1637">
        <v>31.024000000000001</v>
      </c>
      <c r="G1637">
        <v>30.616</v>
      </c>
      <c r="H1637">
        <v>31.667000000000002</v>
      </c>
      <c r="I1637" s="136">
        <v>41317</v>
      </c>
      <c r="J1637">
        <v>48.8</v>
      </c>
      <c r="K1637">
        <v>48.6</v>
      </c>
      <c r="L1637">
        <v>49.31</v>
      </c>
    </row>
    <row r="1638" spans="1:12">
      <c r="A1638" s="136">
        <v>41318</v>
      </c>
      <c r="B1638">
        <v>2119</v>
      </c>
      <c r="C1638">
        <v>2118.75</v>
      </c>
      <c r="D1638">
        <v>2151</v>
      </c>
      <c r="E1638" s="136">
        <v>41318</v>
      </c>
      <c r="F1638">
        <v>31.62</v>
      </c>
      <c r="G1638">
        <v>31.036999999999999</v>
      </c>
      <c r="H1638">
        <v>31.675000000000001</v>
      </c>
      <c r="I1638" s="136">
        <v>41318</v>
      </c>
      <c r="J1638">
        <v>49.35</v>
      </c>
      <c r="K1638">
        <v>48.5</v>
      </c>
      <c r="L1638">
        <v>49.45</v>
      </c>
    </row>
    <row r="1639" spans="1:12">
      <c r="A1639" s="136">
        <v>41319</v>
      </c>
      <c r="B1639">
        <v>2142.5</v>
      </c>
      <c r="C1639">
        <v>2140</v>
      </c>
      <c r="D1639">
        <v>2166.5</v>
      </c>
      <c r="E1639" s="136">
        <v>41319</v>
      </c>
      <c r="F1639">
        <v>31.233000000000001</v>
      </c>
      <c r="G1639">
        <v>30.585999999999999</v>
      </c>
      <c r="H1639">
        <v>31.454000000000001</v>
      </c>
      <c r="I1639" s="136">
        <v>41319</v>
      </c>
      <c r="J1639">
        <v>48.4</v>
      </c>
      <c r="K1639">
        <v>48.37</v>
      </c>
      <c r="L1639">
        <v>49.289900000000003</v>
      </c>
    </row>
    <row r="1640" spans="1:12">
      <c r="A1640" s="136">
        <v>41320</v>
      </c>
      <c r="B1640">
        <v>2157</v>
      </c>
      <c r="C1640">
        <v>2149</v>
      </c>
      <c r="D1640">
        <v>2174</v>
      </c>
      <c r="E1640" s="136">
        <v>41320</v>
      </c>
      <c r="F1640">
        <v>30.884</v>
      </c>
      <c r="G1640">
        <v>30.352</v>
      </c>
      <c r="H1640">
        <v>31.071000000000002</v>
      </c>
      <c r="I1640" s="136">
        <v>41320</v>
      </c>
      <c r="J1640">
        <v>49.35</v>
      </c>
      <c r="K1640">
        <v>48.57</v>
      </c>
      <c r="L1640">
        <v>49.46</v>
      </c>
    </row>
    <row r="1641" spans="1:12">
      <c r="A1641" s="136">
        <v>41321</v>
      </c>
      <c r="B1641">
        <v>2157</v>
      </c>
      <c r="C1641">
        <v>2149</v>
      </c>
      <c r="D1641">
        <v>2174</v>
      </c>
      <c r="E1641" s="136">
        <v>41321</v>
      </c>
      <c r="F1641">
        <v>30.884</v>
      </c>
      <c r="G1641">
        <v>30.352</v>
      </c>
      <c r="H1641">
        <v>31.071000000000002</v>
      </c>
      <c r="I1641" s="136">
        <v>41321</v>
      </c>
      <c r="J1641">
        <v>49.35</v>
      </c>
      <c r="K1641">
        <v>48.57</v>
      </c>
      <c r="L1641">
        <v>49.46</v>
      </c>
    </row>
    <row r="1642" spans="1:12">
      <c r="A1642" s="136">
        <v>41322</v>
      </c>
      <c r="B1642">
        <v>2157</v>
      </c>
      <c r="C1642">
        <v>2149</v>
      </c>
      <c r="D1642">
        <v>2174</v>
      </c>
      <c r="E1642" s="136">
        <v>41322</v>
      </c>
      <c r="F1642">
        <v>30.884</v>
      </c>
      <c r="G1642">
        <v>30.352</v>
      </c>
      <c r="H1642">
        <v>31.071000000000002</v>
      </c>
      <c r="I1642" s="136">
        <v>41322</v>
      </c>
      <c r="J1642">
        <v>49.35</v>
      </c>
      <c r="K1642">
        <v>48.57</v>
      </c>
      <c r="L1642">
        <v>49.46</v>
      </c>
    </row>
    <row r="1643" spans="1:12">
      <c r="A1643" s="136">
        <v>41323</v>
      </c>
      <c r="B1643">
        <v>2160.5</v>
      </c>
      <c r="C1643">
        <v>2114.25</v>
      </c>
      <c r="D1643">
        <v>2161.75</v>
      </c>
      <c r="E1643" s="136">
        <v>41323</v>
      </c>
      <c r="F1643">
        <v>30.501000000000001</v>
      </c>
      <c r="G1643">
        <v>30.155999999999999</v>
      </c>
      <c r="H1643">
        <v>30.798999999999999</v>
      </c>
      <c r="I1643" s="136">
        <v>41323</v>
      </c>
      <c r="J1643">
        <v>49.35</v>
      </c>
      <c r="K1643">
        <v>48.57</v>
      </c>
      <c r="L1643">
        <v>49.46</v>
      </c>
    </row>
    <row r="1644" spans="1:12">
      <c r="A1644" s="136">
        <v>41324</v>
      </c>
      <c r="B1644">
        <v>2120.5</v>
      </c>
      <c r="C1644">
        <v>2100.75</v>
      </c>
      <c r="D1644">
        <v>2129.75</v>
      </c>
      <c r="E1644" s="136">
        <v>41324</v>
      </c>
      <c r="F1644">
        <v>30.62</v>
      </c>
      <c r="G1644">
        <v>30.573</v>
      </c>
      <c r="H1644">
        <v>31.25</v>
      </c>
      <c r="I1644" s="136">
        <v>41324</v>
      </c>
      <c r="J1644">
        <v>49.12</v>
      </c>
      <c r="K1644">
        <v>49.12</v>
      </c>
      <c r="L1644">
        <v>49.68</v>
      </c>
    </row>
    <row r="1645" spans="1:12">
      <c r="A1645" s="136">
        <v>41325</v>
      </c>
      <c r="B1645">
        <v>2115</v>
      </c>
      <c r="C1645">
        <v>2085.75</v>
      </c>
      <c r="D1645">
        <v>2129.5</v>
      </c>
      <c r="E1645" s="136">
        <v>41325</v>
      </c>
      <c r="F1645">
        <v>31.122</v>
      </c>
      <c r="G1645">
        <v>30.751999999999999</v>
      </c>
      <c r="H1645">
        <v>31.326000000000001</v>
      </c>
      <c r="I1645" s="136">
        <v>41325</v>
      </c>
      <c r="J1645">
        <v>49.35</v>
      </c>
      <c r="K1645">
        <v>48.36</v>
      </c>
      <c r="L1645">
        <v>49.54</v>
      </c>
    </row>
    <row r="1646" spans="1:12">
      <c r="A1646" s="136">
        <v>41326</v>
      </c>
      <c r="B1646">
        <v>2101.75</v>
      </c>
      <c r="C1646">
        <v>2068.5</v>
      </c>
      <c r="D1646">
        <v>2102</v>
      </c>
      <c r="E1646" s="136">
        <v>41326</v>
      </c>
      <c r="F1646">
        <v>30.739000000000001</v>
      </c>
      <c r="G1646">
        <v>29.471</v>
      </c>
      <c r="H1646">
        <v>30.739000000000001</v>
      </c>
      <c r="I1646" s="136">
        <v>41326</v>
      </c>
      <c r="J1646">
        <v>48.41</v>
      </c>
      <c r="K1646">
        <v>47.83</v>
      </c>
      <c r="L1646">
        <v>48.45</v>
      </c>
    </row>
    <row r="1647" spans="1:12">
      <c r="A1647" s="136">
        <v>41327</v>
      </c>
      <c r="B1647">
        <v>2070</v>
      </c>
      <c r="C1647">
        <v>2043.5</v>
      </c>
      <c r="D1647">
        <v>2092</v>
      </c>
      <c r="E1647" s="136">
        <v>41327</v>
      </c>
      <c r="F1647">
        <v>29.734000000000002</v>
      </c>
      <c r="G1647">
        <v>29.550999999999998</v>
      </c>
      <c r="H1647">
        <v>30.33</v>
      </c>
      <c r="I1647" s="136">
        <v>41327</v>
      </c>
      <c r="J1647">
        <v>48.63</v>
      </c>
      <c r="K1647">
        <v>48.41</v>
      </c>
      <c r="L1647">
        <v>48.91</v>
      </c>
    </row>
    <row r="1648" spans="1:12">
      <c r="A1648" s="136">
        <v>41328</v>
      </c>
      <c r="B1648">
        <v>2070</v>
      </c>
      <c r="C1648">
        <v>2043.5</v>
      </c>
      <c r="D1648">
        <v>2092</v>
      </c>
      <c r="E1648" s="136">
        <v>41328</v>
      </c>
      <c r="F1648">
        <v>29.734000000000002</v>
      </c>
      <c r="G1648">
        <v>29.550999999999998</v>
      </c>
      <c r="H1648">
        <v>30.33</v>
      </c>
      <c r="I1648" s="136">
        <v>41328</v>
      </c>
      <c r="J1648">
        <v>48.63</v>
      </c>
      <c r="K1648">
        <v>48.41</v>
      </c>
      <c r="L1648">
        <v>48.91</v>
      </c>
    </row>
    <row r="1649" spans="1:12">
      <c r="A1649" s="136">
        <v>41329</v>
      </c>
      <c r="B1649">
        <v>2070</v>
      </c>
      <c r="C1649">
        <v>2043.5</v>
      </c>
      <c r="D1649">
        <v>2092</v>
      </c>
      <c r="E1649" s="136">
        <v>41329</v>
      </c>
      <c r="F1649">
        <v>29.734000000000002</v>
      </c>
      <c r="G1649">
        <v>29.550999999999998</v>
      </c>
      <c r="H1649">
        <v>30.33</v>
      </c>
      <c r="I1649" s="136">
        <v>41329</v>
      </c>
      <c r="J1649">
        <v>48.63</v>
      </c>
      <c r="K1649">
        <v>48.41</v>
      </c>
      <c r="L1649">
        <v>48.91</v>
      </c>
    </row>
    <row r="1650" spans="1:12">
      <c r="A1650" s="136">
        <v>41330</v>
      </c>
      <c r="B1650">
        <v>2048.25</v>
      </c>
      <c r="C1650">
        <v>2029.25</v>
      </c>
      <c r="D1650">
        <v>2055</v>
      </c>
      <c r="E1650" s="136">
        <v>41330</v>
      </c>
      <c r="F1650">
        <v>30.210999999999999</v>
      </c>
      <c r="G1650">
        <v>29.956</v>
      </c>
      <c r="H1650">
        <v>31.692</v>
      </c>
      <c r="I1650" s="136">
        <v>41330</v>
      </c>
      <c r="J1650">
        <v>49.1</v>
      </c>
      <c r="K1650">
        <v>47.65</v>
      </c>
      <c r="L1650">
        <v>49.2</v>
      </c>
    </row>
    <row r="1651" spans="1:12">
      <c r="A1651" s="136">
        <v>41331</v>
      </c>
      <c r="B1651">
        <v>2030</v>
      </c>
      <c r="C1651">
        <v>2010</v>
      </c>
      <c r="D1651">
        <v>2039.75</v>
      </c>
      <c r="E1651" s="136">
        <v>41331</v>
      </c>
      <c r="F1651">
        <v>29.96</v>
      </c>
      <c r="G1651">
        <v>29.058</v>
      </c>
      <c r="H1651">
        <v>29.96</v>
      </c>
      <c r="I1651" s="136">
        <v>41331</v>
      </c>
      <c r="J1651">
        <v>48.22</v>
      </c>
      <c r="K1651">
        <v>46.85</v>
      </c>
      <c r="L1651">
        <v>48.26</v>
      </c>
    </row>
    <row r="1652" spans="1:12">
      <c r="A1652" s="136">
        <v>41332</v>
      </c>
      <c r="B1652">
        <v>2029</v>
      </c>
      <c r="C1652">
        <v>2008</v>
      </c>
      <c r="D1652">
        <v>2034.75</v>
      </c>
      <c r="E1652" s="136">
        <v>41332</v>
      </c>
      <c r="F1652">
        <v>29.457999999999998</v>
      </c>
      <c r="G1652">
        <v>28.891999999999999</v>
      </c>
      <c r="H1652">
        <v>29.879000000000001</v>
      </c>
      <c r="I1652" s="136">
        <v>41332</v>
      </c>
      <c r="J1652">
        <v>47.85</v>
      </c>
      <c r="K1652">
        <v>47.76</v>
      </c>
      <c r="L1652">
        <v>49.4</v>
      </c>
    </row>
    <row r="1653" spans="1:12">
      <c r="A1653" s="136">
        <v>41333</v>
      </c>
      <c r="B1653">
        <v>2020.25</v>
      </c>
      <c r="C1653">
        <v>1993.85</v>
      </c>
      <c r="D1653">
        <v>2028</v>
      </c>
      <c r="E1653" s="136">
        <v>41333</v>
      </c>
      <c r="F1653">
        <v>29.777000000000001</v>
      </c>
      <c r="G1653">
        <v>29.597999999999999</v>
      </c>
      <c r="H1653">
        <v>30.283999999999999</v>
      </c>
      <c r="I1653" s="136">
        <v>41333</v>
      </c>
      <c r="J1653">
        <v>49.16</v>
      </c>
      <c r="K1653">
        <v>48.75</v>
      </c>
      <c r="L1653">
        <v>49.55</v>
      </c>
    </row>
    <row r="1654" spans="1:12">
      <c r="A1654" s="136">
        <v>41334</v>
      </c>
      <c r="B1654">
        <v>2008</v>
      </c>
      <c r="C1654">
        <v>1956</v>
      </c>
      <c r="D1654">
        <v>2008</v>
      </c>
      <c r="E1654" s="136">
        <v>41334</v>
      </c>
      <c r="F1654">
        <v>29.454000000000001</v>
      </c>
      <c r="G1654">
        <v>28.015000000000001</v>
      </c>
      <c r="H1654">
        <v>29.488</v>
      </c>
      <c r="I1654" s="136">
        <v>41334</v>
      </c>
      <c r="J1654">
        <v>48.6</v>
      </c>
      <c r="K1654">
        <v>48.37</v>
      </c>
      <c r="L1654">
        <v>49.42</v>
      </c>
    </row>
    <row r="1655" spans="1:12">
      <c r="A1655" s="136">
        <v>41335</v>
      </c>
      <c r="B1655">
        <v>2008</v>
      </c>
      <c r="C1655">
        <v>1956</v>
      </c>
      <c r="D1655">
        <v>2008</v>
      </c>
      <c r="E1655" s="136">
        <v>41335</v>
      </c>
      <c r="F1655">
        <v>29.454000000000001</v>
      </c>
      <c r="G1655">
        <v>28.015000000000001</v>
      </c>
      <c r="H1655">
        <v>29.488</v>
      </c>
      <c r="I1655" s="136">
        <v>41335</v>
      </c>
      <c r="J1655">
        <v>48.6</v>
      </c>
      <c r="K1655">
        <v>48.37</v>
      </c>
      <c r="L1655">
        <v>49.42</v>
      </c>
    </row>
    <row r="1656" spans="1:12">
      <c r="A1656" s="136">
        <v>41336</v>
      </c>
      <c r="B1656">
        <v>2008</v>
      </c>
      <c r="C1656">
        <v>1956</v>
      </c>
      <c r="D1656">
        <v>2008</v>
      </c>
      <c r="E1656" s="136">
        <v>41336</v>
      </c>
      <c r="F1656">
        <v>29.454000000000001</v>
      </c>
      <c r="G1656">
        <v>28.015000000000001</v>
      </c>
      <c r="H1656">
        <v>29.488</v>
      </c>
      <c r="I1656" s="136">
        <v>41336</v>
      </c>
      <c r="J1656">
        <v>48.6</v>
      </c>
      <c r="K1656">
        <v>48.37</v>
      </c>
      <c r="L1656">
        <v>49.42</v>
      </c>
    </row>
    <row r="1657" spans="1:12">
      <c r="A1657" s="136">
        <v>41337</v>
      </c>
      <c r="B1657">
        <v>1975</v>
      </c>
      <c r="C1657">
        <v>1963.25</v>
      </c>
      <c r="D1657">
        <v>1986</v>
      </c>
      <c r="E1657" s="136">
        <v>41337</v>
      </c>
      <c r="F1657">
        <v>28.533999999999999</v>
      </c>
      <c r="G1657">
        <v>27.972000000000001</v>
      </c>
      <c r="H1657">
        <v>28.564</v>
      </c>
      <c r="I1657" s="136">
        <v>41337</v>
      </c>
      <c r="J1657">
        <v>48.73</v>
      </c>
      <c r="K1657">
        <v>48.33</v>
      </c>
      <c r="L1657">
        <v>49.14</v>
      </c>
    </row>
    <row r="1658" spans="1:12">
      <c r="A1658" s="136">
        <v>41338</v>
      </c>
      <c r="B1658">
        <v>1980</v>
      </c>
      <c r="C1658">
        <v>1976</v>
      </c>
      <c r="D1658">
        <v>2000</v>
      </c>
      <c r="E1658" s="136">
        <v>41338</v>
      </c>
      <c r="F1658">
        <v>28.518000000000001</v>
      </c>
      <c r="G1658">
        <v>28.457999999999998</v>
      </c>
      <c r="H1658">
        <v>29.231999999999999</v>
      </c>
      <c r="I1658" s="136">
        <v>41338</v>
      </c>
      <c r="J1658">
        <v>49.49</v>
      </c>
      <c r="K1658">
        <v>49.31</v>
      </c>
      <c r="L1658">
        <v>50.11</v>
      </c>
    </row>
    <row r="1659" spans="1:12">
      <c r="A1659" s="136">
        <v>41339</v>
      </c>
      <c r="B1659">
        <v>1976.25</v>
      </c>
      <c r="C1659">
        <v>1948.5</v>
      </c>
      <c r="D1659">
        <v>1983.25</v>
      </c>
      <c r="E1659" s="136">
        <v>41339</v>
      </c>
      <c r="F1659">
        <v>29.041</v>
      </c>
      <c r="G1659">
        <v>28.773</v>
      </c>
      <c r="H1659">
        <v>29.454000000000001</v>
      </c>
      <c r="I1659" s="136">
        <v>41339</v>
      </c>
      <c r="J1659">
        <v>49.88</v>
      </c>
      <c r="K1659">
        <v>49.62</v>
      </c>
      <c r="L1659">
        <v>50.19</v>
      </c>
    </row>
    <row r="1660" spans="1:12">
      <c r="A1660" s="136">
        <v>41340</v>
      </c>
      <c r="B1660">
        <v>1959</v>
      </c>
      <c r="C1660">
        <v>1949.75</v>
      </c>
      <c r="D1660">
        <v>1986.5</v>
      </c>
      <c r="E1660" s="136">
        <v>41340</v>
      </c>
      <c r="F1660">
        <v>28.968</v>
      </c>
      <c r="G1660">
        <v>28.652999999999999</v>
      </c>
      <c r="H1660">
        <v>29.07</v>
      </c>
      <c r="I1660" s="136">
        <v>41340</v>
      </c>
      <c r="J1660">
        <v>50.05</v>
      </c>
      <c r="K1660">
        <v>50.01</v>
      </c>
      <c r="L1660">
        <v>50.86</v>
      </c>
    </row>
    <row r="1661" spans="1:12">
      <c r="A1661" s="136">
        <v>41341</v>
      </c>
      <c r="B1661">
        <v>1980.25</v>
      </c>
      <c r="C1661">
        <v>1961</v>
      </c>
      <c r="D1661">
        <v>1984.75</v>
      </c>
      <c r="E1661" s="136">
        <v>41341</v>
      </c>
      <c r="F1661">
        <v>28.87</v>
      </c>
      <c r="G1661">
        <v>28.87</v>
      </c>
      <c r="H1661">
        <v>29.747</v>
      </c>
      <c r="I1661" s="136">
        <v>41341</v>
      </c>
      <c r="J1661">
        <v>50.59</v>
      </c>
      <c r="K1661">
        <v>49.61</v>
      </c>
      <c r="L1661">
        <v>50.85</v>
      </c>
    </row>
    <row r="1662" spans="1:12">
      <c r="A1662" s="136">
        <v>41342</v>
      </c>
      <c r="B1662">
        <v>1980.25</v>
      </c>
      <c r="C1662">
        <v>1961</v>
      </c>
      <c r="D1662">
        <v>1984.75</v>
      </c>
      <c r="E1662" s="136">
        <v>41342</v>
      </c>
      <c r="F1662">
        <v>28.87</v>
      </c>
      <c r="G1662">
        <v>28.87</v>
      </c>
      <c r="H1662">
        <v>29.747</v>
      </c>
      <c r="I1662" s="136">
        <v>41342</v>
      </c>
      <c r="J1662">
        <v>50.59</v>
      </c>
      <c r="K1662">
        <v>49.61</v>
      </c>
      <c r="L1662">
        <v>50.85</v>
      </c>
    </row>
    <row r="1663" spans="1:12">
      <c r="A1663" s="136">
        <v>41343</v>
      </c>
      <c r="B1663">
        <v>1980.25</v>
      </c>
      <c r="C1663">
        <v>1961</v>
      </c>
      <c r="D1663">
        <v>1984.75</v>
      </c>
      <c r="E1663" s="136">
        <v>41343</v>
      </c>
      <c r="F1663">
        <v>28.87</v>
      </c>
      <c r="G1663">
        <v>28.87</v>
      </c>
      <c r="H1663">
        <v>29.747</v>
      </c>
      <c r="I1663" s="136">
        <v>41343</v>
      </c>
      <c r="J1663">
        <v>50.59</v>
      </c>
      <c r="K1663">
        <v>49.61</v>
      </c>
      <c r="L1663">
        <v>50.85</v>
      </c>
    </row>
    <row r="1664" spans="1:12">
      <c r="A1664" s="136">
        <v>41344</v>
      </c>
      <c r="B1664">
        <v>1960</v>
      </c>
      <c r="C1664">
        <v>1934.85</v>
      </c>
      <c r="D1664">
        <v>1966</v>
      </c>
      <c r="E1664" s="136">
        <v>41344</v>
      </c>
      <c r="F1664">
        <v>29.445</v>
      </c>
      <c r="G1664">
        <v>28.709</v>
      </c>
      <c r="H1664">
        <v>29.539000000000001</v>
      </c>
      <c r="I1664" s="136">
        <v>41344</v>
      </c>
      <c r="J1664">
        <v>50.23</v>
      </c>
      <c r="K1664">
        <v>49.91</v>
      </c>
      <c r="L1664">
        <v>50.77</v>
      </c>
    </row>
    <row r="1665" spans="1:12">
      <c r="A1665" s="136">
        <v>41345</v>
      </c>
      <c r="B1665">
        <v>1962</v>
      </c>
      <c r="C1665">
        <v>1949.5</v>
      </c>
      <c r="D1665">
        <v>1986.75</v>
      </c>
      <c r="E1665" s="136">
        <v>41345</v>
      </c>
      <c r="F1665">
        <v>29.045000000000002</v>
      </c>
      <c r="G1665">
        <v>28.858000000000001</v>
      </c>
      <c r="H1665">
        <v>29.521999999999998</v>
      </c>
      <c r="I1665" s="136">
        <v>41345</v>
      </c>
      <c r="J1665">
        <v>50.35</v>
      </c>
      <c r="K1665">
        <v>50.05</v>
      </c>
      <c r="L1665">
        <v>50.67</v>
      </c>
    </row>
    <row r="1666" spans="1:12">
      <c r="A1666" s="136">
        <v>41346</v>
      </c>
      <c r="B1666">
        <v>1980</v>
      </c>
      <c r="C1666">
        <v>1964.25</v>
      </c>
      <c r="D1666">
        <v>1996.25</v>
      </c>
      <c r="E1666" s="136">
        <v>41346</v>
      </c>
      <c r="F1666">
        <v>29.151</v>
      </c>
      <c r="G1666">
        <v>28.436</v>
      </c>
      <c r="H1666">
        <v>29.164000000000001</v>
      </c>
      <c r="I1666" s="136">
        <v>41346</v>
      </c>
      <c r="J1666">
        <v>50.290100000000002</v>
      </c>
      <c r="K1666">
        <v>50.11</v>
      </c>
      <c r="L1666">
        <v>50.43</v>
      </c>
    </row>
    <row r="1667" spans="1:12">
      <c r="A1667" s="136">
        <v>41347</v>
      </c>
      <c r="B1667">
        <v>1974.75</v>
      </c>
      <c r="C1667">
        <v>1965</v>
      </c>
      <c r="D1667">
        <v>1990.5</v>
      </c>
      <c r="E1667" s="136">
        <v>41347</v>
      </c>
      <c r="F1667">
        <v>28.802</v>
      </c>
      <c r="G1667">
        <v>28.721</v>
      </c>
      <c r="H1667">
        <v>29.492000000000001</v>
      </c>
      <c r="I1667" s="136">
        <v>41347</v>
      </c>
      <c r="J1667">
        <v>50.25</v>
      </c>
      <c r="K1667">
        <v>50.19</v>
      </c>
      <c r="L1667">
        <v>51</v>
      </c>
    </row>
    <row r="1668" spans="1:12">
      <c r="A1668" s="136">
        <v>41348</v>
      </c>
      <c r="B1668">
        <v>1978.5</v>
      </c>
      <c r="C1668">
        <v>1961.5</v>
      </c>
      <c r="D1668">
        <v>1988</v>
      </c>
      <c r="E1668" s="136">
        <v>41348</v>
      </c>
      <c r="F1668">
        <v>29.241</v>
      </c>
      <c r="G1668">
        <v>28.891999999999999</v>
      </c>
      <c r="H1668">
        <v>29.445</v>
      </c>
      <c r="I1668" s="136">
        <v>41348</v>
      </c>
      <c r="J1668">
        <v>49.97</v>
      </c>
      <c r="K1668">
        <v>49.15</v>
      </c>
      <c r="L1668">
        <v>50.29</v>
      </c>
    </row>
    <row r="1669" spans="1:12">
      <c r="A1669" s="136">
        <v>41349</v>
      </c>
      <c r="B1669">
        <v>1978.5</v>
      </c>
      <c r="C1669">
        <v>1961.5</v>
      </c>
      <c r="D1669">
        <v>1988</v>
      </c>
      <c r="E1669" s="136">
        <v>41349</v>
      </c>
      <c r="F1669">
        <v>29.241</v>
      </c>
      <c r="G1669">
        <v>28.891999999999999</v>
      </c>
      <c r="H1669">
        <v>29.445</v>
      </c>
      <c r="I1669" s="136">
        <v>41349</v>
      </c>
      <c r="J1669">
        <v>49.97</v>
      </c>
      <c r="K1669">
        <v>49.15</v>
      </c>
      <c r="L1669">
        <v>50.29</v>
      </c>
    </row>
    <row r="1670" spans="1:12">
      <c r="A1670" s="136">
        <v>41350</v>
      </c>
      <c r="B1670">
        <v>1978.5</v>
      </c>
      <c r="C1670">
        <v>1961.5</v>
      </c>
      <c r="D1670">
        <v>1988</v>
      </c>
      <c r="E1670" s="136">
        <v>41350</v>
      </c>
      <c r="F1670">
        <v>29.241</v>
      </c>
      <c r="G1670">
        <v>28.891999999999999</v>
      </c>
      <c r="H1670">
        <v>29.445</v>
      </c>
      <c r="I1670" s="136">
        <v>41350</v>
      </c>
      <c r="J1670">
        <v>49.97</v>
      </c>
      <c r="K1670">
        <v>49.15</v>
      </c>
      <c r="L1670">
        <v>50.29</v>
      </c>
    </row>
    <row r="1671" spans="1:12">
      <c r="A1671" s="136">
        <v>41351</v>
      </c>
      <c r="B1671">
        <v>1956.5</v>
      </c>
      <c r="C1671">
        <v>1927.5</v>
      </c>
      <c r="D1671">
        <v>1956.5</v>
      </c>
      <c r="E1671" s="136">
        <v>41351</v>
      </c>
      <c r="F1671">
        <v>28.091999999999999</v>
      </c>
      <c r="G1671">
        <v>27.937999999999999</v>
      </c>
      <c r="H1671">
        <v>28.602</v>
      </c>
      <c r="I1671" s="136">
        <v>41351</v>
      </c>
      <c r="J1671">
        <v>49.19</v>
      </c>
      <c r="K1671">
        <v>48.95</v>
      </c>
      <c r="L1671">
        <v>49.66</v>
      </c>
    </row>
    <row r="1672" spans="1:12">
      <c r="A1672" s="136">
        <v>41352</v>
      </c>
      <c r="B1672">
        <v>1938</v>
      </c>
      <c r="C1672">
        <v>1932</v>
      </c>
      <c r="D1672">
        <v>1952.75</v>
      </c>
      <c r="E1672" s="136">
        <v>41352</v>
      </c>
      <c r="F1672">
        <v>28.381</v>
      </c>
      <c r="G1672">
        <v>27.103999999999999</v>
      </c>
      <c r="H1672">
        <v>28.492000000000001</v>
      </c>
      <c r="I1672" s="136">
        <v>41352</v>
      </c>
      <c r="J1672">
        <v>49.65</v>
      </c>
      <c r="K1672">
        <v>48.68</v>
      </c>
      <c r="L1672">
        <v>49.99</v>
      </c>
    </row>
    <row r="1673" spans="1:12">
      <c r="A1673" s="136">
        <v>41353</v>
      </c>
      <c r="B1673">
        <v>1934</v>
      </c>
      <c r="C1673">
        <v>1934</v>
      </c>
      <c r="D1673">
        <v>1956</v>
      </c>
      <c r="E1673" s="136">
        <v>41353</v>
      </c>
      <c r="F1673">
        <v>27.466000000000001</v>
      </c>
      <c r="G1673">
        <v>27.189</v>
      </c>
      <c r="H1673">
        <v>28.074999999999999</v>
      </c>
      <c r="I1673" s="136">
        <v>41353</v>
      </c>
      <c r="J1673">
        <v>49.57</v>
      </c>
      <c r="K1673">
        <v>49.04</v>
      </c>
      <c r="L1673">
        <v>49.64</v>
      </c>
    </row>
    <row r="1674" spans="1:12">
      <c r="A1674" s="136">
        <v>41354</v>
      </c>
      <c r="B1674">
        <v>1942</v>
      </c>
      <c r="C1674">
        <v>1918.75</v>
      </c>
      <c r="D1674">
        <v>1958</v>
      </c>
      <c r="E1674" s="136">
        <v>41354</v>
      </c>
      <c r="F1674">
        <v>27.649000000000001</v>
      </c>
      <c r="G1674">
        <v>27.564</v>
      </c>
      <c r="H1674">
        <v>28.172000000000001</v>
      </c>
      <c r="I1674" s="136">
        <v>41354</v>
      </c>
      <c r="J1674">
        <v>48.79</v>
      </c>
      <c r="K1674">
        <v>48.35</v>
      </c>
      <c r="L1674">
        <v>49.23</v>
      </c>
    </row>
    <row r="1675" spans="1:12">
      <c r="A1675" s="136">
        <v>41355</v>
      </c>
      <c r="B1675">
        <v>1928.5</v>
      </c>
      <c r="C1675">
        <v>1915</v>
      </c>
      <c r="D1675">
        <v>1950.75</v>
      </c>
      <c r="E1675" s="136">
        <v>41355</v>
      </c>
      <c r="F1675">
        <v>27.751000000000001</v>
      </c>
      <c r="G1675">
        <v>27.350999999999999</v>
      </c>
      <c r="H1675">
        <v>28.015000000000001</v>
      </c>
      <c r="I1675" s="136">
        <v>41355</v>
      </c>
      <c r="J1675">
        <v>48.63</v>
      </c>
      <c r="K1675">
        <v>48.34</v>
      </c>
      <c r="L1675">
        <v>49</v>
      </c>
    </row>
    <row r="1676" spans="1:12">
      <c r="A1676" s="136">
        <v>41356</v>
      </c>
      <c r="B1676">
        <v>1928.5</v>
      </c>
      <c r="C1676">
        <v>1915</v>
      </c>
      <c r="D1676">
        <v>1950.75</v>
      </c>
      <c r="E1676" s="136">
        <v>41356</v>
      </c>
      <c r="F1676">
        <v>27.751000000000001</v>
      </c>
      <c r="G1676">
        <v>27.350999999999999</v>
      </c>
      <c r="H1676">
        <v>28.015000000000001</v>
      </c>
      <c r="I1676" s="136">
        <v>41356</v>
      </c>
      <c r="J1676">
        <v>48.63</v>
      </c>
      <c r="K1676">
        <v>48.34</v>
      </c>
      <c r="L1676">
        <v>49</v>
      </c>
    </row>
    <row r="1677" spans="1:12">
      <c r="A1677" s="136">
        <v>41357</v>
      </c>
      <c r="B1677">
        <v>1928.5</v>
      </c>
      <c r="C1677">
        <v>1915</v>
      </c>
      <c r="D1677">
        <v>1950.75</v>
      </c>
      <c r="E1677" s="136">
        <v>41357</v>
      </c>
      <c r="F1677">
        <v>27.751000000000001</v>
      </c>
      <c r="G1677">
        <v>27.350999999999999</v>
      </c>
      <c r="H1677">
        <v>28.015000000000001</v>
      </c>
      <c r="I1677" s="136">
        <v>41357</v>
      </c>
      <c r="J1677">
        <v>48.63</v>
      </c>
      <c r="K1677">
        <v>48.34</v>
      </c>
      <c r="L1677">
        <v>49</v>
      </c>
    </row>
    <row r="1678" spans="1:12">
      <c r="A1678" s="136">
        <v>41358</v>
      </c>
      <c r="B1678">
        <v>1951</v>
      </c>
      <c r="C1678">
        <v>1928.5</v>
      </c>
      <c r="D1678">
        <v>1956</v>
      </c>
      <c r="E1678" s="136">
        <v>41358</v>
      </c>
      <c r="F1678">
        <v>28.581</v>
      </c>
      <c r="G1678">
        <v>26.443999999999999</v>
      </c>
      <c r="H1678">
        <v>28.581</v>
      </c>
      <c r="I1678" s="136">
        <v>41358</v>
      </c>
      <c r="J1678">
        <v>49.04</v>
      </c>
      <c r="K1678">
        <v>48.16</v>
      </c>
      <c r="L1678">
        <v>49.32</v>
      </c>
    </row>
    <row r="1679" spans="1:12">
      <c r="A1679" s="136">
        <v>41359</v>
      </c>
      <c r="B1679">
        <v>1934</v>
      </c>
      <c r="C1679">
        <v>1909.85</v>
      </c>
      <c r="D1679">
        <v>1935</v>
      </c>
      <c r="E1679" s="136">
        <v>41359</v>
      </c>
      <c r="F1679">
        <v>26.818999999999999</v>
      </c>
      <c r="G1679">
        <v>26.483000000000001</v>
      </c>
      <c r="H1679">
        <v>27.13</v>
      </c>
      <c r="I1679" s="136">
        <v>41359</v>
      </c>
      <c r="J1679">
        <v>48.74</v>
      </c>
      <c r="K1679">
        <v>48.32</v>
      </c>
      <c r="L1679">
        <v>48.97</v>
      </c>
    </row>
    <row r="1680" spans="1:12">
      <c r="A1680" s="136">
        <v>41360</v>
      </c>
      <c r="B1680">
        <v>1915</v>
      </c>
      <c r="C1680">
        <v>1900</v>
      </c>
      <c r="D1680">
        <v>1924.25</v>
      </c>
      <c r="E1680" s="136">
        <v>41360</v>
      </c>
      <c r="F1680">
        <v>26.7</v>
      </c>
      <c r="G1680">
        <v>25.474</v>
      </c>
      <c r="H1680">
        <v>26.738</v>
      </c>
      <c r="I1680" s="136">
        <v>41360</v>
      </c>
      <c r="J1680">
        <v>48.2</v>
      </c>
      <c r="K1680">
        <v>47.56</v>
      </c>
      <c r="L1680">
        <v>48.31</v>
      </c>
    </row>
    <row r="1681" spans="1:12">
      <c r="A1681" s="136">
        <v>41361</v>
      </c>
      <c r="B1681">
        <v>1924</v>
      </c>
      <c r="C1681">
        <v>1901</v>
      </c>
      <c r="D1681">
        <v>1928</v>
      </c>
      <c r="E1681" s="136">
        <v>41361</v>
      </c>
      <c r="F1681">
        <v>26.030999999999999</v>
      </c>
      <c r="G1681">
        <v>25.81</v>
      </c>
      <c r="H1681">
        <v>26.449000000000002</v>
      </c>
      <c r="I1681" s="136">
        <v>41361</v>
      </c>
      <c r="J1681">
        <v>47.84</v>
      </c>
      <c r="K1681">
        <v>47.28</v>
      </c>
      <c r="L1681">
        <v>47.93</v>
      </c>
    </row>
    <row r="1682" spans="1:12">
      <c r="A1682" s="136">
        <v>41362</v>
      </c>
      <c r="B1682">
        <v>1924</v>
      </c>
      <c r="C1682">
        <v>1901</v>
      </c>
      <c r="D1682">
        <v>1928</v>
      </c>
      <c r="E1682" s="136">
        <v>41362</v>
      </c>
      <c r="F1682">
        <v>26.030999999999999</v>
      </c>
      <c r="G1682">
        <v>25.81</v>
      </c>
      <c r="H1682">
        <v>26.449000000000002</v>
      </c>
      <c r="I1682" s="136">
        <v>41362</v>
      </c>
      <c r="J1682">
        <v>47.84</v>
      </c>
      <c r="K1682">
        <v>47.28</v>
      </c>
      <c r="L1682">
        <v>47.93</v>
      </c>
    </row>
    <row r="1683" spans="1:12">
      <c r="A1683" s="136">
        <v>41363</v>
      </c>
      <c r="B1683">
        <v>1924</v>
      </c>
      <c r="C1683">
        <v>1901</v>
      </c>
      <c r="D1683">
        <v>1928</v>
      </c>
      <c r="E1683" s="136">
        <v>41363</v>
      </c>
      <c r="F1683">
        <v>26.030999999999999</v>
      </c>
      <c r="G1683">
        <v>25.81</v>
      </c>
      <c r="H1683">
        <v>26.449000000000002</v>
      </c>
      <c r="I1683" s="136">
        <v>41363</v>
      </c>
      <c r="J1683">
        <v>47.84</v>
      </c>
      <c r="K1683">
        <v>47.28</v>
      </c>
      <c r="L1683">
        <v>47.93</v>
      </c>
    </row>
    <row r="1684" spans="1:12">
      <c r="A1684" s="136">
        <v>41364</v>
      </c>
      <c r="B1684">
        <v>1924</v>
      </c>
      <c r="C1684">
        <v>1901</v>
      </c>
      <c r="D1684">
        <v>1928</v>
      </c>
      <c r="E1684" s="136">
        <v>41364</v>
      </c>
      <c r="F1684">
        <v>26.030999999999999</v>
      </c>
      <c r="G1684">
        <v>25.81</v>
      </c>
      <c r="H1684">
        <v>26.449000000000002</v>
      </c>
      <c r="I1684" s="136">
        <v>41364</v>
      </c>
      <c r="J1684">
        <v>47.84</v>
      </c>
      <c r="K1684">
        <v>47.28</v>
      </c>
      <c r="L1684">
        <v>47.93</v>
      </c>
    </row>
    <row r="1685" spans="1:12">
      <c r="A1685" s="136">
        <v>41365</v>
      </c>
      <c r="B1685">
        <v>1924</v>
      </c>
      <c r="C1685">
        <v>1901</v>
      </c>
      <c r="D1685">
        <v>1928</v>
      </c>
      <c r="E1685" s="136">
        <v>41365</v>
      </c>
      <c r="F1685">
        <v>26.030999999999999</v>
      </c>
      <c r="G1685">
        <v>25.81</v>
      </c>
      <c r="H1685">
        <v>26.449000000000002</v>
      </c>
      <c r="I1685" s="136">
        <v>41365</v>
      </c>
      <c r="J1685">
        <v>47.55</v>
      </c>
      <c r="K1685">
        <v>47.49</v>
      </c>
      <c r="L1685">
        <v>47.99</v>
      </c>
    </row>
    <row r="1686" spans="1:12">
      <c r="A1686" s="136">
        <v>41366</v>
      </c>
      <c r="B1686">
        <v>1900</v>
      </c>
      <c r="C1686">
        <v>1875</v>
      </c>
      <c r="D1686">
        <v>1903</v>
      </c>
      <c r="E1686" s="136">
        <v>41366</v>
      </c>
      <c r="F1686">
        <v>25.963000000000001</v>
      </c>
      <c r="G1686">
        <v>25.504000000000001</v>
      </c>
      <c r="H1686">
        <v>26.815000000000001</v>
      </c>
      <c r="I1686" s="136">
        <v>41366</v>
      </c>
      <c r="J1686">
        <v>48.01</v>
      </c>
      <c r="K1686">
        <v>47.875</v>
      </c>
      <c r="L1686">
        <v>48.38</v>
      </c>
    </row>
    <row r="1687" spans="1:12">
      <c r="A1687" s="136">
        <v>41367</v>
      </c>
      <c r="B1687">
        <v>1886.75</v>
      </c>
      <c r="C1687">
        <v>1865</v>
      </c>
      <c r="D1687">
        <v>1887</v>
      </c>
      <c r="E1687" s="136">
        <v>41367</v>
      </c>
      <c r="F1687">
        <v>26.687000000000001</v>
      </c>
      <c r="G1687">
        <v>25.878</v>
      </c>
      <c r="H1687">
        <v>26.742000000000001</v>
      </c>
      <c r="I1687" s="136">
        <v>41367</v>
      </c>
      <c r="J1687">
        <v>48.03</v>
      </c>
      <c r="K1687">
        <v>46.53</v>
      </c>
      <c r="L1687">
        <v>48.07</v>
      </c>
    </row>
    <row r="1688" spans="1:12">
      <c r="A1688" s="136">
        <v>41368</v>
      </c>
      <c r="B1688">
        <v>1871</v>
      </c>
      <c r="C1688">
        <v>1862</v>
      </c>
      <c r="D1688">
        <v>1892.75</v>
      </c>
      <c r="E1688" s="136">
        <v>41368</v>
      </c>
      <c r="F1688">
        <v>26.18</v>
      </c>
      <c r="G1688">
        <v>25.751000000000001</v>
      </c>
      <c r="H1688">
        <v>26.734000000000002</v>
      </c>
      <c r="I1688" s="136">
        <v>41368</v>
      </c>
      <c r="J1688">
        <v>46.96</v>
      </c>
      <c r="K1688">
        <v>46.9</v>
      </c>
      <c r="L1688">
        <v>47.539900000000003</v>
      </c>
    </row>
    <row r="1689" spans="1:12">
      <c r="A1689" s="136">
        <v>41369</v>
      </c>
      <c r="B1689">
        <v>1889</v>
      </c>
      <c r="C1689">
        <v>1868</v>
      </c>
      <c r="D1689">
        <v>1893.25</v>
      </c>
      <c r="E1689" s="136">
        <v>41369</v>
      </c>
      <c r="F1689">
        <v>25.878</v>
      </c>
      <c r="G1689">
        <v>25.405999999999999</v>
      </c>
      <c r="H1689">
        <v>26.286999999999999</v>
      </c>
      <c r="I1689" s="136">
        <v>41369</v>
      </c>
      <c r="J1689">
        <v>46.79</v>
      </c>
      <c r="K1689">
        <v>46.75</v>
      </c>
      <c r="L1689">
        <v>48.04</v>
      </c>
    </row>
    <row r="1690" spans="1:12">
      <c r="A1690" s="136">
        <v>41370</v>
      </c>
      <c r="B1690">
        <v>1889</v>
      </c>
      <c r="C1690">
        <v>1868</v>
      </c>
      <c r="D1690">
        <v>1893.25</v>
      </c>
      <c r="E1690" s="136">
        <v>41370</v>
      </c>
      <c r="F1690">
        <v>25.878</v>
      </c>
      <c r="G1690">
        <v>25.405999999999999</v>
      </c>
      <c r="H1690">
        <v>26.286999999999999</v>
      </c>
      <c r="I1690" s="136">
        <v>41370</v>
      </c>
      <c r="J1690">
        <v>46.79</v>
      </c>
      <c r="K1690">
        <v>46.75</v>
      </c>
      <c r="L1690">
        <v>48.04</v>
      </c>
    </row>
    <row r="1691" spans="1:12">
      <c r="A1691" s="136">
        <v>41371</v>
      </c>
      <c r="B1691">
        <v>1889</v>
      </c>
      <c r="C1691">
        <v>1868</v>
      </c>
      <c r="D1691">
        <v>1893.25</v>
      </c>
      <c r="E1691" s="136">
        <v>41371</v>
      </c>
      <c r="F1691">
        <v>25.878</v>
      </c>
      <c r="G1691">
        <v>25.405999999999999</v>
      </c>
      <c r="H1691">
        <v>26.286999999999999</v>
      </c>
      <c r="I1691" s="136">
        <v>41371</v>
      </c>
      <c r="J1691">
        <v>46.79</v>
      </c>
      <c r="K1691">
        <v>46.75</v>
      </c>
      <c r="L1691">
        <v>48.04</v>
      </c>
    </row>
    <row r="1692" spans="1:12">
      <c r="A1692" s="136">
        <v>41372</v>
      </c>
      <c r="B1692">
        <v>1887.5</v>
      </c>
      <c r="C1692">
        <v>1885.5</v>
      </c>
      <c r="D1692">
        <v>1905.75</v>
      </c>
      <c r="E1692" s="136">
        <v>41372</v>
      </c>
      <c r="F1692">
        <v>25.861000000000001</v>
      </c>
      <c r="G1692">
        <v>25.568000000000001</v>
      </c>
      <c r="H1692">
        <v>26.111999999999998</v>
      </c>
      <c r="I1692" s="136">
        <v>41372</v>
      </c>
      <c r="J1692">
        <v>47.88</v>
      </c>
      <c r="K1692">
        <v>47.59</v>
      </c>
      <c r="L1692">
        <v>48.59</v>
      </c>
    </row>
    <row r="1693" spans="1:12">
      <c r="A1693" s="136">
        <v>41373</v>
      </c>
      <c r="B1693">
        <v>1893.75</v>
      </c>
      <c r="C1693">
        <v>1891.5</v>
      </c>
      <c r="D1693">
        <v>1922</v>
      </c>
      <c r="E1693" s="136">
        <v>41373</v>
      </c>
      <c r="F1693">
        <v>25.853000000000002</v>
      </c>
      <c r="G1693">
        <v>25.806000000000001</v>
      </c>
      <c r="H1693">
        <v>26.619</v>
      </c>
      <c r="I1693" s="136">
        <v>41373</v>
      </c>
      <c r="J1693">
        <v>48.74</v>
      </c>
      <c r="K1693">
        <v>48.46</v>
      </c>
      <c r="L1693">
        <v>48.961199999999998</v>
      </c>
    </row>
    <row r="1694" spans="1:12">
      <c r="A1694" s="136">
        <v>41374</v>
      </c>
      <c r="B1694">
        <v>1917.5</v>
      </c>
      <c r="C1694">
        <v>1900</v>
      </c>
      <c r="D1694">
        <v>1926</v>
      </c>
      <c r="E1694" s="136">
        <v>41374</v>
      </c>
      <c r="F1694">
        <v>26.533999999999999</v>
      </c>
      <c r="G1694">
        <v>26.41</v>
      </c>
      <c r="H1694">
        <v>27.747</v>
      </c>
      <c r="I1694" s="136">
        <v>41374</v>
      </c>
      <c r="J1694">
        <v>48.94</v>
      </c>
      <c r="K1694">
        <v>48.88</v>
      </c>
      <c r="L1694">
        <v>49.56</v>
      </c>
    </row>
    <row r="1695" spans="1:12">
      <c r="A1695" s="136">
        <v>41375</v>
      </c>
      <c r="B1695">
        <v>1906</v>
      </c>
      <c r="C1695">
        <v>1887</v>
      </c>
      <c r="D1695">
        <v>1912</v>
      </c>
      <c r="E1695" s="136">
        <v>41375</v>
      </c>
      <c r="F1695">
        <v>27.547000000000001</v>
      </c>
      <c r="G1695">
        <v>27.091000000000001</v>
      </c>
      <c r="H1695">
        <v>27.815000000000001</v>
      </c>
      <c r="I1695" s="136">
        <v>41375</v>
      </c>
      <c r="J1695">
        <v>49.21</v>
      </c>
      <c r="K1695">
        <v>48.83</v>
      </c>
      <c r="L1695">
        <v>49.6</v>
      </c>
    </row>
    <row r="1696" spans="1:12">
      <c r="A1696" s="136">
        <v>41376</v>
      </c>
      <c r="B1696">
        <v>1896</v>
      </c>
      <c r="C1696">
        <v>1852</v>
      </c>
      <c r="D1696">
        <v>1900</v>
      </c>
      <c r="E1696" s="136">
        <v>41376</v>
      </c>
      <c r="F1696">
        <v>27.452999999999999</v>
      </c>
      <c r="G1696">
        <v>26.516999999999999</v>
      </c>
      <c r="H1696">
        <v>27.474</v>
      </c>
      <c r="I1696" s="136">
        <v>41376</v>
      </c>
      <c r="J1696">
        <v>48.9</v>
      </c>
      <c r="K1696">
        <v>48.45</v>
      </c>
      <c r="L1696">
        <v>49.58</v>
      </c>
    </row>
    <row r="1697" spans="1:12">
      <c r="A1697" s="136">
        <v>41377</v>
      </c>
      <c r="B1697">
        <v>1896</v>
      </c>
      <c r="C1697">
        <v>1852</v>
      </c>
      <c r="D1697">
        <v>1900</v>
      </c>
      <c r="E1697" s="136">
        <v>41377</v>
      </c>
      <c r="F1697">
        <v>27.452999999999999</v>
      </c>
      <c r="G1697">
        <v>26.516999999999999</v>
      </c>
      <c r="H1697">
        <v>27.474</v>
      </c>
      <c r="I1697" s="136">
        <v>41377</v>
      </c>
      <c r="J1697">
        <v>48.9</v>
      </c>
      <c r="K1697">
        <v>48.45</v>
      </c>
      <c r="L1697">
        <v>49.58</v>
      </c>
    </row>
    <row r="1698" spans="1:12">
      <c r="A1698" s="136">
        <v>41378</v>
      </c>
      <c r="B1698">
        <v>1896</v>
      </c>
      <c r="C1698">
        <v>1852</v>
      </c>
      <c r="D1698">
        <v>1900</v>
      </c>
      <c r="E1698" s="136">
        <v>41378</v>
      </c>
      <c r="F1698">
        <v>27.452999999999999</v>
      </c>
      <c r="G1698">
        <v>26.516999999999999</v>
      </c>
      <c r="H1698">
        <v>27.474</v>
      </c>
      <c r="I1698" s="136">
        <v>41378</v>
      </c>
      <c r="J1698">
        <v>48.9</v>
      </c>
      <c r="K1698">
        <v>48.45</v>
      </c>
      <c r="L1698">
        <v>49.58</v>
      </c>
    </row>
    <row r="1699" spans="1:12">
      <c r="A1699" s="136">
        <v>41379</v>
      </c>
      <c r="B1699">
        <v>1858</v>
      </c>
      <c r="C1699">
        <v>1818</v>
      </c>
      <c r="D1699">
        <v>1880</v>
      </c>
      <c r="E1699" s="136">
        <v>41379</v>
      </c>
      <c r="F1699">
        <v>26.738</v>
      </c>
      <c r="G1699">
        <v>26.094999999999999</v>
      </c>
      <c r="H1699">
        <v>26.853000000000002</v>
      </c>
      <c r="I1699" s="136">
        <v>41379</v>
      </c>
      <c r="J1699">
        <v>48.39</v>
      </c>
      <c r="K1699">
        <v>47.9</v>
      </c>
      <c r="L1699">
        <v>49.34</v>
      </c>
    </row>
    <row r="1700" spans="1:12">
      <c r="A1700" s="136">
        <v>41380</v>
      </c>
      <c r="B1700">
        <v>1873</v>
      </c>
      <c r="C1700">
        <v>1861.25</v>
      </c>
      <c r="D1700">
        <v>1928</v>
      </c>
      <c r="E1700" s="136">
        <v>41380</v>
      </c>
      <c r="F1700">
        <v>26.350999999999999</v>
      </c>
      <c r="G1700">
        <v>26.141999999999999</v>
      </c>
      <c r="H1700">
        <v>27.01</v>
      </c>
      <c r="I1700" s="136">
        <v>41380</v>
      </c>
      <c r="J1700">
        <v>48.43</v>
      </c>
      <c r="K1700">
        <v>47.59</v>
      </c>
      <c r="L1700">
        <v>48.52</v>
      </c>
    </row>
    <row r="1701" spans="1:12">
      <c r="A1701" s="136">
        <v>41381</v>
      </c>
      <c r="B1701">
        <v>1924</v>
      </c>
      <c r="C1701">
        <v>1877</v>
      </c>
      <c r="D1701">
        <v>1926</v>
      </c>
      <c r="E1701" s="136">
        <v>41381</v>
      </c>
      <c r="F1701">
        <v>26.585000000000001</v>
      </c>
      <c r="G1701">
        <v>25.571999999999999</v>
      </c>
      <c r="H1701">
        <v>26.725000000000001</v>
      </c>
      <c r="I1701" s="136">
        <v>41381</v>
      </c>
      <c r="J1701">
        <v>48.11</v>
      </c>
      <c r="K1701">
        <v>46.38</v>
      </c>
      <c r="L1701">
        <v>48.18</v>
      </c>
    </row>
    <row r="1702" spans="1:12">
      <c r="A1702" s="136">
        <v>41382</v>
      </c>
      <c r="B1702">
        <v>1889.5</v>
      </c>
      <c r="C1702">
        <v>1850.25</v>
      </c>
      <c r="D1702">
        <v>1916.25</v>
      </c>
      <c r="E1702" s="136">
        <v>41382</v>
      </c>
      <c r="F1702">
        <v>25.687000000000001</v>
      </c>
      <c r="G1702">
        <v>24.925000000000001</v>
      </c>
      <c r="H1702">
        <v>26.283000000000001</v>
      </c>
      <c r="I1702" s="136">
        <v>41382</v>
      </c>
      <c r="J1702">
        <v>46.8</v>
      </c>
      <c r="K1702">
        <v>46.05</v>
      </c>
      <c r="L1702">
        <v>47.33</v>
      </c>
    </row>
    <row r="1703" spans="1:12">
      <c r="A1703" s="136">
        <v>41383</v>
      </c>
      <c r="B1703">
        <v>1910</v>
      </c>
      <c r="C1703">
        <v>1879</v>
      </c>
      <c r="D1703">
        <v>1925</v>
      </c>
      <c r="E1703" s="136">
        <v>41383</v>
      </c>
      <c r="F1703">
        <v>25.163</v>
      </c>
      <c r="G1703">
        <v>25.125</v>
      </c>
      <c r="H1703">
        <v>25.731999999999999</v>
      </c>
      <c r="I1703" s="136">
        <v>41383</v>
      </c>
      <c r="J1703">
        <v>47.15</v>
      </c>
      <c r="K1703">
        <v>46.7</v>
      </c>
      <c r="L1703">
        <v>47.363999999999997</v>
      </c>
    </row>
    <row r="1704" spans="1:12">
      <c r="A1704" s="136">
        <v>41384</v>
      </c>
      <c r="B1704">
        <v>1910</v>
      </c>
      <c r="C1704">
        <v>1879</v>
      </c>
      <c r="D1704">
        <v>1925</v>
      </c>
      <c r="E1704" s="136">
        <v>41384</v>
      </c>
      <c r="F1704">
        <v>25.163</v>
      </c>
      <c r="G1704">
        <v>25.125</v>
      </c>
      <c r="H1704">
        <v>25.731999999999999</v>
      </c>
      <c r="I1704" s="136">
        <v>41384</v>
      </c>
      <c r="J1704">
        <v>47.15</v>
      </c>
      <c r="K1704">
        <v>46.7</v>
      </c>
      <c r="L1704">
        <v>47.363999999999997</v>
      </c>
    </row>
    <row r="1705" spans="1:12">
      <c r="A1705" s="136">
        <v>41385</v>
      </c>
      <c r="B1705">
        <v>1910</v>
      </c>
      <c r="C1705">
        <v>1879</v>
      </c>
      <c r="D1705">
        <v>1925</v>
      </c>
      <c r="E1705" s="136">
        <v>41385</v>
      </c>
      <c r="F1705">
        <v>25.163</v>
      </c>
      <c r="G1705">
        <v>25.125</v>
      </c>
      <c r="H1705">
        <v>25.731999999999999</v>
      </c>
      <c r="I1705" s="136">
        <v>41385</v>
      </c>
      <c r="J1705">
        <v>47.15</v>
      </c>
      <c r="K1705">
        <v>46.7</v>
      </c>
      <c r="L1705">
        <v>47.363999999999997</v>
      </c>
    </row>
    <row r="1706" spans="1:12">
      <c r="A1706" s="136">
        <v>41386</v>
      </c>
      <c r="B1706">
        <v>1885</v>
      </c>
      <c r="C1706">
        <v>1869</v>
      </c>
      <c r="D1706">
        <v>1895</v>
      </c>
      <c r="E1706" s="136">
        <v>41386</v>
      </c>
      <c r="F1706">
        <v>25.78</v>
      </c>
      <c r="G1706">
        <v>25.303999999999998</v>
      </c>
      <c r="H1706">
        <v>26.158999999999999</v>
      </c>
      <c r="I1706" s="136">
        <v>41386</v>
      </c>
      <c r="J1706">
        <v>47.4</v>
      </c>
      <c r="K1706">
        <v>46.87</v>
      </c>
      <c r="L1706">
        <v>47.49</v>
      </c>
    </row>
    <row r="1707" spans="1:12">
      <c r="A1707" s="136">
        <v>41387</v>
      </c>
      <c r="B1707">
        <v>1890</v>
      </c>
      <c r="C1707">
        <v>1873</v>
      </c>
      <c r="D1707">
        <v>1908</v>
      </c>
      <c r="E1707" s="136">
        <v>41387</v>
      </c>
      <c r="F1707">
        <v>25.648</v>
      </c>
      <c r="G1707">
        <v>25.635999999999999</v>
      </c>
      <c r="H1707">
        <v>27.065999999999999</v>
      </c>
      <c r="I1707" s="136">
        <v>41387</v>
      </c>
      <c r="J1707">
        <v>47.68</v>
      </c>
      <c r="K1707">
        <v>47.39</v>
      </c>
      <c r="L1707">
        <v>48.24</v>
      </c>
    </row>
    <row r="1708" spans="1:12">
      <c r="A1708" s="136">
        <v>41388</v>
      </c>
      <c r="B1708">
        <v>1885</v>
      </c>
      <c r="C1708">
        <v>1884</v>
      </c>
      <c r="D1708">
        <v>1914</v>
      </c>
      <c r="E1708" s="136">
        <v>41388</v>
      </c>
      <c r="F1708">
        <v>26.913</v>
      </c>
      <c r="G1708">
        <v>26.908000000000001</v>
      </c>
      <c r="H1708">
        <v>27.742999999999999</v>
      </c>
      <c r="I1708" s="136">
        <v>41388</v>
      </c>
      <c r="J1708">
        <v>48.32</v>
      </c>
      <c r="K1708">
        <v>48.16</v>
      </c>
      <c r="L1708">
        <v>48.92</v>
      </c>
    </row>
    <row r="1709" spans="1:12">
      <c r="A1709" s="136">
        <v>41389</v>
      </c>
      <c r="B1709">
        <v>1907.5</v>
      </c>
      <c r="C1709">
        <v>1906.5</v>
      </c>
      <c r="D1709">
        <v>1944.25</v>
      </c>
      <c r="E1709" s="136">
        <v>41389</v>
      </c>
      <c r="F1709">
        <v>27.614999999999998</v>
      </c>
      <c r="G1709">
        <v>27.452000000000002</v>
      </c>
      <c r="H1709">
        <v>28.062000000000001</v>
      </c>
      <c r="I1709" s="136">
        <v>41389</v>
      </c>
      <c r="J1709">
        <v>49.02</v>
      </c>
      <c r="K1709">
        <v>48.889899999999997</v>
      </c>
      <c r="L1709">
        <v>49.63</v>
      </c>
    </row>
    <row r="1710" spans="1:12">
      <c r="A1710" s="136">
        <v>41390</v>
      </c>
      <c r="B1710">
        <v>1939.75</v>
      </c>
      <c r="C1710">
        <v>1872.5</v>
      </c>
      <c r="D1710">
        <v>1946</v>
      </c>
      <c r="E1710" s="136">
        <v>41390</v>
      </c>
      <c r="F1710">
        <v>27.920999999999999</v>
      </c>
      <c r="G1710">
        <v>27.193000000000001</v>
      </c>
      <c r="H1710">
        <v>27.920999999999999</v>
      </c>
      <c r="I1710" s="136">
        <v>41390</v>
      </c>
      <c r="J1710">
        <v>48.86</v>
      </c>
      <c r="K1710">
        <v>48.61</v>
      </c>
      <c r="L1710">
        <v>49.09</v>
      </c>
    </row>
    <row r="1711" spans="1:12">
      <c r="A1711" s="136">
        <v>41391</v>
      </c>
      <c r="B1711">
        <v>1939.75</v>
      </c>
      <c r="C1711">
        <v>1872.5</v>
      </c>
      <c r="D1711">
        <v>1946</v>
      </c>
      <c r="E1711" s="136">
        <v>41391</v>
      </c>
      <c r="F1711">
        <v>27.920999999999999</v>
      </c>
      <c r="G1711">
        <v>27.193000000000001</v>
      </c>
      <c r="H1711">
        <v>27.920999999999999</v>
      </c>
      <c r="I1711" s="136">
        <v>41391</v>
      </c>
      <c r="J1711">
        <v>48.86</v>
      </c>
      <c r="K1711">
        <v>48.61</v>
      </c>
      <c r="L1711">
        <v>49.09</v>
      </c>
    </row>
    <row r="1712" spans="1:12">
      <c r="A1712" s="136">
        <v>41392</v>
      </c>
      <c r="B1712">
        <v>1939.75</v>
      </c>
      <c r="C1712">
        <v>1872.5</v>
      </c>
      <c r="D1712">
        <v>1946</v>
      </c>
      <c r="E1712" s="136">
        <v>41392</v>
      </c>
      <c r="F1712">
        <v>27.920999999999999</v>
      </c>
      <c r="G1712">
        <v>27.193000000000001</v>
      </c>
      <c r="H1712">
        <v>27.920999999999999</v>
      </c>
      <c r="I1712" s="136">
        <v>41392</v>
      </c>
      <c r="J1712">
        <v>48.86</v>
      </c>
      <c r="K1712">
        <v>48.61</v>
      </c>
      <c r="L1712">
        <v>49.09</v>
      </c>
    </row>
    <row r="1713" spans="1:12">
      <c r="A1713" s="136">
        <v>41393</v>
      </c>
      <c r="B1713">
        <v>1879</v>
      </c>
      <c r="C1713">
        <v>1871.5</v>
      </c>
      <c r="D1713">
        <v>1901.5</v>
      </c>
      <c r="E1713" s="136">
        <v>41393</v>
      </c>
      <c r="F1713">
        <v>27.632000000000001</v>
      </c>
      <c r="G1713">
        <v>26.9</v>
      </c>
      <c r="H1713">
        <v>28.602</v>
      </c>
      <c r="I1713" s="136">
        <v>41393</v>
      </c>
      <c r="J1713">
        <v>49.08</v>
      </c>
      <c r="K1713">
        <v>48.65</v>
      </c>
      <c r="L1713">
        <v>49.1</v>
      </c>
    </row>
    <row r="1714" spans="1:12">
      <c r="A1714" s="136">
        <v>41394</v>
      </c>
      <c r="B1714">
        <v>1900.5</v>
      </c>
      <c r="C1714">
        <v>1862.5</v>
      </c>
      <c r="D1714">
        <v>1904</v>
      </c>
      <c r="E1714" s="136">
        <v>41394</v>
      </c>
      <c r="F1714">
        <v>28.411000000000001</v>
      </c>
      <c r="G1714">
        <v>28.411000000000001</v>
      </c>
      <c r="H1714">
        <v>30.39</v>
      </c>
      <c r="I1714" s="136">
        <v>41394</v>
      </c>
      <c r="J1714">
        <v>48.96</v>
      </c>
      <c r="K1714">
        <v>48.72</v>
      </c>
      <c r="L1714">
        <v>49.25</v>
      </c>
    </row>
    <row r="1715" spans="1:12">
      <c r="A1715" s="136">
        <v>41395</v>
      </c>
      <c r="B1715">
        <v>1870</v>
      </c>
      <c r="C1715">
        <v>1817.5</v>
      </c>
      <c r="D1715">
        <v>1870</v>
      </c>
      <c r="E1715" s="136">
        <v>41395</v>
      </c>
      <c r="F1715">
        <v>28.411000000000001</v>
      </c>
      <c r="G1715">
        <v>28.411000000000001</v>
      </c>
      <c r="H1715">
        <v>30.39</v>
      </c>
      <c r="I1715" s="136">
        <v>41395</v>
      </c>
      <c r="J1715">
        <v>48.76</v>
      </c>
      <c r="K1715">
        <v>47.85</v>
      </c>
      <c r="L1715">
        <v>48.91</v>
      </c>
    </row>
    <row r="1716" spans="1:12">
      <c r="A1716" s="136">
        <v>41396</v>
      </c>
      <c r="B1716">
        <v>1822</v>
      </c>
      <c r="C1716">
        <v>1809</v>
      </c>
      <c r="D1716">
        <v>1847</v>
      </c>
      <c r="E1716" s="136">
        <v>41396</v>
      </c>
      <c r="F1716">
        <v>29.666</v>
      </c>
      <c r="G1716">
        <v>29.495999999999999</v>
      </c>
      <c r="H1716">
        <v>30.734999999999999</v>
      </c>
      <c r="I1716" s="136">
        <v>41396</v>
      </c>
      <c r="J1716">
        <v>48.25</v>
      </c>
      <c r="K1716">
        <v>47.71</v>
      </c>
      <c r="L1716">
        <v>48.25</v>
      </c>
    </row>
    <row r="1717" spans="1:12">
      <c r="A1717" s="136">
        <v>41397</v>
      </c>
      <c r="B1717">
        <v>1824</v>
      </c>
      <c r="C1717">
        <v>1822.75</v>
      </c>
      <c r="D1717">
        <v>1889.75</v>
      </c>
      <c r="E1717" s="136">
        <v>41397</v>
      </c>
      <c r="F1717">
        <v>30.428000000000001</v>
      </c>
      <c r="G1717">
        <v>30.338999999999999</v>
      </c>
      <c r="H1717">
        <v>31.241</v>
      </c>
      <c r="I1717" s="136">
        <v>41397</v>
      </c>
      <c r="J1717">
        <v>48.63</v>
      </c>
      <c r="K1717">
        <v>46.98</v>
      </c>
      <c r="L1717">
        <v>48.7</v>
      </c>
    </row>
    <row r="1718" spans="1:12">
      <c r="A1718" s="136">
        <v>41398</v>
      </c>
      <c r="B1718">
        <v>1824</v>
      </c>
      <c r="C1718">
        <v>1822.75</v>
      </c>
      <c r="D1718">
        <v>1889.75</v>
      </c>
      <c r="E1718" s="136">
        <v>41398</v>
      </c>
      <c r="F1718">
        <v>30.428000000000001</v>
      </c>
      <c r="G1718">
        <v>30.338999999999999</v>
      </c>
      <c r="H1718">
        <v>31.241</v>
      </c>
      <c r="I1718" s="136">
        <v>41398</v>
      </c>
      <c r="J1718">
        <v>48.63</v>
      </c>
      <c r="K1718">
        <v>46.98</v>
      </c>
      <c r="L1718">
        <v>48.7</v>
      </c>
    </row>
    <row r="1719" spans="1:12">
      <c r="A1719" s="136">
        <v>41399</v>
      </c>
      <c r="B1719">
        <v>1824</v>
      </c>
      <c r="C1719">
        <v>1822.75</v>
      </c>
      <c r="D1719">
        <v>1889.75</v>
      </c>
      <c r="E1719" s="136">
        <v>41399</v>
      </c>
      <c r="F1719">
        <v>30.428000000000001</v>
      </c>
      <c r="G1719">
        <v>30.338999999999999</v>
      </c>
      <c r="H1719">
        <v>31.241</v>
      </c>
      <c r="I1719" s="136">
        <v>41399</v>
      </c>
      <c r="J1719">
        <v>48.63</v>
      </c>
      <c r="K1719">
        <v>46.98</v>
      </c>
      <c r="L1719">
        <v>48.7</v>
      </c>
    </row>
    <row r="1720" spans="1:12">
      <c r="A1720" s="136">
        <v>41400</v>
      </c>
      <c r="B1720">
        <v>1824</v>
      </c>
      <c r="C1720">
        <v>1822.75</v>
      </c>
      <c r="D1720">
        <v>1889.75</v>
      </c>
      <c r="E1720" s="136">
        <v>41400</v>
      </c>
      <c r="F1720">
        <v>31.152000000000001</v>
      </c>
      <c r="G1720">
        <v>30.956</v>
      </c>
      <c r="H1720">
        <v>31.552</v>
      </c>
      <c r="I1720" s="136">
        <v>41400</v>
      </c>
      <c r="J1720">
        <v>47.71</v>
      </c>
      <c r="K1720">
        <v>47.57</v>
      </c>
      <c r="L1720">
        <v>48.39</v>
      </c>
    </row>
    <row r="1721" spans="1:12">
      <c r="A1721" s="136">
        <v>41401</v>
      </c>
      <c r="B1721">
        <v>1885</v>
      </c>
      <c r="C1721">
        <v>1861.5</v>
      </c>
      <c r="D1721">
        <v>1896.75</v>
      </c>
      <c r="E1721" s="136">
        <v>41401</v>
      </c>
      <c r="F1721">
        <v>31.114000000000001</v>
      </c>
      <c r="G1721">
        <v>31.114000000000001</v>
      </c>
      <c r="H1721">
        <v>31.896999999999998</v>
      </c>
      <c r="I1721" s="136">
        <v>41401</v>
      </c>
      <c r="J1721">
        <v>48.57</v>
      </c>
      <c r="K1721">
        <v>48.26</v>
      </c>
      <c r="L1721">
        <v>49.39</v>
      </c>
    </row>
    <row r="1722" spans="1:12">
      <c r="A1722" s="136">
        <v>41402</v>
      </c>
      <c r="B1722">
        <v>1882</v>
      </c>
      <c r="C1722">
        <v>1877.5</v>
      </c>
      <c r="D1722">
        <v>1924.75</v>
      </c>
      <c r="E1722" s="136">
        <v>41402</v>
      </c>
      <c r="F1722">
        <v>31.646000000000001</v>
      </c>
      <c r="G1722">
        <v>31.068999999999999</v>
      </c>
      <c r="H1722">
        <v>31.832999999999998</v>
      </c>
      <c r="I1722" s="136">
        <v>41402</v>
      </c>
      <c r="J1722">
        <v>49.22</v>
      </c>
      <c r="K1722">
        <v>49.11</v>
      </c>
      <c r="L1722">
        <v>49.99</v>
      </c>
    </row>
    <row r="1723" spans="1:12">
      <c r="A1723" s="136">
        <v>41403</v>
      </c>
      <c r="B1723">
        <v>1908.5</v>
      </c>
      <c r="C1723">
        <v>1884.75</v>
      </c>
      <c r="D1723">
        <v>1909.75</v>
      </c>
      <c r="E1723" s="136">
        <v>41403</v>
      </c>
      <c r="F1723">
        <v>31.262</v>
      </c>
      <c r="G1723">
        <v>31.155999999999999</v>
      </c>
      <c r="H1723">
        <v>31.675000000000001</v>
      </c>
      <c r="I1723" s="136">
        <v>41403</v>
      </c>
      <c r="J1723">
        <v>49.7</v>
      </c>
      <c r="K1723">
        <v>48.92</v>
      </c>
      <c r="L1723">
        <v>49.81</v>
      </c>
    </row>
    <row r="1724" spans="1:12">
      <c r="A1724" s="136">
        <v>41404</v>
      </c>
      <c r="B1724">
        <v>1885</v>
      </c>
      <c r="C1724">
        <v>1848.75</v>
      </c>
      <c r="D1724">
        <v>1904</v>
      </c>
      <c r="E1724" s="136">
        <v>41404</v>
      </c>
      <c r="F1724">
        <v>31.433</v>
      </c>
      <c r="G1724">
        <v>30.678999999999998</v>
      </c>
      <c r="H1724">
        <v>31.663</v>
      </c>
      <c r="I1724" s="136">
        <v>41404</v>
      </c>
      <c r="J1724">
        <v>49.05</v>
      </c>
      <c r="K1724">
        <v>48.64</v>
      </c>
      <c r="L1724">
        <v>49.23</v>
      </c>
    </row>
    <row r="1725" spans="1:12">
      <c r="A1725" s="136">
        <v>41405</v>
      </c>
      <c r="B1725">
        <v>1885</v>
      </c>
      <c r="C1725">
        <v>1848.75</v>
      </c>
      <c r="D1725">
        <v>1904</v>
      </c>
      <c r="E1725" s="136">
        <v>41405</v>
      </c>
      <c r="F1725">
        <v>31.433</v>
      </c>
      <c r="G1725">
        <v>30.678999999999998</v>
      </c>
      <c r="H1725">
        <v>31.663</v>
      </c>
      <c r="I1725" s="136">
        <v>41405</v>
      </c>
      <c r="J1725">
        <v>49.05</v>
      </c>
      <c r="K1725">
        <v>48.64</v>
      </c>
      <c r="L1725">
        <v>49.23</v>
      </c>
    </row>
    <row r="1726" spans="1:12">
      <c r="A1726" s="136">
        <v>41406</v>
      </c>
      <c r="B1726">
        <v>1885</v>
      </c>
      <c r="C1726">
        <v>1848.75</v>
      </c>
      <c r="D1726">
        <v>1904</v>
      </c>
      <c r="E1726" s="136">
        <v>41406</v>
      </c>
      <c r="F1726">
        <v>31.433</v>
      </c>
      <c r="G1726">
        <v>30.678999999999998</v>
      </c>
      <c r="H1726">
        <v>31.663</v>
      </c>
      <c r="I1726" s="136">
        <v>41406</v>
      </c>
      <c r="J1726">
        <v>49.05</v>
      </c>
      <c r="K1726">
        <v>48.64</v>
      </c>
      <c r="L1726">
        <v>49.23</v>
      </c>
    </row>
    <row r="1727" spans="1:12">
      <c r="A1727" s="136">
        <v>41407</v>
      </c>
      <c r="B1727">
        <v>1875</v>
      </c>
      <c r="C1727">
        <v>1850</v>
      </c>
      <c r="D1727">
        <v>1882</v>
      </c>
      <c r="E1727" s="136">
        <v>41407</v>
      </c>
      <c r="F1727">
        <v>30.756</v>
      </c>
      <c r="G1727">
        <v>29.934999999999999</v>
      </c>
      <c r="H1727">
        <v>31.071000000000002</v>
      </c>
      <c r="I1727" s="136">
        <v>41407</v>
      </c>
      <c r="J1727">
        <v>48.84</v>
      </c>
      <c r="K1727">
        <v>48.61</v>
      </c>
      <c r="L1727">
        <v>49.7</v>
      </c>
    </row>
    <row r="1728" spans="1:12">
      <c r="A1728" s="136">
        <v>41408</v>
      </c>
      <c r="B1728">
        <v>1863</v>
      </c>
      <c r="C1728">
        <v>1844.5</v>
      </c>
      <c r="D1728">
        <v>1873</v>
      </c>
      <c r="E1728" s="136">
        <v>41408</v>
      </c>
      <c r="F1728">
        <v>30.696000000000002</v>
      </c>
      <c r="G1728">
        <v>30.024000000000001</v>
      </c>
      <c r="H1728">
        <v>30.956</v>
      </c>
      <c r="I1728" s="136">
        <v>41408</v>
      </c>
      <c r="J1728">
        <v>49.77</v>
      </c>
      <c r="K1728">
        <v>49.66</v>
      </c>
      <c r="L1728">
        <v>50.42</v>
      </c>
    </row>
    <row r="1729" spans="1:12">
      <c r="A1729" s="136">
        <v>41409</v>
      </c>
      <c r="B1729">
        <v>1860</v>
      </c>
      <c r="C1729">
        <v>1821</v>
      </c>
      <c r="D1729">
        <v>1863</v>
      </c>
      <c r="E1729" s="136">
        <v>41409</v>
      </c>
      <c r="F1729">
        <v>30.858000000000001</v>
      </c>
      <c r="G1729">
        <v>30.501000000000001</v>
      </c>
      <c r="H1729">
        <v>31.411000000000001</v>
      </c>
      <c r="I1729" s="136">
        <v>41409</v>
      </c>
      <c r="J1729">
        <v>50.2</v>
      </c>
      <c r="K1729">
        <v>50.15</v>
      </c>
      <c r="L1729">
        <v>51.43</v>
      </c>
    </row>
    <row r="1730" spans="1:12">
      <c r="A1730" s="136">
        <v>41410</v>
      </c>
      <c r="B1730">
        <v>1846</v>
      </c>
      <c r="C1730">
        <v>1832.75</v>
      </c>
      <c r="D1730">
        <v>1860</v>
      </c>
      <c r="E1730" s="136">
        <v>41410</v>
      </c>
      <c r="F1730">
        <v>31.416</v>
      </c>
      <c r="G1730">
        <v>30.837</v>
      </c>
      <c r="H1730">
        <v>31.416</v>
      </c>
      <c r="I1730" s="136">
        <v>41410</v>
      </c>
      <c r="J1730">
        <v>50.87</v>
      </c>
      <c r="K1730">
        <v>50.84</v>
      </c>
      <c r="L1730">
        <v>51.66</v>
      </c>
    </row>
    <row r="1731" spans="1:12">
      <c r="A1731" s="136">
        <v>41411</v>
      </c>
      <c r="B1731">
        <v>1853.75</v>
      </c>
      <c r="C1731">
        <v>1848.85</v>
      </c>
      <c r="D1731">
        <v>1866.75</v>
      </c>
      <c r="E1731" s="136">
        <v>41411</v>
      </c>
      <c r="F1731">
        <v>30.981999999999999</v>
      </c>
      <c r="G1731">
        <v>30.948</v>
      </c>
      <c r="H1731">
        <v>32.049999999999997</v>
      </c>
      <c r="I1731" s="136">
        <v>41411</v>
      </c>
      <c r="J1731">
        <v>51.26</v>
      </c>
      <c r="K1731">
        <v>51.25</v>
      </c>
      <c r="L1731">
        <v>52.33</v>
      </c>
    </row>
    <row r="1732" spans="1:12">
      <c r="A1732" s="136">
        <v>41412</v>
      </c>
      <c r="B1732">
        <v>1853.75</v>
      </c>
      <c r="C1732">
        <v>1848.85</v>
      </c>
      <c r="D1732">
        <v>1866.75</v>
      </c>
      <c r="E1732" s="136">
        <v>41412</v>
      </c>
      <c r="F1732">
        <v>30.981999999999999</v>
      </c>
      <c r="G1732">
        <v>30.948</v>
      </c>
      <c r="H1732">
        <v>32.049999999999997</v>
      </c>
      <c r="I1732" s="136">
        <v>41412</v>
      </c>
      <c r="J1732">
        <v>51.26</v>
      </c>
      <c r="K1732">
        <v>51.25</v>
      </c>
      <c r="L1732">
        <v>52.33</v>
      </c>
    </row>
    <row r="1733" spans="1:12">
      <c r="A1733" s="136">
        <v>41413</v>
      </c>
      <c r="B1733">
        <v>1853.75</v>
      </c>
      <c r="C1733">
        <v>1848.85</v>
      </c>
      <c r="D1733">
        <v>1866.75</v>
      </c>
      <c r="E1733" s="136">
        <v>41413</v>
      </c>
      <c r="F1733">
        <v>30.981999999999999</v>
      </c>
      <c r="G1733">
        <v>30.948</v>
      </c>
      <c r="H1733">
        <v>32.049999999999997</v>
      </c>
      <c r="I1733" s="136">
        <v>41413</v>
      </c>
      <c r="J1733">
        <v>51.26</v>
      </c>
      <c r="K1733">
        <v>51.25</v>
      </c>
      <c r="L1733">
        <v>52.33</v>
      </c>
    </row>
    <row r="1734" spans="1:12">
      <c r="A1734" s="136">
        <v>41414</v>
      </c>
      <c r="B1734">
        <v>1853</v>
      </c>
      <c r="C1734">
        <v>1836.5</v>
      </c>
      <c r="D1734">
        <v>1870.25</v>
      </c>
      <c r="E1734" s="136">
        <v>41414</v>
      </c>
      <c r="F1734">
        <v>31.870999999999999</v>
      </c>
      <c r="G1734">
        <v>31.376999999999999</v>
      </c>
      <c r="H1734">
        <v>32.232999999999997</v>
      </c>
      <c r="I1734" s="136">
        <v>41414</v>
      </c>
      <c r="J1734">
        <v>52.28</v>
      </c>
      <c r="K1734">
        <v>51.91</v>
      </c>
      <c r="L1734">
        <v>52.63</v>
      </c>
    </row>
    <row r="1735" spans="1:12">
      <c r="A1735" s="136">
        <v>41415</v>
      </c>
      <c r="B1735">
        <v>1864.75</v>
      </c>
      <c r="C1735">
        <v>1850.75</v>
      </c>
      <c r="D1735">
        <v>1872.75</v>
      </c>
      <c r="E1735" s="136">
        <v>41415</v>
      </c>
      <c r="F1735">
        <v>31.654</v>
      </c>
      <c r="G1735">
        <v>30.777000000000001</v>
      </c>
      <c r="H1735">
        <v>31.667000000000002</v>
      </c>
      <c r="I1735" s="136">
        <v>41415</v>
      </c>
      <c r="J1735">
        <v>52.53</v>
      </c>
      <c r="K1735">
        <v>52.45</v>
      </c>
      <c r="L1735">
        <v>53.67</v>
      </c>
    </row>
    <row r="1736" spans="1:12">
      <c r="A1736" s="136">
        <v>41416</v>
      </c>
      <c r="B1736">
        <v>1852</v>
      </c>
      <c r="C1736">
        <v>1852</v>
      </c>
      <c r="D1736">
        <v>1884.5</v>
      </c>
      <c r="E1736" s="136">
        <v>41416</v>
      </c>
      <c r="F1736">
        <v>31.300999999999998</v>
      </c>
      <c r="G1736">
        <v>31.088000000000001</v>
      </c>
      <c r="H1736">
        <v>31.704999999999998</v>
      </c>
      <c r="I1736" s="136">
        <v>41416</v>
      </c>
      <c r="J1736">
        <v>53.43</v>
      </c>
      <c r="K1736">
        <v>53.29</v>
      </c>
      <c r="L1736">
        <v>54.96</v>
      </c>
    </row>
    <row r="1737" spans="1:12">
      <c r="A1737" s="136">
        <v>41417</v>
      </c>
      <c r="B1737">
        <v>1872.5</v>
      </c>
      <c r="C1737">
        <v>1845</v>
      </c>
      <c r="D1737">
        <v>1874</v>
      </c>
      <c r="E1737" s="136">
        <v>41417</v>
      </c>
      <c r="F1737">
        <v>30.844999999999999</v>
      </c>
      <c r="G1737">
        <v>30.077999999999999</v>
      </c>
      <c r="H1737">
        <v>31.010999999999999</v>
      </c>
      <c r="I1737" s="136">
        <v>41417</v>
      </c>
      <c r="J1737">
        <v>52.82</v>
      </c>
      <c r="K1737">
        <v>52.66</v>
      </c>
      <c r="L1737">
        <v>53.789000000000001</v>
      </c>
    </row>
    <row r="1738" spans="1:12">
      <c r="A1738" s="136">
        <v>41418</v>
      </c>
      <c r="B1738">
        <v>1850</v>
      </c>
      <c r="C1738">
        <v>1838</v>
      </c>
      <c r="D1738">
        <v>1863</v>
      </c>
      <c r="E1738" s="136">
        <v>41418</v>
      </c>
      <c r="F1738">
        <v>30.113</v>
      </c>
      <c r="G1738">
        <v>29.478999999999999</v>
      </c>
      <c r="H1738">
        <v>30.501000000000001</v>
      </c>
      <c r="I1738" s="136">
        <v>41418</v>
      </c>
      <c r="J1738">
        <v>52.9</v>
      </c>
      <c r="K1738">
        <v>52.72</v>
      </c>
      <c r="L1738">
        <v>53.66</v>
      </c>
    </row>
    <row r="1739" spans="1:12">
      <c r="A1739" s="136">
        <v>41419</v>
      </c>
      <c r="B1739">
        <v>1850</v>
      </c>
      <c r="C1739">
        <v>1838</v>
      </c>
      <c r="D1739">
        <v>1863</v>
      </c>
      <c r="E1739" s="136">
        <v>41419</v>
      </c>
      <c r="F1739">
        <v>30.113</v>
      </c>
      <c r="G1739">
        <v>29.478999999999999</v>
      </c>
      <c r="H1739">
        <v>30.501000000000001</v>
      </c>
      <c r="I1739" s="136">
        <v>41419</v>
      </c>
      <c r="J1739">
        <v>52.9</v>
      </c>
      <c r="K1739">
        <v>52.72</v>
      </c>
      <c r="L1739">
        <v>53.66</v>
      </c>
    </row>
    <row r="1740" spans="1:12">
      <c r="A1740" s="136">
        <v>41420</v>
      </c>
      <c r="B1740">
        <v>1850</v>
      </c>
      <c r="C1740">
        <v>1838</v>
      </c>
      <c r="D1740">
        <v>1863</v>
      </c>
      <c r="E1740" s="136">
        <v>41420</v>
      </c>
      <c r="F1740">
        <v>30.113</v>
      </c>
      <c r="G1740">
        <v>29.478999999999999</v>
      </c>
      <c r="H1740">
        <v>30.501000000000001</v>
      </c>
      <c r="I1740" s="136">
        <v>41420</v>
      </c>
      <c r="J1740">
        <v>52.9</v>
      </c>
      <c r="K1740">
        <v>52.72</v>
      </c>
      <c r="L1740">
        <v>53.66</v>
      </c>
    </row>
    <row r="1741" spans="1:12">
      <c r="A1741" s="136">
        <v>41421</v>
      </c>
      <c r="B1741">
        <v>1850</v>
      </c>
      <c r="C1741">
        <v>1838</v>
      </c>
      <c r="D1741">
        <v>1863</v>
      </c>
      <c r="E1741" s="136">
        <v>41421</v>
      </c>
      <c r="F1741">
        <v>29.794</v>
      </c>
      <c r="G1741">
        <v>29.792000000000002</v>
      </c>
      <c r="H1741">
        <v>30.295999999999999</v>
      </c>
      <c r="I1741" s="136">
        <v>41421</v>
      </c>
      <c r="J1741">
        <v>52.9</v>
      </c>
      <c r="K1741">
        <v>52.72</v>
      </c>
      <c r="L1741">
        <v>53.66</v>
      </c>
    </row>
    <row r="1742" spans="1:12">
      <c r="A1742" s="136">
        <v>41422</v>
      </c>
      <c r="B1742">
        <v>1838</v>
      </c>
      <c r="C1742">
        <v>1838</v>
      </c>
      <c r="D1742">
        <v>1861</v>
      </c>
      <c r="E1742" s="136">
        <v>41422</v>
      </c>
      <c r="F1742">
        <v>30.254000000000001</v>
      </c>
      <c r="G1742">
        <v>30.254000000000001</v>
      </c>
      <c r="H1742">
        <v>31.071000000000002</v>
      </c>
      <c r="I1742" s="136">
        <v>41422</v>
      </c>
      <c r="J1742">
        <v>54.56</v>
      </c>
      <c r="K1742">
        <v>54.024999999999999</v>
      </c>
      <c r="L1742">
        <v>54.648600000000002</v>
      </c>
    </row>
    <row r="1743" spans="1:12">
      <c r="A1743" s="136">
        <v>41423</v>
      </c>
      <c r="B1743">
        <v>1850</v>
      </c>
      <c r="C1743">
        <v>1843.5</v>
      </c>
      <c r="D1743">
        <v>1868</v>
      </c>
      <c r="E1743" s="136">
        <v>41423</v>
      </c>
      <c r="F1743">
        <v>30.742999999999999</v>
      </c>
      <c r="G1743">
        <v>30.164000000000001</v>
      </c>
      <c r="H1743">
        <v>30.815999999999999</v>
      </c>
      <c r="I1743" s="136">
        <v>41423</v>
      </c>
      <c r="J1743">
        <v>54.09</v>
      </c>
      <c r="K1743">
        <v>53.91</v>
      </c>
      <c r="L1743">
        <v>54.96</v>
      </c>
    </row>
    <row r="1744" spans="1:12">
      <c r="A1744" s="136">
        <v>41424</v>
      </c>
      <c r="B1744">
        <v>1864</v>
      </c>
      <c r="C1744">
        <v>1859</v>
      </c>
      <c r="D1744">
        <v>1910.25</v>
      </c>
      <c r="E1744" s="136">
        <v>41424</v>
      </c>
      <c r="F1744">
        <v>30.262</v>
      </c>
      <c r="G1744">
        <v>30.074999999999999</v>
      </c>
      <c r="H1744">
        <v>31.065999999999999</v>
      </c>
      <c r="I1744" s="136">
        <v>41424</v>
      </c>
      <c r="J1744">
        <v>54.6</v>
      </c>
      <c r="K1744">
        <v>54.53</v>
      </c>
      <c r="L1744">
        <v>55.9</v>
      </c>
    </row>
    <row r="1745" spans="1:12">
      <c r="A1745" s="136">
        <v>41425</v>
      </c>
      <c r="B1745">
        <v>1901</v>
      </c>
      <c r="C1745">
        <v>1894.25</v>
      </c>
      <c r="D1745">
        <v>1914</v>
      </c>
      <c r="E1745" s="136">
        <v>41425</v>
      </c>
      <c r="F1745">
        <v>30.756</v>
      </c>
      <c r="G1745">
        <v>30.292000000000002</v>
      </c>
      <c r="H1745">
        <v>30.925999999999998</v>
      </c>
      <c r="I1745" s="136">
        <v>41425</v>
      </c>
      <c r="J1745">
        <v>55.71</v>
      </c>
      <c r="K1745">
        <v>54.59</v>
      </c>
      <c r="L1745">
        <v>55.83</v>
      </c>
    </row>
    <row r="1746" spans="1:12">
      <c r="A1746" s="136">
        <v>41426</v>
      </c>
      <c r="B1746">
        <v>1901</v>
      </c>
      <c r="C1746">
        <v>1894.25</v>
      </c>
      <c r="D1746">
        <v>1914</v>
      </c>
      <c r="E1746" s="136">
        <v>41426</v>
      </c>
      <c r="F1746">
        <v>30.756</v>
      </c>
      <c r="G1746">
        <v>30.292000000000002</v>
      </c>
      <c r="H1746">
        <v>30.925999999999998</v>
      </c>
      <c r="I1746" s="136">
        <v>41426</v>
      </c>
      <c r="J1746">
        <v>55.71</v>
      </c>
      <c r="K1746">
        <v>54.59</v>
      </c>
      <c r="L1746">
        <v>55.83</v>
      </c>
    </row>
    <row r="1747" spans="1:12">
      <c r="A1747" s="136">
        <v>41427</v>
      </c>
      <c r="B1747">
        <v>1901</v>
      </c>
      <c r="C1747">
        <v>1894.25</v>
      </c>
      <c r="D1747">
        <v>1914</v>
      </c>
      <c r="E1747" s="136">
        <v>41427</v>
      </c>
      <c r="F1747">
        <v>30.756</v>
      </c>
      <c r="G1747">
        <v>30.292000000000002</v>
      </c>
      <c r="H1747">
        <v>30.925999999999998</v>
      </c>
      <c r="I1747" s="136">
        <v>41427</v>
      </c>
      <c r="J1747">
        <v>55.71</v>
      </c>
      <c r="K1747">
        <v>54.59</v>
      </c>
      <c r="L1747">
        <v>55.83</v>
      </c>
    </row>
    <row r="1748" spans="1:12">
      <c r="A1748" s="136">
        <v>41428</v>
      </c>
      <c r="B1748">
        <v>1903.25</v>
      </c>
      <c r="C1748">
        <v>1903</v>
      </c>
      <c r="D1748">
        <v>1938</v>
      </c>
      <c r="E1748" s="136">
        <v>41428</v>
      </c>
      <c r="F1748">
        <v>30.542999999999999</v>
      </c>
      <c r="G1748">
        <v>30.177</v>
      </c>
      <c r="H1748">
        <v>31.202999999999999</v>
      </c>
      <c r="I1748" s="136">
        <v>41428</v>
      </c>
      <c r="J1748">
        <v>54.6</v>
      </c>
      <c r="K1748">
        <v>53.034999999999997</v>
      </c>
      <c r="L1748">
        <v>54.86</v>
      </c>
    </row>
    <row r="1749" spans="1:12">
      <c r="A1749" s="136">
        <v>41429</v>
      </c>
      <c r="B1749">
        <v>1924</v>
      </c>
      <c r="C1749">
        <v>1915.5</v>
      </c>
      <c r="D1749">
        <v>1949</v>
      </c>
      <c r="E1749" s="136">
        <v>41429</v>
      </c>
      <c r="F1749">
        <v>30.616</v>
      </c>
      <c r="G1749">
        <v>30.616</v>
      </c>
      <c r="H1749">
        <v>31.454000000000001</v>
      </c>
      <c r="I1749" s="136">
        <v>41429</v>
      </c>
      <c r="J1749">
        <v>54.54</v>
      </c>
      <c r="K1749">
        <v>53.87</v>
      </c>
      <c r="L1749">
        <v>55.39</v>
      </c>
    </row>
    <row r="1750" spans="1:12">
      <c r="A1750" s="136">
        <v>41430</v>
      </c>
      <c r="B1750">
        <v>1942.5</v>
      </c>
      <c r="C1750">
        <v>1942</v>
      </c>
      <c r="D1750">
        <v>1981</v>
      </c>
      <c r="E1750" s="136">
        <v>41430</v>
      </c>
      <c r="F1750">
        <v>30.908999999999999</v>
      </c>
      <c r="G1750">
        <v>30.300999999999998</v>
      </c>
      <c r="H1750">
        <v>31.335000000000001</v>
      </c>
      <c r="I1750" s="136">
        <v>41430</v>
      </c>
      <c r="J1750">
        <v>53.78</v>
      </c>
      <c r="K1750">
        <v>52.7</v>
      </c>
      <c r="L1750">
        <v>54.27</v>
      </c>
    </row>
    <row r="1751" spans="1:12">
      <c r="A1751" s="136">
        <v>41431</v>
      </c>
      <c r="B1751">
        <v>1960</v>
      </c>
      <c r="C1751">
        <v>1946</v>
      </c>
      <c r="D1751">
        <v>1967</v>
      </c>
      <c r="E1751" s="136">
        <v>41431</v>
      </c>
      <c r="F1751">
        <v>30.475000000000001</v>
      </c>
      <c r="G1751">
        <v>29.550999999999998</v>
      </c>
      <c r="H1751">
        <v>30.824000000000002</v>
      </c>
      <c r="I1751" s="136">
        <v>41431</v>
      </c>
      <c r="J1751">
        <v>52.84</v>
      </c>
      <c r="K1751">
        <v>52.27</v>
      </c>
      <c r="L1751">
        <v>53.52</v>
      </c>
    </row>
    <row r="1752" spans="1:12">
      <c r="A1752" s="136">
        <v>41432</v>
      </c>
      <c r="B1752">
        <v>1963</v>
      </c>
      <c r="C1752">
        <v>1931</v>
      </c>
      <c r="D1752">
        <v>1976</v>
      </c>
      <c r="E1752" s="136">
        <v>41432</v>
      </c>
      <c r="F1752">
        <v>29.994</v>
      </c>
      <c r="G1752">
        <v>29.623999999999999</v>
      </c>
      <c r="H1752">
        <v>31.02</v>
      </c>
      <c r="I1752" s="136">
        <v>41432</v>
      </c>
      <c r="J1752">
        <v>53.77</v>
      </c>
      <c r="K1752">
        <v>53.41</v>
      </c>
      <c r="L1752">
        <v>54.48</v>
      </c>
    </row>
    <row r="1753" spans="1:12">
      <c r="A1753" s="136">
        <v>41433</v>
      </c>
      <c r="B1753">
        <v>1963</v>
      </c>
      <c r="C1753">
        <v>1931</v>
      </c>
      <c r="D1753">
        <v>1976</v>
      </c>
      <c r="E1753" s="136">
        <v>41433</v>
      </c>
      <c r="F1753">
        <v>29.994</v>
      </c>
      <c r="G1753">
        <v>29.623999999999999</v>
      </c>
      <c r="H1753">
        <v>31.02</v>
      </c>
      <c r="I1753" s="136">
        <v>41433</v>
      </c>
      <c r="J1753">
        <v>53.77</v>
      </c>
      <c r="K1753">
        <v>53.41</v>
      </c>
      <c r="L1753">
        <v>54.48</v>
      </c>
    </row>
    <row r="1754" spans="1:12">
      <c r="A1754" s="136">
        <v>41434</v>
      </c>
      <c r="B1754">
        <v>1963</v>
      </c>
      <c r="C1754">
        <v>1931</v>
      </c>
      <c r="D1754">
        <v>1976</v>
      </c>
      <c r="E1754" s="136">
        <v>41434</v>
      </c>
      <c r="F1754">
        <v>29.994</v>
      </c>
      <c r="G1754">
        <v>29.623999999999999</v>
      </c>
      <c r="H1754">
        <v>31.02</v>
      </c>
      <c r="I1754" s="136">
        <v>41434</v>
      </c>
      <c r="J1754">
        <v>53.77</v>
      </c>
      <c r="K1754">
        <v>53.41</v>
      </c>
      <c r="L1754">
        <v>54.48</v>
      </c>
    </row>
    <row r="1755" spans="1:12">
      <c r="A1755" s="136">
        <v>41435</v>
      </c>
      <c r="B1755">
        <v>1935.75</v>
      </c>
      <c r="C1755">
        <v>1920.75</v>
      </c>
      <c r="D1755">
        <v>1938.75</v>
      </c>
      <c r="E1755" s="136">
        <v>41435</v>
      </c>
      <c r="F1755">
        <v>30.861999999999998</v>
      </c>
      <c r="G1755">
        <v>30.696000000000002</v>
      </c>
      <c r="H1755">
        <v>31.606999999999999</v>
      </c>
      <c r="I1755" s="136">
        <v>41435</v>
      </c>
      <c r="J1755">
        <v>54.64</v>
      </c>
      <c r="K1755">
        <v>54.02</v>
      </c>
      <c r="L1755">
        <v>54.84</v>
      </c>
    </row>
    <row r="1756" spans="1:12">
      <c r="A1756" s="136">
        <v>41436</v>
      </c>
      <c r="B1756">
        <v>1921.5</v>
      </c>
      <c r="C1756">
        <v>1883.75</v>
      </c>
      <c r="D1756">
        <v>1931</v>
      </c>
      <c r="E1756" s="136">
        <v>41436</v>
      </c>
      <c r="F1756">
        <v>30.763999999999999</v>
      </c>
      <c r="G1756">
        <v>29.827999999999999</v>
      </c>
      <c r="H1756">
        <v>31.105</v>
      </c>
      <c r="I1756" s="136">
        <v>41436</v>
      </c>
      <c r="J1756">
        <v>53.46</v>
      </c>
      <c r="K1756">
        <v>53.11</v>
      </c>
      <c r="L1756">
        <v>54.05</v>
      </c>
    </row>
    <row r="1757" spans="1:12">
      <c r="A1757" s="136">
        <v>41437</v>
      </c>
      <c r="B1757">
        <v>1892</v>
      </c>
      <c r="C1757">
        <v>1863.85</v>
      </c>
      <c r="D1757">
        <v>1903</v>
      </c>
      <c r="E1757" s="136">
        <v>41437</v>
      </c>
      <c r="F1757">
        <v>30.164000000000001</v>
      </c>
      <c r="G1757">
        <v>28.994</v>
      </c>
      <c r="H1757">
        <v>30.352</v>
      </c>
      <c r="I1757" s="136">
        <v>41437</v>
      </c>
      <c r="J1757">
        <v>53.9</v>
      </c>
      <c r="K1757">
        <v>52.9649</v>
      </c>
      <c r="L1757">
        <v>54.1</v>
      </c>
    </row>
    <row r="1758" spans="1:12">
      <c r="A1758" s="136">
        <v>41438</v>
      </c>
      <c r="B1758">
        <v>1864.75</v>
      </c>
      <c r="C1758">
        <v>1850.25</v>
      </c>
      <c r="D1758">
        <v>1877</v>
      </c>
      <c r="E1758" s="136">
        <v>41438</v>
      </c>
      <c r="F1758">
        <v>28.794</v>
      </c>
      <c r="G1758">
        <v>28.381</v>
      </c>
      <c r="H1758">
        <v>29.709</v>
      </c>
      <c r="I1758" s="136">
        <v>41438</v>
      </c>
      <c r="J1758">
        <v>53</v>
      </c>
      <c r="K1758">
        <v>52.97</v>
      </c>
      <c r="L1758">
        <v>54.24</v>
      </c>
    </row>
    <row r="1759" spans="1:12">
      <c r="A1759" s="136">
        <v>41439</v>
      </c>
      <c r="B1759">
        <v>1862</v>
      </c>
      <c r="C1759">
        <v>1850</v>
      </c>
      <c r="D1759">
        <v>1869</v>
      </c>
      <c r="E1759" s="136">
        <v>41439</v>
      </c>
      <c r="F1759">
        <v>29.725999999999999</v>
      </c>
      <c r="G1759">
        <v>29.134</v>
      </c>
      <c r="H1759">
        <v>29.922000000000001</v>
      </c>
      <c r="I1759" s="136">
        <v>41439</v>
      </c>
      <c r="J1759">
        <v>54.04</v>
      </c>
      <c r="K1759">
        <v>52.91</v>
      </c>
      <c r="L1759">
        <v>54.13</v>
      </c>
    </row>
    <row r="1760" spans="1:12">
      <c r="A1760" s="136">
        <v>41440</v>
      </c>
      <c r="B1760">
        <v>1862</v>
      </c>
      <c r="C1760">
        <v>1850</v>
      </c>
      <c r="D1760">
        <v>1869</v>
      </c>
      <c r="E1760" s="136">
        <v>41440</v>
      </c>
      <c r="F1760">
        <v>29.725999999999999</v>
      </c>
      <c r="G1760">
        <v>29.134</v>
      </c>
      <c r="H1760">
        <v>29.922000000000001</v>
      </c>
      <c r="I1760" s="136">
        <v>41440</v>
      </c>
      <c r="J1760">
        <v>54.04</v>
      </c>
      <c r="K1760">
        <v>52.91</v>
      </c>
      <c r="L1760">
        <v>54.13</v>
      </c>
    </row>
    <row r="1761" spans="1:12">
      <c r="A1761" s="136">
        <v>41441</v>
      </c>
      <c r="B1761">
        <v>1862</v>
      </c>
      <c r="C1761">
        <v>1850</v>
      </c>
      <c r="D1761">
        <v>1869</v>
      </c>
      <c r="E1761" s="136">
        <v>41441</v>
      </c>
      <c r="F1761">
        <v>29.725999999999999</v>
      </c>
      <c r="G1761">
        <v>29.134</v>
      </c>
      <c r="H1761">
        <v>29.922000000000001</v>
      </c>
      <c r="I1761" s="136">
        <v>41441</v>
      </c>
      <c r="J1761">
        <v>54.04</v>
      </c>
      <c r="K1761">
        <v>52.91</v>
      </c>
      <c r="L1761">
        <v>54.13</v>
      </c>
    </row>
    <row r="1762" spans="1:12">
      <c r="A1762" s="136">
        <v>41442</v>
      </c>
      <c r="B1762">
        <v>1860</v>
      </c>
      <c r="C1762">
        <v>1832.5</v>
      </c>
      <c r="D1762">
        <v>1867</v>
      </c>
      <c r="E1762" s="136">
        <v>41442</v>
      </c>
      <c r="F1762">
        <v>29.283000000000001</v>
      </c>
      <c r="G1762">
        <v>29.045000000000002</v>
      </c>
      <c r="H1762">
        <v>29.675000000000001</v>
      </c>
      <c r="I1762" s="136">
        <v>41442</v>
      </c>
      <c r="J1762">
        <v>53.7</v>
      </c>
      <c r="K1762">
        <v>53.54</v>
      </c>
      <c r="L1762">
        <v>54.255000000000003</v>
      </c>
    </row>
    <row r="1763" spans="1:12">
      <c r="A1763" s="136">
        <v>41443</v>
      </c>
      <c r="B1763">
        <v>1852.5</v>
      </c>
      <c r="C1763">
        <v>1832</v>
      </c>
      <c r="D1763">
        <v>1854</v>
      </c>
      <c r="E1763" s="136">
        <v>41443</v>
      </c>
      <c r="F1763">
        <v>29.245000000000001</v>
      </c>
      <c r="G1763">
        <v>28.96</v>
      </c>
      <c r="H1763">
        <v>29.687999999999999</v>
      </c>
      <c r="I1763" s="136">
        <v>41443</v>
      </c>
      <c r="J1763">
        <v>54.03</v>
      </c>
      <c r="K1763">
        <v>53.72</v>
      </c>
      <c r="L1763">
        <v>54.27</v>
      </c>
    </row>
    <row r="1764" spans="1:12">
      <c r="A1764" s="136">
        <v>41444</v>
      </c>
      <c r="B1764">
        <v>1841.5</v>
      </c>
      <c r="C1764">
        <v>1825.25</v>
      </c>
      <c r="D1764">
        <v>1848.5</v>
      </c>
      <c r="E1764" s="136">
        <v>41444</v>
      </c>
      <c r="F1764">
        <v>29.645</v>
      </c>
      <c r="G1764">
        <v>29.010999999999999</v>
      </c>
      <c r="H1764">
        <v>29.79</v>
      </c>
      <c r="I1764" s="136">
        <v>41444</v>
      </c>
      <c r="J1764">
        <v>53.99</v>
      </c>
      <c r="K1764">
        <v>53.52</v>
      </c>
      <c r="L1764">
        <v>54.51</v>
      </c>
    </row>
    <row r="1765" spans="1:12">
      <c r="A1765" s="136">
        <v>41445</v>
      </c>
      <c r="B1765">
        <v>1829</v>
      </c>
      <c r="C1765">
        <v>1789.5</v>
      </c>
      <c r="D1765">
        <v>1829.5</v>
      </c>
      <c r="E1765" s="136">
        <v>41445</v>
      </c>
      <c r="F1765">
        <v>28.763999999999999</v>
      </c>
      <c r="G1765">
        <v>27.853000000000002</v>
      </c>
      <c r="H1765">
        <v>28.943000000000001</v>
      </c>
      <c r="I1765" s="136">
        <v>41445</v>
      </c>
      <c r="J1765">
        <v>53.08</v>
      </c>
      <c r="K1765">
        <v>52.27</v>
      </c>
      <c r="L1765">
        <v>53.18</v>
      </c>
    </row>
    <row r="1766" spans="1:12">
      <c r="A1766" s="136">
        <v>41446</v>
      </c>
      <c r="B1766">
        <v>1796</v>
      </c>
      <c r="C1766">
        <v>1784.75</v>
      </c>
      <c r="D1766">
        <v>1814</v>
      </c>
      <c r="E1766" s="136">
        <v>41446</v>
      </c>
      <c r="F1766">
        <v>28.257999999999999</v>
      </c>
      <c r="G1766">
        <v>27.87</v>
      </c>
      <c r="H1766">
        <v>28.713000000000001</v>
      </c>
      <c r="I1766" s="136">
        <v>41446</v>
      </c>
      <c r="J1766">
        <v>52.96</v>
      </c>
      <c r="K1766">
        <v>51.69</v>
      </c>
      <c r="L1766">
        <v>52.98</v>
      </c>
    </row>
    <row r="1767" spans="1:12">
      <c r="A1767" s="136">
        <v>41447</v>
      </c>
      <c r="B1767">
        <v>1796</v>
      </c>
      <c r="C1767">
        <v>1784.75</v>
      </c>
      <c r="D1767">
        <v>1814</v>
      </c>
      <c r="E1767" s="136">
        <v>41447</v>
      </c>
      <c r="F1767">
        <v>28.257999999999999</v>
      </c>
      <c r="G1767">
        <v>27.87</v>
      </c>
      <c r="H1767">
        <v>28.713000000000001</v>
      </c>
      <c r="I1767" s="136">
        <v>41447</v>
      </c>
      <c r="J1767">
        <v>52.96</v>
      </c>
      <c r="K1767">
        <v>51.69</v>
      </c>
      <c r="L1767">
        <v>52.98</v>
      </c>
    </row>
    <row r="1768" spans="1:12">
      <c r="A1768" s="136">
        <v>41448</v>
      </c>
      <c r="B1768">
        <v>1796</v>
      </c>
      <c r="C1768">
        <v>1784.75</v>
      </c>
      <c r="D1768">
        <v>1814</v>
      </c>
      <c r="E1768" s="136">
        <v>41448</v>
      </c>
      <c r="F1768">
        <v>28.257999999999999</v>
      </c>
      <c r="G1768">
        <v>27.87</v>
      </c>
      <c r="H1768">
        <v>28.713000000000001</v>
      </c>
      <c r="I1768" s="136">
        <v>41448</v>
      </c>
      <c r="J1768">
        <v>52.96</v>
      </c>
      <c r="K1768">
        <v>51.69</v>
      </c>
      <c r="L1768">
        <v>52.98</v>
      </c>
    </row>
    <row r="1769" spans="1:12">
      <c r="A1769" s="136">
        <v>41449</v>
      </c>
      <c r="B1769">
        <v>1796.25</v>
      </c>
      <c r="C1769">
        <v>1762.5</v>
      </c>
      <c r="D1769">
        <v>1796.25</v>
      </c>
      <c r="E1769" s="136">
        <v>41449</v>
      </c>
      <c r="F1769">
        <v>28.096</v>
      </c>
      <c r="G1769">
        <v>27.449000000000002</v>
      </c>
      <c r="H1769">
        <v>28.355</v>
      </c>
      <c r="I1769" s="136">
        <v>41449</v>
      </c>
      <c r="J1769">
        <v>50.88</v>
      </c>
      <c r="K1769">
        <v>50.11</v>
      </c>
      <c r="L1769">
        <v>51.45</v>
      </c>
    </row>
    <row r="1770" spans="1:12">
      <c r="A1770" s="136">
        <v>41450</v>
      </c>
      <c r="B1770">
        <v>1774.5</v>
      </c>
      <c r="C1770">
        <v>1765.5</v>
      </c>
      <c r="D1770">
        <v>1801.5</v>
      </c>
      <c r="E1770" s="136">
        <v>41450</v>
      </c>
      <c r="F1770">
        <v>27.7</v>
      </c>
      <c r="G1770">
        <v>27.678999999999998</v>
      </c>
      <c r="H1770">
        <v>28.509</v>
      </c>
      <c r="I1770" s="136">
        <v>41450</v>
      </c>
      <c r="J1770">
        <v>51.51</v>
      </c>
      <c r="K1770">
        <v>51.51</v>
      </c>
      <c r="L1770">
        <v>52.564500000000002</v>
      </c>
    </row>
    <row r="1771" spans="1:12">
      <c r="A1771" s="136">
        <v>41451</v>
      </c>
      <c r="B1771">
        <v>1780</v>
      </c>
      <c r="C1771">
        <v>1769.5</v>
      </c>
      <c r="D1771">
        <v>1785</v>
      </c>
      <c r="E1771" s="136">
        <v>41451</v>
      </c>
      <c r="F1771">
        <v>28.018999999999998</v>
      </c>
      <c r="G1771">
        <v>27.832000000000001</v>
      </c>
      <c r="H1771">
        <v>28.858000000000001</v>
      </c>
      <c r="I1771" s="136">
        <v>41451</v>
      </c>
      <c r="J1771">
        <v>52.65</v>
      </c>
      <c r="K1771">
        <v>51.878</v>
      </c>
      <c r="L1771">
        <v>52.8</v>
      </c>
    </row>
    <row r="1772" spans="1:12">
      <c r="A1772" s="136">
        <v>41452</v>
      </c>
      <c r="B1772">
        <v>1773</v>
      </c>
      <c r="C1772">
        <v>1758</v>
      </c>
      <c r="D1772">
        <v>1784.25</v>
      </c>
      <c r="E1772" s="136">
        <v>41452</v>
      </c>
      <c r="F1772">
        <v>28.763999999999999</v>
      </c>
      <c r="G1772">
        <v>28.109000000000002</v>
      </c>
      <c r="H1772">
        <v>28.9</v>
      </c>
      <c r="I1772" s="136">
        <v>41452</v>
      </c>
      <c r="J1772">
        <v>53.03</v>
      </c>
      <c r="K1772">
        <v>52.88</v>
      </c>
      <c r="L1772">
        <v>53.49</v>
      </c>
    </row>
    <row r="1773" spans="1:12">
      <c r="A1773" s="136">
        <v>41453</v>
      </c>
      <c r="B1773">
        <v>1770</v>
      </c>
      <c r="C1773">
        <v>1764.75</v>
      </c>
      <c r="D1773">
        <v>1797</v>
      </c>
      <c r="E1773" s="136">
        <v>41453</v>
      </c>
      <c r="F1773">
        <v>28.27</v>
      </c>
      <c r="G1773">
        <v>27.222999999999999</v>
      </c>
      <c r="H1773">
        <v>28.568000000000001</v>
      </c>
      <c r="I1773" s="136">
        <v>41453</v>
      </c>
      <c r="J1773">
        <v>53.12</v>
      </c>
      <c r="K1773">
        <v>52.58</v>
      </c>
      <c r="L1773">
        <v>53.13</v>
      </c>
    </row>
    <row r="1774" spans="1:12">
      <c r="A1774" s="136">
        <v>41454</v>
      </c>
      <c r="B1774">
        <v>1770</v>
      </c>
      <c r="C1774">
        <v>1764.75</v>
      </c>
      <c r="D1774">
        <v>1797</v>
      </c>
      <c r="E1774" s="136">
        <v>41454</v>
      </c>
      <c r="F1774">
        <v>28.27</v>
      </c>
      <c r="G1774">
        <v>27.222999999999999</v>
      </c>
      <c r="H1774">
        <v>28.568000000000001</v>
      </c>
      <c r="I1774" s="136">
        <v>41454</v>
      </c>
      <c r="J1774">
        <v>53.12</v>
      </c>
      <c r="K1774">
        <v>52.58</v>
      </c>
      <c r="L1774">
        <v>53.13</v>
      </c>
    </row>
    <row r="1775" spans="1:12">
      <c r="A1775" s="136">
        <v>41455</v>
      </c>
      <c r="B1775">
        <v>1770</v>
      </c>
      <c r="C1775">
        <v>1764.75</v>
      </c>
      <c r="D1775">
        <v>1797</v>
      </c>
      <c r="E1775" s="136">
        <v>41455</v>
      </c>
      <c r="F1775">
        <v>28.27</v>
      </c>
      <c r="G1775">
        <v>27.222999999999999</v>
      </c>
      <c r="H1775">
        <v>28.568000000000001</v>
      </c>
      <c r="I1775" s="136">
        <v>41455</v>
      </c>
      <c r="J1775">
        <v>53.12</v>
      </c>
      <c r="K1775">
        <v>52.58</v>
      </c>
      <c r="L1775">
        <v>53.13</v>
      </c>
    </row>
    <row r="1776" spans="1:12">
      <c r="A1776" s="136">
        <v>41456</v>
      </c>
      <c r="B1776">
        <v>1776</v>
      </c>
      <c r="C1776">
        <v>1772.75</v>
      </c>
      <c r="D1776">
        <v>1828</v>
      </c>
      <c r="E1776" s="136">
        <v>41456</v>
      </c>
      <c r="F1776">
        <v>27.588999999999999</v>
      </c>
      <c r="G1776">
        <v>26.975999999999999</v>
      </c>
      <c r="H1776">
        <v>27.866</v>
      </c>
      <c r="I1776" s="136">
        <v>41456</v>
      </c>
      <c r="J1776">
        <v>53.22</v>
      </c>
      <c r="K1776">
        <v>52.43</v>
      </c>
      <c r="L1776">
        <v>53.63</v>
      </c>
    </row>
    <row r="1777" spans="1:12">
      <c r="A1777" s="136">
        <v>41457</v>
      </c>
      <c r="B1777">
        <v>1824</v>
      </c>
      <c r="C1777">
        <v>1817.25</v>
      </c>
      <c r="D1777">
        <v>1852</v>
      </c>
      <c r="E1777" s="136">
        <v>41457</v>
      </c>
      <c r="F1777">
        <v>27.536999999999999</v>
      </c>
      <c r="G1777">
        <v>26.891999999999999</v>
      </c>
      <c r="H1777">
        <v>27.652999999999999</v>
      </c>
      <c r="I1777" s="136">
        <v>41457</v>
      </c>
      <c r="J1777">
        <v>52.57</v>
      </c>
      <c r="K1777">
        <v>52.12</v>
      </c>
      <c r="L1777">
        <v>53.53</v>
      </c>
    </row>
    <row r="1778" spans="1:12">
      <c r="A1778" s="136">
        <v>41458</v>
      </c>
      <c r="B1778">
        <v>1825</v>
      </c>
      <c r="C1778">
        <v>1805</v>
      </c>
      <c r="D1778">
        <v>1836.75</v>
      </c>
      <c r="E1778" s="136">
        <v>41458</v>
      </c>
      <c r="F1778">
        <v>26.959</v>
      </c>
      <c r="G1778">
        <v>25.908000000000001</v>
      </c>
      <c r="H1778">
        <v>26.959</v>
      </c>
      <c r="I1778" s="136">
        <v>41458</v>
      </c>
      <c r="J1778">
        <v>52.31</v>
      </c>
      <c r="K1778">
        <v>52.21</v>
      </c>
      <c r="L1778">
        <v>52.81</v>
      </c>
    </row>
    <row r="1779" spans="1:12">
      <c r="A1779" s="136">
        <v>41459</v>
      </c>
      <c r="B1779">
        <v>1811</v>
      </c>
      <c r="C1779">
        <v>1806</v>
      </c>
      <c r="D1779">
        <v>1816.5</v>
      </c>
      <c r="E1779" s="136">
        <v>41459</v>
      </c>
      <c r="F1779">
        <v>26.873999999999999</v>
      </c>
      <c r="G1779">
        <v>26.576000000000001</v>
      </c>
      <c r="H1779">
        <v>27.994</v>
      </c>
      <c r="I1779" s="136">
        <v>41459</v>
      </c>
      <c r="J1779">
        <v>52.31</v>
      </c>
      <c r="K1779">
        <v>52.21</v>
      </c>
      <c r="L1779">
        <v>52.81</v>
      </c>
    </row>
    <row r="1780" spans="1:12">
      <c r="A1780" s="136">
        <v>41460</v>
      </c>
      <c r="B1780">
        <v>1812.75</v>
      </c>
      <c r="C1780">
        <v>1767.85</v>
      </c>
      <c r="D1780">
        <v>1812.75</v>
      </c>
      <c r="E1780" s="136">
        <v>41460</v>
      </c>
      <c r="F1780">
        <v>27.619</v>
      </c>
      <c r="G1780">
        <v>27.015000000000001</v>
      </c>
      <c r="H1780">
        <v>27.963999999999999</v>
      </c>
      <c r="I1780" s="136">
        <v>41460</v>
      </c>
      <c r="J1780">
        <v>53.36</v>
      </c>
      <c r="K1780">
        <v>53.11</v>
      </c>
      <c r="L1780">
        <v>54</v>
      </c>
    </row>
    <row r="1781" spans="1:12">
      <c r="A1781" s="136">
        <v>41461</v>
      </c>
      <c r="B1781">
        <v>1812.75</v>
      </c>
      <c r="C1781">
        <v>1767.85</v>
      </c>
      <c r="D1781">
        <v>1812.75</v>
      </c>
      <c r="E1781" s="136">
        <v>41461</v>
      </c>
      <c r="F1781">
        <v>27.619</v>
      </c>
      <c r="G1781">
        <v>27.015000000000001</v>
      </c>
      <c r="H1781">
        <v>27.963999999999999</v>
      </c>
      <c r="I1781" s="136">
        <v>41461</v>
      </c>
      <c r="J1781">
        <v>53.36</v>
      </c>
      <c r="K1781">
        <v>53.11</v>
      </c>
      <c r="L1781">
        <v>54</v>
      </c>
    </row>
    <row r="1782" spans="1:12">
      <c r="A1782" s="136">
        <v>41462</v>
      </c>
      <c r="B1782">
        <v>1812.75</v>
      </c>
      <c r="C1782">
        <v>1767.85</v>
      </c>
      <c r="D1782">
        <v>1812.75</v>
      </c>
      <c r="E1782" s="136">
        <v>41462</v>
      </c>
      <c r="F1782">
        <v>27.619</v>
      </c>
      <c r="G1782">
        <v>27.015000000000001</v>
      </c>
      <c r="H1782">
        <v>27.963999999999999</v>
      </c>
      <c r="I1782" s="136">
        <v>41462</v>
      </c>
      <c r="J1782">
        <v>53.36</v>
      </c>
      <c r="K1782">
        <v>53.11</v>
      </c>
      <c r="L1782">
        <v>54</v>
      </c>
    </row>
    <row r="1783" spans="1:12">
      <c r="A1783" s="136">
        <v>41463</v>
      </c>
      <c r="B1783">
        <v>1775</v>
      </c>
      <c r="C1783">
        <v>1769</v>
      </c>
      <c r="D1783">
        <v>1807</v>
      </c>
      <c r="E1783" s="136">
        <v>41463</v>
      </c>
      <c r="F1783">
        <v>27.236000000000001</v>
      </c>
      <c r="G1783">
        <v>27.108000000000001</v>
      </c>
      <c r="H1783">
        <v>27.879000000000001</v>
      </c>
      <c r="I1783" s="136">
        <v>41463</v>
      </c>
      <c r="J1783">
        <v>54.54</v>
      </c>
      <c r="K1783">
        <v>54.05</v>
      </c>
      <c r="L1783">
        <v>54.91</v>
      </c>
    </row>
    <row r="1784" spans="1:12">
      <c r="A1784" s="136">
        <v>41464</v>
      </c>
      <c r="B1784">
        <v>1798</v>
      </c>
      <c r="C1784">
        <v>1780</v>
      </c>
      <c r="D1784">
        <v>1807.75</v>
      </c>
      <c r="E1784" s="136">
        <v>41464</v>
      </c>
      <c r="F1784">
        <v>27.581</v>
      </c>
      <c r="G1784">
        <v>27.167999999999999</v>
      </c>
      <c r="H1784">
        <v>28.219000000000001</v>
      </c>
      <c r="I1784" s="136">
        <v>41464</v>
      </c>
      <c r="J1784">
        <v>55.07</v>
      </c>
      <c r="K1784">
        <v>54.19</v>
      </c>
      <c r="L1784">
        <v>55.17</v>
      </c>
    </row>
    <row r="1785" spans="1:12">
      <c r="A1785" s="136">
        <v>41465</v>
      </c>
      <c r="B1785">
        <v>1797</v>
      </c>
      <c r="C1785">
        <v>1785</v>
      </c>
      <c r="D1785">
        <v>1824</v>
      </c>
      <c r="E1785" s="136">
        <v>41465</v>
      </c>
      <c r="F1785">
        <v>27.751000000000001</v>
      </c>
      <c r="G1785">
        <v>27.751000000000001</v>
      </c>
      <c r="H1785">
        <v>28.402000000000001</v>
      </c>
      <c r="I1785" s="136">
        <v>41465</v>
      </c>
      <c r="J1785">
        <v>54.77</v>
      </c>
      <c r="K1785">
        <v>54.44</v>
      </c>
      <c r="L1785">
        <v>55.15</v>
      </c>
    </row>
    <row r="1786" spans="1:12">
      <c r="A1786" s="136">
        <v>41466</v>
      </c>
      <c r="B1786">
        <v>1825</v>
      </c>
      <c r="C1786">
        <v>1823</v>
      </c>
      <c r="D1786">
        <v>1847</v>
      </c>
      <c r="E1786" s="136">
        <v>41466</v>
      </c>
      <c r="F1786">
        <v>28.652999999999999</v>
      </c>
      <c r="G1786">
        <v>28.295999999999999</v>
      </c>
      <c r="H1786">
        <v>28.87</v>
      </c>
      <c r="I1786" s="136">
        <v>41466</v>
      </c>
      <c r="J1786">
        <v>55.84</v>
      </c>
      <c r="K1786">
        <v>54.55</v>
      </c>
      <c r="L1786">
        <v>55.87</v>
      </c>
    </row>
    <row r="1787" spans="1:12">
      <c r="A1787" s="136">
        <v>41467</v>
      </c>
      <c r="B1787">
        <v>1835</v>
      </c>
      <c r="C1787">
        <v>1815</v>
      </c>
      <c r="D1787">
        <v>1851.25</v>
      </c>
      <c r="E1787" s="136">
        <v>41467</v>
      </c>
      <c r="F1787">
        <v>28.516999999999999</v>
      </c>
      <c r="G1787">
        <v>28.326000000000001</v>
      </c>
      <c r="H1787">
        <v>28.875</v>
      </c>
      <c r="I1787" s="136">
        <v>41467</v>
      </c>
      <c r="J1787">
        <v>55.51</v>
      </c>
      <c r="K1787">
        <v>54.75</v>
      </c>
      <c r="L1787">
        <v>55.85</v>
      </c>
    </row>
    <row r="1788" spans="1:12">
      <c r="A1788" s="136">
        <v>41468</v>
      </c>
      <c r="B1788">
        <v>1835</v>
      </c>
      <c r="C1788">
        <v>1815</v>
      </c>
      <c r="D1788">
        <v>1851.25</v>
      </c>
      <c r="E1788" s="136">
        <v>41468</v>
      </c>
      <c r="F1788">
        <v>28.516999999999999</v>
      </c>
      <c r="G1788">
        <v>28.326000000000001</v>
      </c>
      <c r="H1788">
        <v>28.875</v>
      </c>
      <c r="I1788" s="136">
        <v>41468</v>
      </c>
      <c r="J1788">
        <v>55.51</v>
      </c>
      <c r="K1788">
        <v>54.75</v>
      </c>
      <c r="L1788">
        <v>55.85</v>
      </c>
    </row>
    <row r="1789" spans="1:12">
      <c r="A1789" s="136">
        <v>41469</v>
      </c>
      <c r="B1789">
        <v>1835</v>
      </c>
      <c r="C1789">
        <v>1815</v>
      </c>
      <c r="D1789">
        <v>1851.25</v>
      </c>
      <c r="E1789" s="136">
        <v>41469</v>
      </c>
      <c r="F1789">
        <v>28.516999999999999</v>
      </c>
      <c r="G1789">
        <v>28.326000000000001</v>
      </c>
      <c r="H1789">
        <v>28.875</v>
      </c>
      <c r="I1789" s="136">
        <v>41469</v>
      </c>
      <c r="J1789">
        <v>55.51</v>
      </c>
      <c r="K1789">
        <v>54.75</v>
      </c>
      <c r="L1789">
        <v>55.85</v>
      </c>
    </row>
    <row r="1790" spans="1:12">
      <c r="A1790" s="136">
        <v>41470</v>
      </c>
      <c r="B1790">
        <v>1836</v>
      </c>
      <c r="C1790">
        <v>1803</v>
      </c>
      <c r="D1790">
        <v>1845</v>
      </c>
      <c r="E1790" s="136">
        <v>41470</v>
      </c>
      <c r="F1790">
        <v>28.533999999999999</v>
      </c>
      <c r="G1790">
        <v>28.449000000000002</v>
      </c>
      <c r="H1790">
        <v>28.887</v>
      </c>
      <c r="I1790" s="136">
        <v>41470</v>
      </c>
      <c r="J1790">
        <v>55.49</v>
      </c>
      <c r="K1790">
        <v>54.6</v>
      </c>
      <c r="L1790">
        <v>55.5</v>
      </c>
    </row>
    <row r="1791" spans="1:12">
      <c r="A1791" s="136">
        <v>41471</v>
      </c>
      <c r="B1791">
        <v>1810</v>
      </c>
      <c r="C1791">
        <v>1793</v>
      </c>
      <c r="D1791">
        <v>1817.5</v>
      </c>
      <c r="E1791" s="136">
        <v>41471</v>
      </c>
      <c r="F1791">
        <v>28.79</v>
      </c>
      <c r="G1791">
        <v>28.36</v>
      </c>
      <c r="H1791">
        <v>28.934000000000001</v>
      </c>
      <c r="I1791" s="136">
        <v>41471</v>
      </c>
      <c r="J1791">
        <v>54.9</v>
      </c>
      <c r="K1791">
        <v>54.78</v>
      </c>
      <c r="L1791">
        <v>55.41</v>
      </c>
    </row>
    <row r="1792" spans="1:12">
      <c r="A1792" s="136">
        <v>41472</v>
      </c>
      <c r="B1792">
        <v>1814</v>
      </c>
      <c r="C1792">
        <v>1800</v>
      </c>
      <c r="D1792">
        <v>1827</v>
      </c>
      <c r="E1792" s="136">
        <v>41472</v>
      </c>
      <c r="F1792">
        <v>28.53</v>
      </c>
      <c r="G1792">
        <v>28.295999999999999</v>
      </c>
      <c r="H1792">
        <v>28.835999999999999</v>
      </c>
      <c r="I1792" s="136">
        <v>41472</v>
      </c>
      <c r="J1792">
        <v>55.05</v>
      </c>
      <c r="K1792">
        <v>54.84</v>
      </c>
      <c r="L1792">
        <v>55.58</v>
      </c>
    </row>
    <row r="1793" spans="1:12">
      <c r="A1793" s="136">
        <v>41473</v>
      </c>
      <c r="B1793">
        <v>1803</v>
      </c>
      <c r="C1793">
        <v>1793.5</v>
      </c>
      <c r="D1793">
        <v>1813</v>
      </c>
      <c r="E1793" s="136">
        <v>41473</v>
      </c>
      <c r="F1793">
        <v>28.628</v>
      </c>
      <c r="G1793">
        <v>28.516999999999999</v>
      </c>
      <c r="H1793">
        <v>29.640999999999998</v>
      </c>
      <c r="I1793" s="136">
        <v>41473</v>
      </c>
      <c r="J1793">
        <v>55.51</v>
      </c>
      <c r="K1793">
        <v>55.49</v>
      </c>
      <c r="L1793">
        <v>56.53</v>
      </c>
    </row>
    <row r="1794" spans="1:12">
      <c r="A1794" s="136">
        <v>41474</v>
      </c>
      <c r="B1794">
        <v>1805</v>
      </c>
      <c r="C1794">
        <v>1800</v>
      </c>
      <c r="D1794">
        <v>1834.5</v>
      </c>
      <c r="E1794" s="136">
        <v>41474</v>
      </c>
      <c r="F1794">
        <v>29.36</v>
      </c>
      <c r="G1794">
        <v>29.212</v>
      </c>
      <c r="H1794">
        <v>29.986000000000001</v>
      </c>
      <c r="I1794" s="136">
        <v>41474</v>
      </c>
      <c r="J1794">
        <v>56.51</v>
      </c>
      <c r="K1794">
        <v>55.91</v>
      </c>
      <c r="L1794">
        <v>56.555</v>
      </c>
    </row>
    <row r="1795" spans="1:12">
      <c r="A1795" s="136">
        <v>41475</v>
      </c>
      <c r="B1795">
        <v>1805</v>
      </c>
      <c r="C1795">
        <v>1800</v>
      </c>
      <c r="D1795">
        <v>1834.5</v>
      </c>
      <c r="E1795" s="136">
        <v>41475</v>
      </c>
      <c r="F1795">
        <v>29.36</v>
      </c>
      <c r="G1795">
        <v>29.212</v>
      </c>
      <c r="H1795">
        <v>29.986000000000001</v>
      </c>
      <c r="I1795" s="136">
        <v>41475</v>
      </c>
      <c r="J1795">
        <v>56.51</v>
      </c>
      <c r="K1795">
        <v>55.91</v>
      </c>
      <c r="L1795">
        <v>56.555</v>
      </c>
    </row>
    <row r="1796" spans="1:12">
      <c r="A1796" s="136">
        <v>41476</v>
      </c>
      <c r="B1796">
        <v>1805</v>
      </c>
      <c r="C1796">
        <v>1800</v>
      </c>
      <c r="D1796">
        <v>1834.5</v>
      </c>
      <c r="E1796" s="136">
        <v>41476</v>
      </c>
      <c r="F1796">
        <v>29.36</v>
      </c>
      <c r="G1796">
        <v>29.212</v>
      </c>
      <c r="H1796">
        <v>29.986000000000001</v>
      </c>
      <c r="I1796" s="136">
        <v>41476</v>
      </c>
      <c r="J1796">
        <v>56.51</v>
      </c>
      <c r="K1796">
        <v>55.91</v>
      </c>
      <c r="L1796">
        <v>56.555</v>
      </c>
    </row>
    <row r="1797" spans="1:12">
      <c r="A1797" s="136">
        <v>41477</v>
      </c>
      <c r="B1797">
        <v>1831</v>
      </c>
      <c r="C1797">
        <v>1823.5</v>
      </c>
      <c r="D1797">
        <v>1863</v>
      </c>
      <c r="E1797" s="136">
        <v>41477</v>
      </c>
      <c r="F1797">
        <v>29.870999999999999</v>
      </c>
      <c r="G1797">
        <v>29.870999999999999</v>
      </c>
      <c r="H1797">
        <v>30.777000000000001</v>
      </c>
      <c r="I1797" s="136">
        <v>41477</v>
      </c>
      <c r="J1797">
        <v>56.17</v>
      </c>
      <c r="K1797">
        <v>55.95</v>
      </c>
      <c r="L1797">
        <v>56.67</v>
      </c>
    </row>
    <row r="1798" spans="1:12">
      <c r="A1798" s="136">
        <v>41478</v>
      </c>
      <c r="B1798">
        <v>1843</v>
      </c>
      <c r="C1798">
        <v>1840</v>
      </c>
      <c r="D1798">
        <v>1854.5</v>
      </c>
      <c r="E1798" s="136">
        <v>41478</v>
      </c>
      <c r="F1798">
        <v>30.364000000000001</v>
      </c>
      <c r="G1798">
        <v>30.087</v>
      </c>
      <c r="H1798">
        <v>30.62</v>
      </c>
      <c r="I1798" s="136">
        <v>41478</v>
      </c>
      <c r="J1798">
        <v>56.72</v>
      </c>
      <c r="K1798">
        <v>56.475000000000001</v>
      </c>
      <c r="L1798">
        <v>56.89</v>
      </c>
    </row>
    <row r="1799" spans="1:12">
      <c r="A1799" s="136">
        <v>41479</v>
      </c>
      <c r="B1799">
        <v>1846</v>
      </c>
      <c r="C1799">
        <v>1825</v>
      </c>
      <c r="D1799">
        <v>1858</v>
      </c>
      <c r="E1799" s="136">
        <v>41479</v>
      </c>
      <c r="F1799">
        <v>30.135000000000002</v>
      </c>
      <c r="G1799">
        <v>30.109000000000002</v>
      </c>
      <c r="H1799">
        <v>30.696000000000002</v>
      </c>
      <c r="I1799" s="136">
        <v>41479</v>
      </c>
      <c r="J1799">
        <v>56.92</v>
      </c>
      <c r="K1799">
        <v>56.38</v>
      </c>
      <c r="L1799">
        <v>56.93</v>
      </c>
    </row>
    <row r="1800" spans="1:12">
      <c r="A1800" s="136">
        <v>41480</v>
      </c>
      <c r="B1800">
        <v>1847</v>
      </c>
      <c r="C1800">
        <v>1813.75</v>
      </c>
      <c r="D1800">
        <v>1849.75</v>
      </c>
      <c r="E1800" s="136">
        <v>41480</v>
      </c>
      <c r="F1800">
        <v>30.594000000000001</v>
      </c>
      <c r="G1800">
        <v>30.241</v>
      </c>
      <c r="H1800">
        <v>30.844999999999999</v>
      </c>
      <c r="I1800" s="136">
        <v>41480</v>
      </c>
      <c r="J1800">
        <v>56.45</v>
      </c>
      <c r="K1800">
        <v>55.89</v>
      </c>
      <c r="L1800">
        <v>56.5</v>
      </c>
    </row>
    <row r="1801" spans="1:12">
      <c r="A1801" s="136">
        <v>41481</v>
      </c>
      <c r="B1801">
        <v>1825</v>
      </c>
      <c r="C1801">
        <v>1794</v>
      </c>
      <c r="D1801">
        <v>1829</v>
      </c>
      <c r="E1801" s="136">
        <v>41481</v>
      </c>
      <c r="F1801">
        <v>30.742999999999999</v>
      </c>
      <c r="G1801">
        <v>30.428000000000001</v>
      </c>
      <c r="H1801">
        <v>31.138999999999999</v>
      </c>
      <c r="I1801" s="136">
        <v>41481</v>
      </c>
      <c r="J1801">
        <v>56.06</v>
      </c>
      <c r="K1801">
        <v>55.6</v>
      </c>
      <c r="L1801">
        <v>56.22</v>
      </c>
    </row>
    <row r="1802" spans="1:12">
      <c r="A1802" s="136">
        <v>41482</v>
      </c>
      <c r="B1802">
        <v>1825</v>
      </c>
      <c r="C1802">
        <v>1794</v>
      </c>
      <c r="D1802">
        <v>1829</v>
      </c>
      <c r="E1802" s="136">
        <v>41482</v>
      </c>
      <c r="F1802">
        <v>30.742999999999999</v>
      </c>
      <c r="G1802">
        <v>30.428000000000001</v>
      </c>
      <c r="H1802">
        <v>31.138999999999999</v>
      </c>
      <c r="I1802" s="136">
        <v>41482</v>
      </c>
      <c r="J1802">
        <v>56.06</v>
      </c>
      <c r="K1802">
        <v>55.6</v>
      </c>
      <c r="L1802">
        <v>56.22</v>
      </c>
    </row>
    <row r="1803" spans="1:12">
      <c r="A1803" s="136">
        <v>41483</v>
      </c>
      <c r="B1803">
        <v>1825</v>
      </c>
      <c r="C1803">
        <v>1794</v>
      </c>
      <c r="D1803">
        <v>1829</v>
      </c>
      <c r="E1803" s="136">
        <v>41483</v>
      </c>
      <c r="F1803">
        <v>30.742999999999999</v>
      </c>
      <c r="G1803">
        <v>30.428000000000001</v>
      </c>
      <c r="H1803">
        <v>31.138999999999999</v>
      </c>
      <c r="I1803" s="136">
        <v>41483</v>
      </c>
      <c r="J1803">
        <v>56.06</v>
      </c>
      <c r="K1803">
        <v>55.6</v>
      </c>
      <c r="L1803">
        <v>56.22</v>
      </c>
    </row>
    <row r="1804" spans="1:12">
      <c r="A1804" s="136">
        <v>41484</v>
      </c>
      <c r="B1804">
        <v>1799</v>
      </c>
      <c r="C1804">
        <v>1791</v>
      </c>
      <c r="D1804">
        <v>1806</v>
      </c>
      <c r="E1804" s="136">
        <v>41484</v>
      </c>
      <c r="F1804">
        <v>30.645</v>
      </c>
      <c r="G1804">
        <v>30.312999999999999</v>
      </c>
      <c r="H1804">
        <v>30.901</v>
      </c>
      <c r="I1804" s="136">
        <v>41484</v>
      </c>
      <c r="J1804">
        <v>55.98</v>
      </c>
      <c r="K1804">
        <v>55.38</v>
      </c>
      <c r="L1804">
        <v>56</v>
      </c>
    </row>
    <row r="1805" spans="1:12">
      <c r="A1805" s="136">
        <v>41485</v>
      </c>
      <c r="B1805">
        <v>1800</v>
      </c>
      <c r="C1805">
        <v>1775.85</v>
      </c>
      <c r="D1805">
        <v>1808.25</v>
      </c>
      <c r="E1805" s="136">
        <v>41485</v>
      </c>
      <c r="F1805">
        <v>29.539000000000001</v>
      </c>
      <c r="G1805">
        <v>28.943000000000001</v>
      </c>
      <c r="H1805">
        <v>30.032</v>
      </c>
      <c r="I1805" s="136">
        <v>41485</v>
      </c>
      <c r="J1805">
        <v>55.87</v>
      </c>
      <c r="K1805">
        <v>55.08</v>
      </c>
      <c r="L1805">
        <v>55.994999999999997</v>
      </c>
    </row>
    <row r="1806" spans="1:12">
      <c r="A1806" s="136">
        <v>41486</v>
      </c>
      <c r="B1806">
        <v>1778.75</v>
      </c>
      <c r="C1806">
        <v>1772.25</v>
      </c>
      <c r="D1806">
        <v>1807</v>
      </c>
      <c r="E1806" s="136">
        <v>41486</v>
      </c>
      <c r="F1806">
        <v>29.283000000000001</v>
      </c>
      <c r="G1806">
        <v>28.364000000000001</v>
      </c>
      <c r="H1806">
        <v>29.338999999999999</v>
      </c>
      <c r="I1806" s="136">
        <v>41486</v>
      </c>
      <c r="J1806">
        <v>55.58</v>
      </c>
      <c r="K1806">
        <v>55.51</v>
      </c>
      <c r="L1806">
        <v>56.27</v>
      </c>
    </row>
    <row r="1807" spans="1:12">
      <c r="A1807" s="136">
        <v>41487</v>
      </c>
      <c r="B1807">
        <v>1805</v>
      </c>
      <c r="C1807">
        <v>1802.75</v>
      </c>
      <c r="D1807">
        <v>1836</v>
      </c>
      <c r="E1807" s="136">
        <v>41487</v>
      </c>
      <c r="F1807">
        <v>28.858000000000001</v>
      </c>
      <c r="G1807">
        <v>28.858000000000001</v>
      </c>
      <c r="H1807">
        <v>29.742999999999999</v>
      </c>
      <c r="I1807" s="136">
        <v>41487</v>
      </c>
      <c r="J1807">
        <v>56.36</v>
      </c>
      <c r="K1807">
        <v>56.2</v>
      </c>
      <c r="L1807">
        <v>56.78</v>
      </c>
    </row>
    <row r="1808" spans="1:12">
      <c r="A1808" s="136">
        <v>41488</v>
      </c>
      <c r="B1808">
        <v>1809.25</v>
      </c>
      <c r="C1808">
        <v>1792.25</v>
      </c>
      <c r="D1808">
        <v>1832.75</v>
      </c>
      <c r="E1808" s="136">
        <v>41488</v>
      </c>
      <c r="F1808">
        <v>29.675000000000001</v>
      </c>
      <c r="G1808">
        <v>29.088000000000001</v>
      </c>
      <c r="H1808">
        <v>29.798000000000002</v>
      </c>
      <c r="I1808" s="136">
        <v>41488</v>
      </c>
      <c r="J1808">
        <v>56.27</v>
      </c>
      <c r="K1808">
        <v>56.01</v>
      </c>
      <c r="L1808">
        <v>56.52</v>
      </c>
    </row>
    <row r="1809" spans="1:12">
      <c r="A1809" s="136">
        <v>41489</v>
      </c>
      <c r="B1809">
        <v>1809.25</v>
      </c>
      <c r="C1809">
        <v>1792.25</v>
      </c>
      <c r="D1809">
        <v>1832.75</v>
      </c>
      <c r="E1809" s="136">
        <v>41489</v>
      </c>
      <c r="F1809">
        <v>29.675000000000001</v>
      </c>
      <c r="G1809">
        <v>29.088000000000001</v>
      </c>
      <c r="H1809">
        <v>29.798000000000002</v>
      </c>
      <c r="I1809" s="136">
        <v>41489</v>
      </c>
      <c r="J1809">
        <v>56.27</v>
      </c>
      <c r="K1809">
        <v>56.01</v>
      </c>
      <c r="L1809">
        <v>56.52</v>
      </c>
    </row>
    <row r="1810" spans="1:12">
      <c r="A1810" s="136">
        <v>41490</v>
      </c>
      <c r="B1810">
        <v>1809.25</v>
      </c>
      <c r="C1810">
        <v>1792.25</v>
      </c>
      <c r="D1810">
        <v>1832.75</v>
      </c>
      <c r="E1810" s="136">
        <v>41490</v>
      </c>
      <c r="F1810">
        <v>29.675000000000001</v>
      </c>
      <c r="G1810">
        <v>29.088000000000001</v>
      </c>
      <c r="H1810">
        <v>29.798000000000002</v>
      </c>
      <c r="I1810" s="136">
        <v>41490</v>
      </c>
      <c r="J1810">
        <v>56.27</v>
      </c>
      <c r="K1810">
        <v>56.01</v>
      </c>
      <c r="L1810">
        <v>56.52</v>
      </c>
    </row>
    <row r="1811" spans="1:12">
      <c r="A1811" s="136">
        <v>41491</v>
      </c>
      <c r="B1811">
        <v>1815</v>
      </c>
      <c r="C1811">
        <v>1797</v>
      </c>
      <c r="D1811">
        <v>1815.75</v>
      </c>
      <c r="E1811" s="136">
        <v>41491</v>
      </c>
      <c r="F1811">
        <v>29.376999999999999</v>
      </c>
      <c r="G1811">
        <v>28.951000000000001</v>
      </c>
      <c r="H1811">
        <v>29.398</v>
      </c>
      <c r="I1811" s="136">
        <v>41491</v>
      </c>
      <c r="J1811">
        <v>56.33</v>
      </c>
      <c r="K1811">
        <v>56.01</v>
      </c>
      <c r="L1811">
        <v>56.58</v>
      </c>
    </row>
    <row r="1812" spans="1:12">
      <c r="A1812" s="136">
        <v>41492</v>
      </c>
      <c r="B1812">
        <v>1802</v>
      </c>
      <c r="C1812">
        <v>1786</v>
      </c>
      <c r="D1812">
        <v>1809.25</v>
      </c>
      <c r="E1812" s="136">
        <v>41492</v>
      </c>
      <c r="F1812">
        <v>29.079000000000001</v>
      </c>
      <c r="G1812">
        <v>28.350999999999999</v>
      </c>
      <c r="H1812">
        <v>29.231999999999999</v>
      </c>
      <c r="I1812" s="136">
        <v>41492</v>
      </c>
      <c r="J1812">
        <v>55.99</v>
      </c>
      <c r="K1812">
        <v>55.31</v>
      </c>
      <c r="L1812">
        <v>56.1</v>
      </c>
    </row>
    <row r="1813" spans="1:12">
      <c r="A1813" s="136">
        <v>41493</v>
      </c>
      <c r="B1813">
        <v>1788</v>
      </c>
      <c r="C1813">
        <v>1773.25</v>
      </c>
      <c r="D1813">
        <v>1801</v>
      </c>
      <c r="E1813" s="136">
        <v>41493</v>
      </c>
      <c r="F1813">
        <v>28.347000000000001</v>
      </c>
      <c r="G1813">
        <v>28.222999999999999</v>
      </c>
      <c r="H1813">
        <v>28.721</v>
      </c>
      <c r="I1813" s="136">
        <v>41493</v>
      </c>
      <c r="J1813">
        <v>55.06</v>
      </c>
      <c r="K1813">
        <v>54.78</v>
      </c>
      <c r="L1813">
        <v>55.47</v>
      </c>
    </row>
    <row r="1814" spans="1:12">
      <c r="A1814" s="136">
        <v>41494</v>
      </c>
      <c r="B1814">
        <v>1802</v>
      </c>
      <c r="C1814">
        <v>1799.75</v>
      </c>
      <c r="D1814">
        <v>1849</v>
      </c>
      <c r="E1814" s="136">
        <v>41494</v>
      </c>
      <c r="F1814">
        <v>28.526</v>
      </c>
      <c r="G1814">
        <v>28.47</v>
      </c>
      <c r="H1814">
        <v>29.096</v>
      </c>
      <c r="I1814" s="136">
        <v>41494</v>
      </c>
      <c r="J1814">
        <v>55.42</v>
      </c>
      <c r="K1814">
        <v>54.125</v>
      </c>
      <c r="L1814">
        <v>55.73</v>
      </c>
    </row>
    <row r="1815" spans="1:12">
      <c r="A1815" s="136">
        <v>41495</v>
      </c>
      <c r="B1815">
        <v>1840</v>
      </c>
      <c r="C1815">
        <v>1829.75</v>
      </c>
      <c r="D1815">
        <v>1877</v>
      </c>
      <c r="E1815" s="136">
        <v>41495</v>
      </c>
      <c r="F1815">
        <v>28.943000000000001</v>
      </c>
      <c r="G1815">
        <v>28.853000000000002</v>
      </c>
      <c r="H1815">
        <v>29.33</v>
      </c>
      <c r="I1815" s="136">
        <v>41495</v>
      </c>
      <c r="J1815">
        <v>54.69</v>
      </c>
      <c r="K1815">
        <v>54.33</v>
      </c>
      <c r="L1815">
        <v>55.15</v>
      </c>
    </row>
    <row r="1816" spans="1:12">
      <c r="A1816" s="136">
        <v>41496</v>
      </c>
      <c r="B1816">
        <v>1840</v>
      </c>
      <c r="C1816">
        <v>1829.75</v>
      </c>
      <c r="D1816">
        <v>1877</v>
      </c>
      <c r="E1816" s="136">
        <v>41496</v>
      </c>
      <c r="F1816">
        <v>28.943000000000001</v>
      </c>
      <c r="G1816">
        <v>28.853000000000002</v>
      </c>
      <c r="H1816">
        <v>29.33</v>
      </c>
      <c r="I1816" s="136">
        <v>41496</v>
      </c>
      <c r="J1816">
        <v>54.69</v>
      </c>
      <c r="K1816">
        <v>54.33</v>
      </c>
      <c r="L1816">
        <v>55.15</v>
      </c>
    </row>
    <row r="1817" spans="1:12">
      <c r="A1817" s="136">
        <v>41497</v>
      </c>
      <c r="B1817">
        <v>1840</v>
      </c>
      <c r="C1817">
        <v>1829.75</v>
      </c>
      <c r="D1817">
        <v>1877</v>
      </c>
      <c r="E1817" s="136">
        <v>41497</v>
      </c>
      <c r="F1817">
        <v>28.943000000000001</v>
      </c>
      <c r="G1817">
        <v>28.853000000000002</v>
      </c>
      <c r="H1817">
        <v>29.33</v>
      </c>
      <c r="I1817" s="136">
        <v>41497</v>
      </c>
      <c r="J1817">
        <v>54.69</v>
      </c>
      <c r="K1817">
        <v>54.33</v>
      </c>
      <c r="L1817">
        <v>55.15</v>
      </c>
    </row>
    <row r="1818" spans="1:12">
      <c r="A1818" s="136">
        <v>41498</v>
      </c>
      <c r="B1818">
        <v>1869.25</v>
      </c>
      <c r="C1818">
        <v>1860</v>
      </c>
      <c r="D1818">
        <v>1904.75</v>
      </c>
      <c r="E1818" s="136">
        <v>41498</v>
      </c>
      <c r="F1818">
        <v>29.122</v>
      </c>
      <c r="G1818">
        <v>28.721</v>
      </c>
      <c r="H1818">
        <v>29.305</v>
      </c>
      <c r="I1818" s="136">
        <v>41498</v>
      </c>
      <c r="J1818">
        <v>54.04</v>
      </c>
      <c r="K1818">
        <v>53.68</v>
      </c>
      <c r="L1818">
        <v>54.32</v>
      </c>
    </row>
    <row r="1819" spans="1:12">
      <c r="A1819" s="136">
        <v>41499</v>
      </c>
      <c r="B1819">
        <v>1886</v>
      </c>
      <c r="C1819">
        <v>1874.5</v>
      </c>
      <c r="D1819">
        <v>1898.5</v>
      </c>
      <c r="E1819" s="136">
        <v>41499</v>
      </c>
      <c r="F1819">
        <v>29.367999999999999</v>
      </c>
      <c r="G1819">
        <v>28.879000000000001</v>
      </c>
      <c r="H1819">
        <v>29.402000000000001</v>
      </c>
      <c r="I1819" s="136">
        <v>41499</v>
      </c>
      <c r="J1819">
        <v>54.22</v>
      </c>
      <c r="K1819">
        <v>53.6</v>
      </c>
      <c r="L1819">
        <v>54.7</v>
      </c>
    </row>
    <row r="1820" spans="1:12">
      <c r="A1820" s="136">
        <v>41500</v>
      </c>
      <c r="B1820">
        <v>1880</v>
      </c>
      <c r="C1820">
        <v>1869</v>
      </c>
      <c r="D1820">
        <v>1897.75</v>
      </c>
      <c r="E1820" s="136">
        <v>41500</v>
      </c>
      <c r="F1820">
        <v>28.956</v>
      </c>
      <c r="G1820">
        <v>28.53</v>
      </c>
      <c r="H1820">
        <v>29.181000000000001</v>
      </c>
      <c r="I1820" s="136">
        <v>41500</v>
      </c>
      <c r="J1820">
        <v>54.33</v>
      </c>
      <c r="K1820">
        <v>54</v>
      </c>
      <c r="L1820">
        <v>54.849899999999998</v>
      </c>
    </row>
    <row r="1821" spans="1:12">
      <c r="A1821" s="136">
        <v>41501</v>
      </c>
      <c r="B1821">
        <v>1896</v>
      </c>
      <c r="C1821">
        <v>1886</v>
      </c>
      <c r="D1821">
        <v>1913</v>
      </c>
      <c r="E1821" s="136">
        <v>41501</v>
      </c>
      <c r="F1821">
        <v>28.798000000000002</v>
      </c>
      <c r="G1821">
        <v>28.419</v>
      </c>
      <c r="H1821">
        <v>29.024000000000001</v>
      </c>
      <c r="I1821" s="136">
        <v>41501</v>
      </c>
      <c r="J1821">
        <v>53.52</v>
      </c>
      <c r="K1821">
        <v>52.89</v>
      </c>
      <c r="L1821">
        <v>53.68</v>
      </c>
    </row>
    <row r="1822" spans="1:12">
      <c r="A1822" s="136">
        <v>41502</v>
      </c>
      <c r="B1822">
        <v>1913</v>
      </c>
      <c r="C1822">
        <v>1913</v>
      </c>
      <c r="D1822">
        <v>1945.15</v>
      </c>
      <c r="E1822" s="136">
        <v>41502</v>
      </c>
      <c r="F1822">
        <v>28.606999999999999</v>
      </c>
      <c r="G1822">
        <v>28.398</v>
      </c>
      <c r="H1822">
        <v>29.184999999999999</v>
      </c>
      <c r="I1822" s="136">
        <v>41502</v>
      </c>
      <c r="J1822">
        <v>53.07</v>
      </c>
      <c r="K1822">
        <v>53.07</v>
      </c>
      <c r="L1822">
        <v>53.78</v>
      </c>
    </row>
    <row r="1823" spans="1:12">
      <c r="A1823" s="136">
        <v>41503</v>
      </c>
      <c r="B1823">
        <v>1913</v>
      </c>
      <c r="C1823">
        <v>1913</v>
      </c>
      <c r="D1823">
        <v>1945.15</v>
      </c>
      <c r="E1823" s="136">
        <v>41503</v>
      </c>
      <c r="F1823">
        <v>28.606999999999999</v>
      </c>
      <c r="G1823">
        <v>28.398</v>
      </c>
      <c r="H1823">
        <v>29.184999999999999</v>
      </c>
      <c r="I1823" s="136">
        <v>41503</v>
      </c>
      <c r="J1823">
        <v>53.07</v>
      </c>
      <c r="K1823">
        <v>53.07</v>
      </c>
      <c r="L1823">
        <v>53.78</v>
      </c>
    </row>
    <row r="1824" spans="1:12">
      <c r="A1824" s="136">
        <v>41504</v>
      </c>
      <c r="B1824">
        <v>1913</v>
      </c>
      <c r="C1824">
        <v>1913</v>
      </c>
      <c r="D1824">
        <v>1945.15</v>
      </c>
      <c r="E1824" s="136">
        <v>41504</v>
      </c>
      <c r="F1824">
        <v>28.606999999999999</v>
      </c>
      <c r="G1824">
        <v>28.398</v>
      </c>
      <c r="H1824">
        <v>29.184999999999999</v>
      </c>
      <c r="I1824" s="136">
        <v>41504</v>
      </c>
      <c r="J1824">
        <v>53.07</v>
      </c>
      <c r="K1824">
        <v>53.07</v>
      </c>
      <c r="L1824">
        <v>53.78</v>
      </c>
    </row>
    <row r="1825" spans="1:12">
      <c r="A1825" s="136">
        <v>41505</v>
      </c>
      <c r="B1825">
        <v>1943</v>
      </c>
      <c r="C1825">
        <v>1909.5</v>
      </c>
      <c r="D1825">
        <v>1949</v>
      </c>
      <c r="E1825" s="136">
        <v>41505</v>
      </c>
      <c r="F1825">
        <v>28.984999999999999</v>
      </c>
      <c r="G1825">
        <v>28.626999999999999</v>
      </c>
      <c r="H1825">
        <v>29.138999999999999</v>
      </c>
      <c r="I1825" s="136">
        <v>41505</v>
      </c>
      <c r="J1825">
        <v>52.89</v>
      </c>
      <c r="K1825">
        <v>51.8</v>
      </c>
      <c r="L1825">
        <v>52.95</v>
      </c>
    </row>
    <row r="1826" spans="1:12">
      <c r="A1826" s="136">
        <v>41506</v>
      </c>
      <c r="B1826">
        <v>1915</v>
      </c>
      <c r="C1826">
        <v>1892</v>
      </c>
      <c r="D1826">
        <v>1918</v>
      </c>
      <c r="E1826" s="136">
        <v>41506</v>
      </c>
      <c r="F1826">
        <v>28.516999999999999</v>
      </c>
      <c r="G1826">
        <v>27.93</v>
      </c>
      <c r="H1826">
        <v>28.597999999999999</v>
      </c>
      <c r="I1826" s="136">
        <v>41506</v>
      </c>
      <c r="J1826">
        <v>51.78</v>
      </c>
      <c r="K1826">
        <v>50.66</v>
      </c>
      <c r="L1826">
        <v>52.36</v>
      </c>
    </row>
    <row r="1827" spans="1:12">
      <c r="A1827" s="136">
        <v>41507</v>
      </c>
      <c r="B1827">
        <v>1912.5</v>
      </c>
      <c r="C1827">
        <v>1882</v>
      </c>
      <c r="D1827">
        <v>1916.5</v>
      </c>
      <c r="E1827" s="136">
        <v>41507</v>
      </c>
      <c r="F1827">
        <v>28.198</v>
      </c>
      <c r="G1827">
        <v>27.835999999999999</v>
      </c>
      <c r="H1827">
        <v>28.338000000000001</v>
      </c>
      <c r="I1827" s="136">
        <v>41507</v>
      </c>
      <c r="J1827">
        <v>51.92</v>
      </c>
      <c r="K1827">
        <v>51.28</v>
      </c>
      <c r="L1827">
        <v>52.215000000000003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AP116"/>
  <sheetViews>
    <sheetView workbookViewId="0"/>
  </sheetViews>
  <sheetFormatPr defaultRowHeight="12.75"/>
  <cols>
    <col min="3" max="3" width="15.28515625" bestFit="1" customWidth="1"/>
    <col min="4" max="4" width="10.7109375" customWidth="1"/>
    <col min="5" max="5" width="11.5703125" customWidth="1"/>
    <col min="6" max="6" width="11" customWidth="1"/>
    <col min="12" max="12" width="10.140625" bestFit="1" customWidth="1"/>
    <col min="14" max="14" width="8.85546875" bestFit="1" customWidth="1"/>
    <col min="21" max="21" width="13.42578125" bestFit="1" customWidth="1"/>
    <col min="29" max="29" width="13.5703125" bestFit="1" customWidth="1"/>
    <col min="37" max="37" width="13.7109375" bestFit="1" customWidth="1"/>
  </cols>
  <sheetData>
    <row r="2" spans="3:42">
      <c r="E2" t="s">
        <v>3</v>
      </c>
      <c r="F2" s="1">
        <v>42887</v>
      </c>
    </row>
    <row r="3" spans="3:42">
      <c r="C3" t="s">
        <v>0</v>
      </c>
      <c r="E3" t="s">
        <v>4</v>
      </c>
      <c r="F3" s="1">
        <f ca="1">TODAY()</f>
        <v>43033</v>
      </c>
    </row>
    <row r="4" spans="3:42">
      <c r="C4" t="s">
        <v>10</v>
      </c>
    </row>
    <row r="5" spans="3:42">
      <c r="C5" t="s">
        <v>11</v>
      </c>
    </row>
    <row r="6" spans="3:42">
      <c r="C6" t="s">
        <v>1</v>
      </c>
    </row>
    <row r="7" spans="3:42">
      <c r="C7" t="s">
        <v>12</v>
      </c>
    </row>
    <row r="8" spans="3:42">
      <c r="C8" t="s">
        <v>2</v>
      </c>
    </row>
    <row r="11" spans="3:42">
      <c r="C11" t="s">
        <v>15</v>
      </c>
      <c r="L11" t="str">
        <f>C4</f>
        <v>LAX17 Comdty</v>
      </c>
      <c r="U11" t="str">
        <f>C5</f>
        <v>LAZ17 Comdty</v>
      </c>
      <c r="AC11" t="str">
        <f>C6</f>
        <v>LAF18 Comdty</v>
      </c>
      <c r="AK11" t="str">
        <f>C7</f>
        <v>LAH18 Comdty</v>
      </c>
    </row>
    <row r="12" spans="3:42">
      <c r="C12" t="s">
        <v>5</v>
      </c>
      <c r="D12" t="s">
        <v>6</v>
      </c>
      <c r="E12" t="s">
        <v>7</v>
      </c>
      <c r="F12" t="s">
        <v>8</v>
      </c>
      <c r="G12" t="s">
        <v>13</v>
      </c>
      <c r="H12" t="s">
        <v>14</v>
      </c>
      <c r="L12" t="s">
        <v>5</v>
      </c>
      <c r="M12" t="s">
        <v>6</v>
      </c>
      <c r="N12" t="s">
        <v>7</v>
      </c>
      <c r="O12" t="s">
        <v>8</v>
      </c>
      <c r="P12" t="s">
        <v>13</v>
      </c>
      <c r="Q12" t="s">
        <v>14</v>
      </c>
      <c r="U12" t="s">
        <v>5</v>
      </c>
      <c r="V12" t="s">
        <v>6</v>
      </c>
      <c r="W12" t="s">
        <v>7</v>
      </c>
      <c r="X12" t="s">
        <v>8</v>
      </c>
      <c r="Y12" t="s">
        <v>13</v>
      </c>
      <c r="Z12" t="s">
        <v>14</v>
      </c>
      <c r="AC12" t="s">
        <v>5</v>
      </c>
      <c r="AD12" t="s">
        <v>6</v>
      </c>
      <c r="AE12" t="s">
        <v>7</v>
      </c>
      <c r="AF12" t="s">
        <v>8</v>
      </c>
      <c r="AG12" t="s">
        <v>13</v>
      </c>
      <c r="AH12" t="s">
        <v>14</v>
      </c>
      <c r="AK12" t="s">
        <v>5</v>
      </c>
      <c r="AL12" t="s">
        <v>6</v>
      </c>
      <c r="AM12" t="s">
        <v>7</v>
      </c>
      <c r="AN12" t="s">
        <v>8</v>
      </c>
      <c r="AO12" t="s">
        <v>13</v>
      </c>
      <c r="AP12" t="s">
        <v>14</v>
      </c>
    </row>
    <row r="13" spans="3:42">
      <c r="C13" s="2">
        <f ca="1">_xll.BDH($C$11,$D$12:$F$12,$F$2,$F$3,"Dir=V","Dts=S","Sort=A","Quote=C","QtTyp=Y","Days=T","Per=cd","DtFmt=D","UseDPDF=Y","CshAdjNormal=N","CshAdjAbnormal=N","CapChg=N","cols=4;rows=104")</f>
        <v>42887</v>
      </c>
      <c r="D13">
        <v>1927</v>
      </c>
      <c r="E13">
        <v>1944</v>
      </c>
      <c r="F13">
        <v>1919</v>
      </c>
      <c r="G13" s="3"/>
      <c r="H13" s="3">
        <f ca="1">LN(E13/F13)</f>
        <v>1.2943489012684382E-2</v>
      </c>
      <c r="L13" s="2">
        <f ca="1">_xll.BDH($L$11,$D$12:$F$12,$F$2,$F$3,"Dir=V","Dts=S","Sort=A","Quote=C","QtTyp=Y","Days=T","Per=cd","DtFmt=D","UseDPDF=Y","CshAdjNormal=N","CshAdjAbnormal=N","CapChg=N","cols=4;rows=104")</f>
        <v>42887</v>
      </c>
      <c r="M13">
        <v>1935.5</v>
      </c>
      <c r="N13">
        <v>1935.5</v>
      </c>
      <c r="O13">
        <v>1935.5</v>
      </c>
      <c r="P13" s="3"/>
      <c r="Q13" s="3">
        <f ca="1">LN(N13/O13)</f>
        <v>0</v>
      </c>
      <c r="U13" s="2">
        <f ca="1">_xll.BDH($U$11,$D$12:$F$12,$F$2,$F$3,"Dir=V","Dts=S","Sort=A","Quote=C","QtTyp=Y","Days=T","Per=cd","DtFmt=D","UseDPDF=Y","CshAdjNormal=N","CshAdjAbnormal=N","CapChg=N","cols=4;rows=104")</f>
        <v>42887</v>
      </c>
      <c r="V13">
        <v>1936.5</v>
      </c>
      <c r="W13">
        <v>1940</v>
      </c>
      <c r="X13">
        <v>1936.35</v>
      </c>
      <c r="Y13" s="3"/>
      <c r="Z13" s="3">
        <f ca="1">LN(W13/X13)</f>
        <v>1.8832154365457747E-3</v>
      </c>
      <c r="AC13" s="2">
        <f ca="1">_xll.BDH($AC$11,$D$12:$F$12,$F$2,$F$3,"Dir=V","Dts=S","Sort=A","Quote=C","QtTyp=Y","Days=T","Per=cd","DtFmt=D","UseDPDF=Y","CshAdjNormal=N","CshAdjAbnormal=N","CapChg=N","cols=4;rows=104")</f>
        <v>42887</v>
      </c>
      <c r="AD13">
        <v>1938</v>
      </c>
      <c r="AE13">
        <v>1938.15</v>
      </c>
      <c r="AF13">
        <v>1938</v>
      </c>
      <c r="AG13" s="3"/>
      <c r="AH13" s="3">
        <f ca="1">LN(AE13/AF13)</f>
        <v>7.7396385627451089E-5</v>
      </c>
      <c r="AK13" s="2">
        <f ca="1">_xll.BDH($AK$11,$D$12:$F$12,$F$2,$F$3,"Dir=V","Dts=S","Sort=A","Quote=C","QtTyp=Y","Days=T","Per=cd","DtFmt=D","UseDPDF=Y","CshAdjNormal=N","CshAdjAbnormal=N","CapChg=N","cols=4;rows=104")</f>
        <v>42887</v>
      </c>
      <c r="AL13">
        <v>1941</v>
      </c>
      <c r="AM13" t="s">
        <v>9</v>
      </c>
      <c r="AN13" t="s">
        <v>9</v>
      </c>
      <c r="AO13" s="3"/>
      <c r="AP13" s="3" t="e">
        <f ca="1">LN(AM13/AN13)</f>
        <v>#VALUE!</v>
      </c>
    </row>
    <row r="14" spans="3:42">
      <c r="C14" s="1">
        <v>42888</v>
      </c>
      <c r="D14">
        <v>1931</v>
      </c>
      <c r="E14">
        <v>1935</v>
      </c>
      <c r="F14">
        <v>1910</v>
      </c>
      <c r="G14" s="3">
        <f ca="1">LN(D14/D13)</f>
        <v>2.073614014148119E-3</v>
      </c>
      <c r="H14" s="3">
        <f ca="1">LN(E14/F14)</f>
        <v>1.3004084423206609E-2</v>
      </c>
      <c r="L14" s="1">
        <v>42888</v>
      </c>
      <c r="M14">
        <v>1939.75</v>
      </c>
      <c r="N14">
        <v>1939.75</v>
      </c>
      <c r="O14">
        <v>1939.75</v>
      </c>
      <c r="P14" s="3">
        <f ca="1">LN(M14/M13)</f>
        <v>2.1934077563557914E-3</v>
      </c>
      <c r="Q14" s="3">
        <f ca="1">LN(N14/O14)</f>
        <v>0</v>
      </c>
      <c r="U14" s="1">
        <v>42888</v>
      </c>
      <c r="V14">
        <v>1941.25</v>
      </c>
      <c r="W14">
        <v>1941.4</v>
      </c>
      <c r="X14">
        <v>1919.28</v>
      </c>
      <c r="Y14" s="3">
        <f ca="1">LN(V14/V13)</f>
        <v>2.4498755080899024E-3</v>
      </c>
      <c r="Z14" s="3">
        <f ca="1">LN(W14/X14)</f>
        <v>1.1459246586381753E-2</v>
      </c>
      <c r="AC14" s="1">
        <v>42888</v>
      </c>
      <c r="AD14">
        <v>1942.5</v>
      </c>
      <c r="AE14">
        <v>1942.5</v>
      </c>
      <c r="AF14">
        <v>1923.75</v>
      </c>
      <c r="AG14" s="3">
        <f ca="1">LN(AD14/AD13)</f>
        <v>2.3192897910909917E-3</v>
      </c>
      <c r="AH14" s="3">
        <f ca="1">LN(AE14/AF14)</f>
        <v>9.6993970887135784E-3</v>
      </c>
      <c r="AK14" s="1">
        <v>42888</v>
      </c>
      <c r="AL14">
        <v>1945.5</v>
      </c>
      <c r="AM14" t="s">
        <v>9</v>
      </c>
      <c r="AN14" t="s">
        <v>9</v>
      </c>
      <c r="AO14" s="3">
        <f ca="1">LN(AL14/AL13)</f>
        <v>2.3157092555979035E-3</v>
      </c>
      <c r="AP14" s="3" t="e">
        <f ca="1">LN(AM14/AN14)</f>
        <v>#VALUE!</v>
      </c>
    </row>
    <row r="15" spans="3:42">
      <c r="C15" s="1">
        <v>42891</v>
      </c>
      <c r="D15">
        <v>1903</v>
      </c>
      <c r="E15">
        <v>1933.5</v>
      </c>
      <c r="F15">
        <v>1901</v>
      </c>
      <c r="G15" s="3">
        <f t="shared" ref="G15:G78" ca="1" si="0">LN(D15/D14)</f>
        <v>-1.4606415132365002E-2</v>
      </c>
      <c r="H15" s="3">
        <f t="shared" ref="H15:H78" ca="1" si="1">LN(E15/F15)</f>
        <v>1.6951768558922522E-2</v>
      </c>
      <c r="L15" s="1">
        <v>42891</v>
      </c>
      <c r="M15">
        <v>1911</v>
      </c>
      <c r="N15">
        <v>1911</v>
      </c>
      <c r="O15">
        <v>1911</v>
      </c>
      <c r="P15" s="3">
        <f t="shared" ref="P15:P78" ca="1" si="2">LN(M15/M14)</f>
        <v>-1.4932433533785571E-2</v>
      </c>
      <c r="Q15" s="3">
        <f t="shared" ref="Q15:Q78" ca="1" si="3">LN(N15/O15)</f>
        <v>0</v>
      </c>
      <c r="U15" s="1">
        <v>42891</v>
      </c>
      <c r="V15">
        <v>1913</v>
      </c>
      <c r="W15">
        <v>1923</v>
      </c>
      <c r="X15">
        <v>1913</v>
      </c>
      <c r="Y15" s="3">
        <f t="shared" ref="Y15:Y78" ca="1" si="4">LN(V15/V14)</f>
        <v>-1.4659405022643913E-2</v>
      </c>
      <c r="Z15" s="3">
        <f t="shared" ref="Z15:Z78" ca="1" si="5">LN(W15/X15)</f>
        <v>5.2137761485267957E-3</v>
      </c>
      <c r="AC15" s="1">
        <v>42891</v>
      </c>
      <c r="AD15">
        <v>1914.5</v>
      </c>
      <c r="AE15">
        <v>1914.5</v>
      </c>
      <c r="AF15">
        <v>1914.5</v>
      </c>
      <c r="AG15" s="3">
        <f t="shared" ref="AG15:AG78" ca="1" si="6">LN(AD15/AD14)</f>
        <v>-1.4519311324453268E-2</v>
      </c>
      <c r="AH15" s="3">
        <f t="shared" ref="AH15:AH78" ca="1" si="7">LN(AE15/AF15)</f>
        <v>0</v>
      </c>
      <c r="AK15" s="1">
        <v>42891</v>
      </c>
      <c r="AL15">
        <v>1918</v>
      </c>
      <c r="AM15" t="s">
        <v>9</v>
      </c>
      <c r="AN15" t="s">
        <v>9</v>
      </c>
      <c r="AO15" s="3">
        <f t="shared" ref="AO15:AO78" ca="1" si="8">LN(AL15/AL14)</f>
        <v>-1.4236036981224758E-2</v>
      </c>
      <c r="AP15" s="3" t="e">
        <f t="shared" ref="AP15:AP78" ca="1" si="9">LN(AM15/AN15)</f>
        <v>#VALUE!</v>
      </c>
    </row>
    <row r="16" spans="3:42">
      <c r="C16" s="1">
        <v>42892</v>
      </c>
      <c r="D16">
        <v>1901</v>
      </c>
      <c r="E16">
        <v>1910.5</v>
      </c>
      <c r="F16">
        <v>1887</v>
      </c>
      <c r="G16" s="3">
        <f t="shared" ca="1" si="0"/>
        <v>-1.0515248077202785E-3</v>
      </c>
      <c r="H16" s="3">
        <f t="shared" ca="1" si="1"/>
        <v>1.2376721518404505E-2</v>
      </c>
      <c r="L16" s="1">
        <v>42892</v>
      </c>
      <c r="M16">
        <v>1909</v>
      </c>
      <c r="N16">
        <v>1909</v>
      </c>
      <c r="O16">
        <v>1907</v>
      </c>
      <c r="P16" s="3">
        <f t="shared" ca="1" si="2"/>
        <v>-1.0471205145254673E-3</v>
      </c>
      <c r="Q16" s="3">
        <f t="shared" ca="1" si="3"/>
        <v>1.048218125328567E-3</v>
      </c>
      <c r="U16" s="1">
        <v>42892</v>
      </c>
      <c r="V16">
        <v>1911</v>
      </c>
      <c r="W16">
        <v>1911</v>
      </c>
      <c r="X16">
        <v>1911</v>
      </c>
      <c r="Y16" s="3">
        <f t="shared" ca="1" si="4"/>
        <v>-1.04602519997987E-3</v>
      </c>
      <c r="Z16" s="3">
        <f t="shared" ca="1" si="5"/>
        <v>0</v>
      </c>
      <c r="AC16" s="1">
        <v>42892</v>
      </c>
      <c r="AD16">
        <v>1913</v>
      </c>
      <c r="AE16">
        <v>1913.5</v>
      </c>
      <c r="AF16">
        <v>1913</v>
      </c>
      <c r="AG16" s="3">
        <f t="shared" ca="1" si="6"/>
        <v>-7.8380147709636902E-4</v>
      </c>
      <c r="AH16" s="3">
        <f t="shared" ca="1" si="7"/>
        <v>2.6133542550397398E-4</v>
      </c>
      <c r="AK16" s="1">
        <v>42892</v>
      </c>
      <c r="AL16">
        <v>1917</v>
      </c>
      <c r="AM16" t="s">
        <v>9</v>
      </c>
      <c r="AN16" t="s">
        <v>9</v>
      </c>
      <c r="AO16" s="3">
        <f t="shared" ca="1" si="8"/>
        <v>-5.2151239773908919E-4</v>
      </c>
      <c r="AP16" s="3" t="e">
        <f t="shared" ca="1" si="9"/>
        <v>#VALUE!</v>
      </c>
    </row>
    <row r="17" spans="3:42">
      <c r="C17" s="1">
        <v>42893</v>
      </c>
      <c r="D17">
        <v>1906</v>
      </c>
      <c r="E17">
        <v>1917.5</v>
      </c>
      <c r="F17">
        <v>1896.5</v>
      </c>
      <c r="G17" s="3">
        <f t="shared" ca="1" si="0"/>
        <v>2.6267417257182638E-3</v>
      </c>
      <c r="H17" s="3">
        <f t="shared" ca="1" si="1"/>
        <v>1.1012172112457681E-2</v>
      </c>
      <c r="L17" s="1">
        <v>42893</v>
      </c>
      <c r="M17">
        <v>1914</v>
      </c>
      <c r="N17">
        <v>1914.2</v>
      </c>
      <c r="O17">
        <v>1914</v>
      </c>
      <c r="P17" s="3">
        <f t="shared" ca="1" si="2"/>
        <v>2.6157482871519613E-3</v>
      </c>
      <c r="Q17" s="3">
        <f t="shared" ca="1" si="3"/>
        <v>1.0448774890651244E-4</v>
      </c>
      <c r="U17" s="1">
        <v>42893</v>
      </c>
      <c r="V17">
        <v>1916</v>
      </c>
      <c r="W17">
        <v>1916</v>
      </c>
      <c r="X17">
        <v>1916</v>
      </c>
      <c r="Y17" s="3">
        <f t="shared" ca="1" si="4"/>
        <v>2.6130142905328702E-3</v>
      </c>
      <c r="Z17" s="3">
        <f t="shared" ca="1" si="5"/>
        <v>0</v>
      </c>
      <c r="AC17" s="1">
        <v>42893</v>
      </c>
      <c r="AD17">
        <v>1917.75</v>
      </c>
      <c r="AE17">
        <v>1917.75</v>
      </c>
      <c r="AF17">
        <v>1917.75</v>
      </c>
      <c r="AG17" s="3">
        <f t="shared" ca="1" si="6"/>
        <v>2.4799333991528377E-3</v>
      </c>
      <c r="AH17" s="3">
        <f t="shared" ca="1" si="7"/>
        <v>0</v>
      </c>
      <c r="AK17" s="1">
        <v>42893</v>
      </c>
      <c r="AL17">
        <v>1924</v>
      </c>
      <c r="AM17" t="s">
        <v>9</v>
      </c>
      <c r="AN17" t="s">
        <v>9</v>
      </c>
      <c r="AO17" s="3">
        <f t="shared" ca="1" si="8"/>
        <v>3.6448881800072823E-3</v>
      </c>
      <c r="AP17" s="3" t="e">
        <f t="shared" ca="1" si="9"/>
        <v>#VALUE!</v>
      </c>
    </row>
    <row r="18" spans="3:42">
      <c r="C18" s="1">
        <v>42894</v>
      </c>
      <c r="D18">
        <v>1902.5</v>
      </c>
      <c r="E18">
        <v>1922</v>
      </c>
      <c r="F18">
        <v>1899</v>
      </c>
      <c r="G18" s="3">
        <f t="shared" ca="1" si="0"/>
        <v>-1.8379944783064926E-3</v>
      </c>
      <c r="H18" s="3">
        <f t="shared" ca="1" si="1"/>
        <v>1.2038878717951815E-2</v>
      </c>
      <c r="L18" s="1">
        <v>42894</v>
      </c>
      <c r="M18">
        <v>1909.5</v>
      </c>
      <c r="N18">
        <v>1911</v>
      </c>
      <c r="O18">
        <v>1909.5</v>
      </c>
      <c r="P18" s="3">
        <f t="shared" ca="1" si="2"/>
        <v>-2.3538653473287106E-3</v>
      </c>
      <c r="Q18" s="3">
        <f t="shared" ca="1" si="3"/>
        <v>7.8523757470216166E-4</v>
      </c>
      <c r="U18" s="1">
        <v>42894</v>
      </c>
      <c r="V18">
        <v>1911.5</v>
      </c>
      <c r="W18">
        <v>1911.5</v>
      </c>
      <c r="X18">
        <v>1911.5</v>
      </c>
      <c r="Y18" s="3">
        <f t="shared" ca="1" si="4"/>
        <v>-2.3514053943383519E-3</v>
      </c>
      <c r="Z18" s="3">
        <f t="shared" ca="1" si="5"/>
        <v>0</v>
      </c>
      <c r="AC18" s="1">
        <v>42894</v>
      </c>
      <c r="AD18">
        <v>1913.25</v>
      </c>
      <c r="AE18">
        <v>1913.25</v>
      </c>
      <c r="AF18">
        <v>1913.25</v>
      </c>
      <c r="AG18" s="3">
        <f t="shared" ca="1" si="6"/>
        <v>-2.3492571493752101E-3</v>
      </c>
      <c r="AH18" s="3">
        <f t="shared" ca="1" si="7"/>
        <v>0</v>
      </c>
      <c r="AK18" s="1">
        <v>42894</v>
      </c>
      <c r="AL18">
        <v>1918.25</v>
      </c>
      <c r="AM18">
        <v>1918.25</v>
      </c>
      <c r="AN18">
        <v>1918.25</v>
      </c>
      <c r="AO18" s="3">
        <f t="shared" ca="1" si="8"/>
        <v>-2.9930401678772141E-3</v>
      </c>
      <c r="AP18" s="3">
        <f t="shared" ca="1" si="9"/>
        <v>0</v>
      </c>
    </row>
    <row r="19" spans="3:42">
      <c r="C19" s="1">
        <v>42895</v>
      </c>
      <c r="D19">
        <v>1907</v>
      </c>
      <c r="E19">
        <v>1912</v>
      </c>
      <c r="F19">
        <v>1889</v>
      </c>
      <c r="G19" s="3">
        <f t="shared" ca="1" si="0"/>
        <v>2.3625158645782175E-3</v>
      </c>
      <c r="H19" s="3">
        <f t="shared" ca="1" si="1"/>
        <v>1.2102226109837046E-2</v>
      </c>
      <c r="L19" s="1">
        <v>42895</v>
      </c>
      <c r="M19">
        <v>1914.25</v>
      </c>
      <c r="N19">
        <v>1914.25</v>
      </c>
      <c r="O19">
        <v>1914.25</v>
      </c>
      <c r="P19" s="3">
        <f t="shared" ca="1" si="2"/>
        <v>2.4844733276619658E-3</v>
      </c>
      <c r="Q19" s="3">
        <f t="shared" ca="1" si="3"/>
        <v>0</v>
      </c>
      <c r="U19" s="1">
        <v>42895</v>
      </c>
      <c r="V19">
        <v>1916.75</v>
      </c>
      <c r="W19">
        <v>1916.75</v>
      </c>
      <c r="X19">
        <v>1916.75</v>
      </c>
      <c r="Y19" s="3">
        <f t="shared" ca="1" si="4"/>
        <v>2.7427693025363904E-3</v>
      </c>
      <c r="Z19" s="3">
        <f t="shared" ca="1" si="5"/>
        <v>0</v>
      </c>
      <c r="AC19" s="1">
        <v>42895</v>
      </c>
      <c r="AD19">
        <v>1918.25</v>
      </c>
      <c r="AE19">
        <v>1918.25</v>
      </c>
      <c r="AF19">
        <v>1918.25</v>
      </c>
      <c r="AG19" s="3">
        <f t="shared" ca="1" si="6"/>
        <v>2.6099453677440707E-3</v>
      </c>
      <c r="AH19" s="3">
        <f t="shared" ca="1" si="7"/>
        <v>0</v>
      </c>
      <c r="AK19" s="1">
        <v>42895</v>
      </c>
      <c r="AL19">
        <v>1923.25</v>
      </c>
      <c r="AM19">
        <v>1923.25</v>
      </c>
      <c r="AN19">
        <v>1923.25</v>
      </c>
      <c r="AO19" s="3">
        <f t="shared" ca="1" si="8"/>
        <v>2.6031512812693647E-3</v>
      </c>
      <c r="AP19" s="3">
        <f t="shared" ca="1" si="9"/>
        <v>0</v>
      </c>
    </row>
    <row r="20" spans="3:42">
      <c r="C20" s="1">
        <v>42898</v>
      </c>
      <c r="D20">
        <v>1889</v>
      </c>
      <c r="E20">
        <v>1911.5</v>
      </c>
      <c r="F20">
        <v>1885.5</v>
      </c>
      <c r="G20" s="3">
        <f t="shared" ca="1" si="0"/>
        <v>-9.4837380989094642E-3</v>
      </c>
      <c r="H20" s="3">
        <f t="shared" ca="1" si="1"/>
        <v>1.3695236438055669E-2</v>
      </c>
      <c r="L20" s="1">
        <v>42898</v>
      </c>
      <c r="M20">
        <v>1895.75</v>
      </c>
      <c r="N20">
        <v>1905.65</v>
      </c>
      <c r="O20">
        <v>1895.75</v>
      </c>
      <c r="P20" s="3">
        <f t="shared" ca="1" si="2"/>
        <v>-9.7113624121878944E-3</v>
      </c>
      <c r="Q20" s="3">
        <f t="shared" ca="1" si="3"/>
        <v>5.2086191308483715E-3</v>
      </c>
      <c r="U20" s="1">
        <v>42898</v>
      </c>
      <c r="V20">
        <v>1898.25</v>
      </c>
      <c r="W20">
        <v>1898.25</v>
      </c>
      <c r="X20">
        <v>1898.25</v>
      </c>
      <c r="Y20" s="3">
        <f t="shared" ca="1" si="4"/>
        <v>-9.6986343456606765E-3</v>
      </c>
      <c r="Z20" s="3">
        <f t="shared" ca="1" si="5"/>
        <v>0</v>
      </c>
      <c r="AC20" s="1">
        <v>42898</v>
      </c>
      <c r="AD20">
        <v>1899.75</v>
      </c>
      <c r="AE20">
        <v>1899.95</v>
      </c>
      <c r="AF20">
        <v>1899.75</v>
      </c>
      <c r="AG20" s="3">
        <f t="shared" ca="1" si="6"/>
        <v>-9.6910135078802726E-3</v>
      </c>
      <c r="AH20" s="3">
        <f t="shared" ca="1" si="7"/>
        <v>1.0527146889732887E-4</v>
      </c>
      <c r="AK20" s="1">
        <v>42898</v>
      </c>
      <c r="AL20">
        <v>1904.75</v>
      </c>
      <c r="AM20">
        <v>1904.75</v>
      </c>
      <c r="AN20">
        <v>1904.75</v>
      </c>
      <c r="AO20" s="3">
        <f t="shared" ca="1" si="8"/>
        <v>-9.6656969859249767E-3</v>
      </c>
      <c r="AP20" s="3">
        <f t="shared" ca="1" si="9"/>
        <v>0</v>
      </c>
    </row>
    <row r="21" spans="3:42">
      <c r="C21" s="1">
        <v>42899</v>
      </c>
      <c r="D21">
        <v>1889</v>
      </c>
      <c r="E21">
        <v>1895.5</v>
      </c>
      <c r="F21">
        <v>1879</v>
      </c>
      <c r="G21" s="3">
        <f t="shared" ca="1" si="0"/>
        <v>0</v>
      </c>
      <c r="H21" s="3">
        <f t="shared" ca="1" si="1"/>
        <v>8.7429355429242475E-3</v>
      </c>
      <c r="L21" s="1">
        <v>42899</v>
      </c>
      <c r="M21">
        <v>1895</v>
      </c>
      <c r="N21">
        <v>1895.2</v>
      </c>
      <c r="O21">
        <v>1895</v>
      </c>
      <c r="P21" s="3">
        <f t="shared" ca="1" si="2"/>
        <v>-3.9570006451814752E-4</v>
      </c>
      <c r="Q21" s="3">
        <f t="shared" ca="1" si="3"/>
        <v>1.0553532804893604E-4</v>
      </c>
      <c r="U21" s="1">
        <v>42899</v>
      </c>
      <c r="V21">
        <v>1897.75</v>
      </c>
      <c r="W21">
        <v>1897.75</v>
      </c>
      <c r="X21">
        <v>1897.25</v>
      </c>
      <c r="Y21" s="3">
        <f t="shared" ca="1" si="4"/>
        <v>-2.6343519646550496E-4</v>
      </c>
      <c r="Z21" s="3">
        <f t="shared" ca="1" si="5"/>
        <v>2.6350461285542951E-4</v>
      </c>
      <c r="AC21" s="1">
        <v>42899</v>
      </c>
      <c r="AD21">
        <v>1899.5</v>
      </c>
      <c r="AE21">
        <v>1899.7</v>
      </c>
      <c r="AF21">
        <v>1899.5</v>
      </c>
      <c r="AG21" s="3">
        <f t="shared" ca="1" si="6"/>
        <v>-1.3160492221401428E-4</v>
      </c>
      <c r="AH21" s="3">
        <f t="shared" ca="1" si="7"/>
        <v>1.0528532332312017E-4</v>
      </c>
      <c r="AK21" s="1">
        <v>42899</v>
      </c>
      <c r="AL21">
        <v>1904.5</v>
      </c>
      <c r="AM21">
        <v>1904.5</v>
      </c>
      <c r="AN21">
        <v>1904.5</v>
      </c>
      <c r="AO21" s="3">
        <f t="shared" ca="1" si="8"/>
        <v>-1.3125943446028627E-4</v>
      </c>
      <c r="AP21" s="3">
        <f t="shared" ca="1" si="9"/>
        <v>0</v>
      </c>
    </row>
    <row r="22" spans="3:42">
      <c r="C22" s="1">
        <v>42900</v>
      </c>
      <c r="D22">
        <v>1882.5</v>
      </c>
      <c r="E22">
        <v>1899.5</v>
      </c>
      <c r="F22">
        <v>1878</v>
      </c>
      <c r="G22" s="3">
        <f t="shared" ca="1" si="0"/>
        <v>-3.4469078274608957E-3</v>
      </c>
      <c r="H22" s="3">
        <f t="shared" ca="1" si="1"/>
        <v>1.1383312859471981E-2</v>
      </c>
      <c r="L22" s="1">
        <v>42900</v>
      </c>
      <c r="M22">
        <v>1888.75</v>
      </c>
      <c r="N22">
        <v>1901</v>
      </c>
      <c r="O22">
        <v>1888.6</v>
      </c>
      <c r="P22" s="3">
        <f t="shared" ca="1" si="2"/>
        <v>-3.3036039295774164E-3</v>
      </c>
      <c r="Q22" s="3">
        <f t="shared" ca="1" si="3"/>
        <v>6.5442496594604969E-3</v>
      </c>
      <c r="U22" s="1">
        <v>42900</v>
      </c>
      <c r="V22">
        <v>1891.75</v>
      </c>
      <c r="W22">
        <v>1897.47</v>
      </c>
      <c r="X22">
        <v>1891.75</v>
      </c>
      <c r="Y22" s="3">
        <f t="shared" ca="1" si="4"/>
        <v>-3.1666473222466511E-3</v>
      </c>
      <c r="Z22" s="3">
        <f t="shared" ca="1" si="5"/>
        <v>3.0190932934905327E-3</v>
      </c>
      <c r="AC22" s="1">
        <v>42900</v>
      </c>
      <c r="AD22">
        <v>1893.5</v>
      </c>
      <c r="AE22">
        <v>1893.5</v>
      </c>
      <c r="AF22">
        <v>1893.5</v>
      </c>
      <c r="AG22" s="3">
        <f t="shared" ca="1" si="6"/>
        <v>-3.1637252858306925E-3</v>
      </c>
      <c r="AH22" s="3">
        <f t="shared" ca="1" si="7"/>
        <v>0</v>
      </c>
      <c r="AK22" s="1">
        <v>42900</v>
      </c>
      <c r="AL22">
        <v>1898</v>
      </c>
      <c r="AM22">
        <v>1897.8</v>
      </c>
      <c r="AN22">
        <v>1897.8</v>
      </c>
      <c r="AO22" s="3">
        <f t="shared" ca="1" si="8"/>
        <v>-3.418806748785609E-3</v>
      </c>
      <c r="AP22" s="3">
        <f t="shared" ca="1" si="9"/>
        <v>0</v>
      </c>
    </row>
    <row r="23" spans="3:42">
      <c r="C23" s="1">
        <v>42901</v>
      </c>
      <c r="D23">
        <v>1872</v>
      </c>
      <c r="E23">
        <v>1886</v>
      </c>
      <c r="F23">
        <v>1870.5</v>
      </c>
      <c r="G23" s="3">
        <f t="shared" ca="1" si="0"/>
        <v>-5.5933026365113259E-3</v>
      </c>
      <c r="H23" s="3">
        <f t="shared" ca="1" si="1"/>
        <v>8.252409405201902E-3</v>
      </c>
      <c r="L23" s="1">
        <v>42901</v>
      </c>
      <c r="M23">
        <v>1877.5</v>
      </c>
      <c r="N23">
        <v>1877.65</v>
      </c>
      <c r="O23">
        <v>1877.35</v>
      </c>
      <c r="P23" s="3">
        <f t="shared" ca="1" si="2"/>
        <v>-5.9741299486595597E-3</v>
      </c>
      <c r="Q23" s="3">
        <f t="shared" ca="1" si="3"/>
        <v>1.5978695107236654E-4</v>
      </c>
      <c r="U23" s="1">
        <v>42901</v>
      </c>
      <c r="V23">
        <v>1880.75</v>
      </c>
      <c r="W23">
        <v>1880.75</v>
      </c>
      <c r="X23">
        <v>1880.75</v>
      </c>
      <c r="Y23" s="3">
        <f t="shared" ca="1" si="4"/>
        <v>-5.8316931343000526E-3</v>
      </c>
      <c r="Z23" s="3">
        <f t="shared" ca="1" si="5"/>
        <v>0</v>
      </c>
      <c r="AC23" s="1">
        <v>42901</v>
      </c>
      <c r="AD23">
        <v>1882.5</v>
      </c>
      <c r="AE23">
        <v>1882.5</v>
      </c>
      <c r="AF23">
        <v>1882.5</v>
      </c>
      <c r="AG23" s="3">
        <f t="shared" ca="1" si="6"/>
        <v>-5.8262876678009008E-3</v>
      </c>
      <c r="AH23" s="3">
        <f t="shared" ca="1" si="7"/>
        <v>0</v>
      </c>
      <c r="AK23" s="1">
        <v>42901</v>
      </c>
      <c r="AL23">
        <v>1887.25</v>
      </c>
      <c r="AM23" t="s">
        <v>9</v>
      </c>
      <c r="AN23" t="s">
        <v>9</v>
      </c>
      <c r="AO23" s="3">
        <f t="shared" ca="1" si="8"/>
        <v>-5.6799571501389059E-3</v>
      </c>
      <c r="AP23" s="3" t="e">
        <f t="shared" ca="1" si="9"/>
        <v>#VALUE!</v>
      </c>
    </row>
    <row r="24" spans="3:42">
      <c r="C24" s="1">
        <v>42902</v>
      </c>
      <c r="D24">
        <v>1867</v>
      </c>
      <c r="E24">
        <v>1881.5</v>
      </c>
      <c r="F24">
        <v>1866.85</v>
      </c>
      <c r="G24" s="3">
        <f t="shared" ca="1" si="0"/>
        <v>-2.6745134958147329E-3</v>
      </c>
      <c r="H24" s="3">
        <f t="shared" ca="1" si="1"/>
        <v>7.8168125153540019E-3</v>
      </c>
      <c r="L24" s="1">
        <v>42902</v>
      </c>
      <c r="M24">
        <v>1872.75</v>
      </c>
      <c r="N24">
        <v>1872.9</v>
      </c>
      <c r="O24">
        <v>1872.55</v>
      </c>
      <c r="P24" s="3">
        <f t="shared" ca="1" si="2"/>
        <v>-2.5331658102975378E-3</v>
      </c>
      <c r="Q24" s="3">
        <f t="shared" ca="1" si="3"/>
        <v>1.8689343123988079E-4</v>
      </c>
      <c r="U24" s="1">
        <v>42902</v>
      </c>
      <c r="V24">
        <v>1876</v>
      </c>
      <c r="W24">
        <v>1876.15</v>
      </c>
      <c r="X24">
        <v>1876</v>
      </c>
      <c r="Y24" s="3">
        <f t="shared" ca="1" si="4"/>
        <v>-2.5287828741609405E-3</v>
      </c>
      <c r="Z24" s="3">
        <f t="shared" ca="1" si="5"/>
        <v>7.9954159657786829E-5</v>
      </c>
      <c r="AC24" s="1">
        <v>42902</v>
      </c>
      <c r="AD24">
        <v>1878</v>
      </c>
      <c r="AE24">
        <v>1878</v>
      </c>
      <c r="AF24">
        <v>1878</v>
      </c>
      <c r="AG24" s="3">
        <f t="shared" ca="1" si="6"/>
        <v>-2.3932999058403786E-3</v>
      </c>
      <c r="AH24" s="3">
        <f t="shared" ca="1" si="7"/>
        <v>0</v>
      </c>
      <c r="AK24" s="1">
        <v>42902</v>
      </c>
      <c r="AL24">
        <v>1883</v>
      </c>
      <c r="AM24">
        <v>1883.15</v>
      </c>
      <c r="AN24">
        <v>1882.8</v>
      </c>
      <c r="AO24" s="3">
        <f t="shared" ca="1" si="8"/>
        <v>-2.2544933625817895E-3</v>
      </c>
      <c r="AP24" s="3">
        <f t="shared" ca="1" si="9"/>
        <v>1.8587607430148678E-4</v>
      </c>
    </row>
    <row r="25" spans="3:42">
      <c r="C25" s="1">
        <v>42905</v>
      </c>
      <c r="D25">
        <v>1886.5</v>
      </c>
      <c r="E25">
        <v>1893</v>
      </c>
      <c r="F25">
        <v>1870.5</v>
      </c>
      <c r="G25" s="3">
        <f t="shared" ca="1" si="0"/>
        <v>1.039039586264255E-2</v>
      </c>
      <c r="H25" s="3">
        <f t="shared" ca="1" si="1"/>
        <v>1.1957097421122029E-2</v>
      </c>
      <c r="L25" s="1">
        <v>42905</v>
      </c>
      <c r="M25">
        <v>1891.25</v>
      </c>
      <c r="N25">
        <v>1891.25</v>
      </c>
      <c r="O25">
        <v>1891.1</v>
      </c>
      <c r="P25" s="3">
        <f t="shared" ca="1" si="2"/>
        <v>9.8300472745733187E-3</v>
      </c>
      <c r="Q25" s="3">
        <f t="shared" ca="1" si="3"/>
        <v>7.9315769338506471E-5</v>
      </c>
      <c r="U25" s="1">
        <v>42905</v>
      </c>
      <c r="V25">
        <v>1894.75</v>
      </c>
      <c r="W25">
        <v>1894.75</v>
      </c>
      <c r="X25">
        <v>1894.75</v>
      </c>
      <c r="Y25" s="3">
        <f t="shared" ca="1" si="4"/>
        <v>9.9450531259685625E-3</v>
      </c>
      <c r="Z25" s="3">
        <f t="shared" ca="1" si="5"/>
        <v>0</v>
      </c>
      <c r="AC25" s="1">
        <v>42905</v>
      </c>
      <c r="AD25">
        <v>1897.25</v>
      </c>
      <c r="AE25">
        <v>1897.25</v>
      </c>
      <c r="AF25">
        <v>1897.25</v>
      </c>
      <c r="AG25" s="3">
        <f t="shared" ca="1" si="6"/>
        <v>1.0198088515813995E-2</v>
      </c>
      <c r="AH25" s="3">
        <f t="shared" ca="1" si="7"/>
        <v>0</v>
      </c>
      <c r="AK25" s="1">
        <v>42905</v>
      </c>
      <c r="AL25">
        <v>1901.75</v>
      </c>
      <c r="AM25" t="s">
        <v>9</v>
      </c>
      <c r="AN25" t="s">
        <v>9</v>
      </c>
      <c r="AO25" s="3">
        <f t="shared" ca="1" si="8"/>
        <v>9.9082652202580682E-3</v>
      </c>
      <c r="AP25" s="3" t="e">
        <f t="shared" ca="1" si="9"/>
        <v>#VALUE!</v>
      </c>
    </row>
    <row r="26" spans="3:42">
      <c r="C26" s="1">
        <v>42906</v>
      </c>
      <c r="D26">
        <v>1886.5</v>
      </c>
      <c r="E26">
        <v>1910</v>
      </c>
      <c r="F26">
        <v>1883</v>
      </c>
      <c r="G26" s="3">
        <f t="shared" ca="1" si="0"/>
        <v>0</v>
      </c>
      <c r="H26" s="3">
        <f t="shared" ca="1" si="1"/>
        <v>1.4236992383523144E-2</v>
      </c>
      <c r="L26" s="1">
        <v>42906</v>
      </c>
      <c r="M26">
        <v>1892</v>
      </c>
      <c r="N26" t="s">
        <v>9</v>
      </c>
      <c r="O26" t="s">
        <v>9</v>
      </c>
      <c r="P26" s="3">
        <f t="shared" ca="1" si="2"/>
        <v>3.9648450925791563E-4</v>
      </c>
      <c r="Q26" s="3" t="e">
        <f t="shared" ca="1" si="3"/>
        <v>#VALUE!</v>
      </c>
      <c r="U26" s="1">
        <v>42906</v>
      </c>
      <c r="V26">
        <v>1895.5</v>
      </c>
      <c r="W26">
        <v>1895.35</v>
      </c>
      <c r="X26">
        <v>1895.35</v>
      </c>
      <c r="Y26" s="3">
        <f t="shared" ca="1" si="4"/>
        <v>3.9575226425096413E-4</v>
      </c>
      <c r="Z26" s="3">
        <f t="shared" ca="1" si="5"/>
        <v>0</v>
      </c>
      <c r="AC26" s="1">
        <v>42906</v>
      </c>
      <c r="AD26">
        <v>1898</v>
      </c>
      <c r="AE26">
        <v>1898</v>
      </c>
      <c r="AF26">
        <v>1898</v>
      </c>
      <c r="AG26" s="3">
        <f t="shared" ca="1" si="6"/>
        <v>3.9523088585103196E-4</v>
      </c>
      <c r="AH26" s="3">
        <f t="shared" ca="1" si="7"/>
        <v>0</v>
      </c>
      <c r="AK26" s="1">
        <v>42906</v>
      </c>
      <c r="AL26">
        <v>1903</v>
      </c>
      <c r="AM26" t="s">
        <v>9</v>
      </c>
      <c r="AN26" t="s">
        <v>9</v>
      </c>
      <c r="AO26" s="3">
        <f t="shared" ca="1" si="8"/>
        <v>6.5707341873886594E-4</v>
      </c>
      <c r="AP26" s="3" t="e">
        <f t="shared" ca="1" si="9"/>
        <v>#VALUE!</v>
      </c>
    </row>
    <row r="27" spans="3:42">
      <c r="C27" s="1">
        <v>42907</v>
      </c>
      <c r="D27">
        <v>1867</v>
      </c>
      <c r="E27">
        <v>1892</v>
      </c>
      <c r="F27">
        <v>1866</v>
      </c>
      <c r="G27" s="3">
        <f t="shared" ca="1" si="0"/>
        <v>-1.0390395862642541E-2</v>
      </c>
      <c r="H27" s="3">
        <f t="shared" ca="1" si="1"/>
        <v>1.3837368204534387E-2</v>
      </c>
      <c r="L27" s="1">
        <v>42907</v>
      </c>
      <c r="M27">
        <v>1872.75</v>
      </c>
      <c r="N27">
        <v>1872.6</v>
      </c>
      <c r="O27">
        <v>1872.6</v>
      </c>
      <c r="P27" s="3">
        <f t="shared" ca="1" si="2"/>
        <v>-1.0226531783831313E-2</v>
      </c>
      <c r="Q27" s="3">
        <f t="shared" ca="1" si="3"/>
        <v>0</v>
      </c>
      <c r="U27" s="1">
        <v>42907</v>
      </c>
      <c r="V27">
        <v>1876.25</v>
      </c>
      <c r="W27" t="s">
        <v>9</v>
      </c>
      <c r="X27" t="s">
        <v>9</v>
      </c>
      <c r="Y27" s="3">
        <f t="shared" ca="1" si="4"/>
        <v>-1.0207552008717828E-2</v>
      </c>
      <c r="Z27" s="3" t="e">
        <f t="shared" ca="1" si="5"/>
        <v>#VALUE!</v>
      </c>
      <c r="AC27" s="1">
        <v>42907</v>
      </c>
      <c r="AD27">
        <v>1878.75</v>
      </c>
      <c r="AE27" t="s">
        <v>9</v>
      </c>
      <c r="AF27" t="s">
        <v>9</v>
      </c>
      <c r="AG27" s="3">
        <f t="shared" ca="1" si="6"/>
        <v>-1.0194038102688888E-2</v>
      </c>
      <c r="AH27" s="3" t="e">
        <f t="shared" ca="1" si="7"/>
        <v>#VALUE!</v>
      </c>
      <c r="AK27" s="1">
        <v>42907</v>
      </c>
      <c r="AL27">
        <v>1883.75</v>
      </c>
      <c r="AM27" t="s">
        <v>9</v>
      </c>
      <c r="AN27" t="s">
        <v>9</v>
      </c>
      <c r="AO27" s="3">
        <f t="shared" ca="1" si="8"/>
        <v>-1.0167117355444313E-2</v>
      </c>
      <c r="AP27" s="3" t="e">
        <f t="shared" ca="1" si="9"/>
        <v>#VALUE!</v>
      </c>
    </row>
    <row r="28" spans="3:42">
      <c r="C28" s="1">
        <v>42908</v>
      </c>
      <c r="D28">
        <v>1870</v>
      </c>
      <c r="E28">
        <v>1883.5</v>
      </c>
      <c r="F28">
        <v>1866.5</v>
      </c>
      <c r="G28" s="3">
        <f t="shared" ca="1" si="0"/>
        <v>1.6055663069097306E-3</v>
      </c>
      <c r="H28" s="3">
        <f t="shared" ca="1" si="1"/>
        <v>9.0667287774572284E-3</v>
      </c>
      <c r="L28" s="1">
        <v>42908</v>
      </c>
      <c r="M28">
        <v>1876</v>
      </c>
      <c r="N28">
        <v>1882.5</v>
      </c>
      <c r="O28">
        <v>1879</v>
      </c>
      <c r="P28" s="3">
        <f t="shared" ca="1" si="2"/>
        <v>1.7339117381777256E-3</v>
      </c>
      <c r="Q28" s="3">
        <f t="shared" ca="1" si="3"/>
        <v>1.8609602605833145E-3</v>
      </c>
      <c r="U28" s="1">
        <v>42908</v>
      </c>
      <c r="V28">
        <v>1879.5</v>
      </c>
      <c r="W28" t="s">
        <v>9</v>
      </c>
      <c r="X28" t="s">
        <v>9</v>
      </c>
      <c r="Y28" s="3">
        <f t="shared" ca="1" si="4"/>
        <v>1.7306800565610291E-3</v>
      </c>
      <c r="Z28" s="3" t="e">
        <f t="shared" ca="1" si="5"/>
        <v>#VALUE!</v>
      </c>
      <c r="AC28" s="1">
        <v>42908</v>
      </c>
      <c r="AD28">
        <v>1882.25</v>
      </c>
      <c r="AE28" t="s">
        <v>9</v>
      </c>
      <c r="AF28" t="s">
        <v>9</v>
      </c>
      <c r="AG28" s="3">
        <f t="shared" ca="1" si="6"/>
        <v>1.8612076630474734E-3</v>
      </c>
      <c r="AH28" s="3" t="e">
        <f t="shared" ca="1" si="7"/>
        <v>#VALUE!</v>
      </c>
      <c r="AK28" s="1">
        <v>42908</v>
      </c>
      <c r="AL28">
        <v>1887.25</v>
      </c>
      <c r="AM28">
        <v>1887.4</v>
      </c>
      <c r="AN28">
        <v>1887.4</v>
      </c>
      <c r="AO28" s="3">
        <f t="shared" ca="1" si="8"/>
        <v>1.8562720790291061E-3</v>
      </c>
      <c r="AP28" s="3">
        <f t="shared" ca="1" si="9"/>
        <v>0</v>
      </c>
    </row>
    <row r="29" spans="3:42">
      <c r="C29" s="1">
        <v>42909</v>
      </c>
      <c r="D29">
        <v>1865</v>
      </c>
      <c r="E29">
        <v>1881.15</v>
      </c>
      <c r="F29">
        <v>1864.85</v>
      </c>
      <c r="G29" s="3">
        <f t="shared" ca="1" si="0"/>
        <v>-2.6773777707164029E-3</v>
      </c>
      <c r="H29" s="3">
        <f t="shared" ca="1" si="1"/>
        <v>8.7026710492580216E-3</v>
      </c>
      <c r="L29" s="1">
        <v>42909</v>
      </c>
      <c r="M29">
        <v>1871</v>
      </c>
      <c r="N29">
        <v>1871</v>
      </c>
      <c r="O29">
        <v>1871</v>
      </c>
      <c r="P29" s="3">
        <f t="shared" ca="1" si="2"/>
        <v>-2.6688032920803516E-3</v>
      </c>
      <c r="Q29" s="3">
        <f t="shared" ca="1" si="3"/>
        <v>0</v>
      </c>
      <c r="U29" s="1">
        <v>42909</v>
      </c>
      <c r="V29">
        <v>1874.5</v>
      </c>
      <c r="W29">
        <v>1874.5</v>
      </c>
      <c r="X29">
        <v>1874.5</v>
      </c>
      <c r="Y29" s="3">
        <f t="shared" ca="1" si="4"/>
        <v>-2.6638268282659174E-3</v>
      </c>
      <c r="Z29" s="3">
        <f t="shared" ca="1" si="5"/>
        <v>0</v>
      </c>
      <c r="AC29" s="1">
        <v>42909</v>
      </c>
      <c r="AD29">
        <v>1876.5</v>
      </c>
      <c r="AE29">
        <v>1876.5</v>
      </c>
      <c r="AF29">
        <v>1876.5</v>
      </c>
      <c r="AG29" s="3">
        <f t="shared" ca="1" si="6"/>
        <v>-3.0595301551561466E-3</v>
      </c>
      <c r="AH29" s="3">
        <f t="shared" ca="1" si="7"/>
        <v>0</v>
      </c>
      <c r="AK29" s="1">
        <v>42909</v>
      </c>
      <c r="AL29">
        <v>1881.5</v>
      </c>
      <c r="AM29">
        <v>1881.5</v>
      </c>
      <c r="AN29">
        <v>1881.5</v>
      </c>
      <c r="AO29" s="3">
        <f t="shared" ca="1" si="8"/>
        <v>-3.0514119862422584E-3</v>
      </c>
      <c r="AP29" s="3">
        <f t="shared" ca="1" si="9"/>
        <v>0</v>
      </c>
    </row>
    <row r="30" spans="3:42">
      <c r="C30" s="1">
        <v>42912</v>
      </c>
      <c r="D30">
        <v>1862</v>
      </c>
      <c r="E30">
        <v>1877</v>
      </c>
      <c r="F30">
        <v>1855</v>
      </c>
      <c r="G30" s="3">
        <f t="shared" ca="1" si="0"/>
        <v>-1.6098742409035819E-3</v>
      </c>
      <c r="H30" s="3">
        <f t="shared" ca="1" si="1"/>
        <v>1.1790061544973333E-2</v>
      </c>
      <c r="L30" s="1">
        <v>42912</v>
      </c>
      <c r="M30">
        <v>1867.75</v>
      </c>
      <c r="N30">
        <v>1867.75</v>
      </c>
      <c r="O30">
        <v>1867.75</v>
      </c>
      <c r="P30" s="3">
        <f t="shared" ca="1" si="2"/>
        <v>-1.7385494181789444E-3</v>
      </c>
      <c r="Q30" s="3">
        <f t="shared" ca="1" si="3"/>
        <v>0</v>
      </c>
      <c r="U30" s="1">
        <v>42912</v>
      </c>
      <c r="V30">
        <v>1871.25</v>
      </c>
      <c r="W30">
        <v>1871.25</v>
      </c>
      <c r="X30">
        <v>1871.25</v>
      </c>
      <c r="Y30" s="3">
        <f t="shared" ca="1" si="4"/>
        <v>-1.735300442128593E-3</v>
      </c>
      <c r="Z30" s="3">
        <f t="shared" ca="1" si="5"/>
        <v>0</v>
      </c>
      <c r="AC30" s="1">
        <v>42912</v>
      </c>
      <c r="AD30">
        <v>1873.25</v>
      </c>
      <c r="AE30">
        <v>1873.25</v>
      </c>
      <c r="AF30">
        <v>1873.25</v>
      </c>
      <c r="AG30" s="3">
        <f t="shared" ca="1" si="6"/>
        <v>-1.7334493306553817E-3</v>
      </c>
      <c r="AH30" s="3">
        <f t="shared" ca="1" si="7"/>
        <v>0</v>
      </c>
      <c r="AK30" s="1">
        <v>42912</v>
      </c>
      <c r="AL30">
        <v>1879</v>
      </c>
      <c r="AM30">
        <v>1879</v>
      </c>
      <c r="AN30">
        <v>1879</v>
      </c>
      <c r="AO30" s="3">
        <f t="shared" ca="1" si="8"/>
        <v>-1.3296106200266103E-3</v>
      </c>
      <c r="AP30" s="3">
        <f t="shared" ca="1" si="9"/>
        <v>0</v>
      </c>
    </row>
    <row r="31" spans="3:42">
      <c r="C31" s="1">
        <v>42913</v>
      </c>
      <c r="D31">
        <v>1883</v>
      </c>
      <c r="E31">
        <v>1890</v>
      </c>
      <c r="F31">
        <v>1858</v>
      </c>
      <c r="G31" s="3">
        <f t="shared" ca="1" si="0"/>
        <v>1.1215070820140003E-2</v>
      </c>
      <c r="H31" s="3">
        <f t="shared" ca="1" si="1"/>
        <v>1.707618867990433E-2</v>
      </c>
      <c r="L31" s="1">
        <v>42913</v>
      </c>
      <c r="M31">
        <v>1888.5</v>
      </c>
      <c r="N31">
        <v>1893.5</v>
      </c>
      <c r="O31">
        <v>1888.35</v>
      </c>
      <c r="P31" s="3">
        <f t="shared" ca="1" si="2"/>
        <v>1.1048365296600851E-2</v>
      </c>
      <c r="Q31" s="3">
        <f t="shared" ca="1" si="3"/>
        <v>2.7235364614716911E-3</v>
      </c>
      <c r="U31" s="1">
        <v>42913</v>
      </c>
      <c r="V31">
        <v>1892</v>
      </c>
      <c r="W31">
        <v>1892</v>
      </c>
      <c r="X31">
        <v>1892</v>
      </c>
      <c r="Y31" s="3">
        <f t="shared" ca="1" si="4"/>
        <v>1.1027813877985434E-2</v>
      </c>
      <c r="Z31" s="3">
        <f t="shared" ca="1" si="5"/>
        <v>0</v>
      </c>
      <c r="AC31" s="1">
        <v>42913</v>
      </c>
      <c r="AD31">
        <v>1894</v>
      </c>
      <c r="AE31" t="s">
        <v>9</v>
      </c>
      <c r="AF31" t="s">
        <v>9</v>
      </c>
      <c r="AG31" s="3">
        <f t="shared" ca="1" si="6"/>
        <v>1.1016104501603462E-2</v>
      </c>
      <c r="AH31" s="3" t="e">
        <f t="shared" ca="1" si="7"/>
        <v>#VALUE!</v>
      </c>
      <c r="AK31" s="1">
        <v>42913</v>
      </c>
      <c r="AL31">
        <v>1899.75</v>
      </c>
      <c r="AM31">
        <v>1899.75</v>
      </c>
      <c r="AN31">
        <v>1899.75</v>
      </c>
      <c r="AO31" s="3">
        <f t="shared" ca="1" si="8"/>
        <v>1.0982578136428981E-2</v>
      </c>
      <c r="AP31" s="3">
        <f t="shared" ca="1" si="9"/>
        <v>0</v>
      </c>
    </row>
    <row r="32" spans="3:42">
      <c r="C32" s="1">
        <v>42914</v>
      </c>
      <c r="D32">
        <v>1896</v>
      </c>
      <c r="E32">
        <v>1897</v>
      </c>
      <c r="F32">
        <v>1880.5</v>
      </c>
      <c r="G32" s="3">
        <f t="shared" ca="1" si="0"/>
        <v>6.8801541578146774E-3</v>
      </c>
      <c r="H32" s="3">
        <f t="shared" ca="1" si="1"/>
        <v>8.7359920246232146E-3</v>
      </c>
      <c r="L32" s="1">
        <v>42914</v>
      </c>
      <c r="M32">
        <v>1901.75</v>
      </c>
      <c r="N32">
        <v>1901.75</v>
      </c>
      <c r="O32">
        <v>1900.85</v>
      </c>
      <c r="P32" s="3">
        <f t="shared" ca="1" si="2"/>
        <v>6.9916517248990112E-3</v>
      </c>
      <c r="Q32" s="3">
        <f t="shared" ca="1" si="3"/>
        <v>4.7336034124296491E-4</v>
      </c>
      <c r="U32" s="1">
        <v>42914</v>
      </c>
      <c r="V32">
        <v>1905.25</v>
      </c>
      <c r="W32">
        <v>1905.25</v>
      </c>
      <c r="X32">
        <v>1905.25</v>
      </c>
      <c r="Y32" s="3">
        <f t="shared" ca="1" si="4"/>
        <v>6.9787629344032322E-3</v>
      </c>
      <c r="Z32" s="3">
        <f t="shared" ca="1" si="5"/>
        <v>0</v>
      </c>
      <c r="AC32" s="1">
        <v>42914</v>
      </c>
      <c r="AD32">
        <v>1907.25</v>
      </c>
      <c r="AE32">
        <v>1907.25</v>
      </c>
      <c r="AF32">
        <v>1907.25</v>
      </c>
      <c r="AG32" s="3">
        <f t="shared" ca="1" si="6"/>
        <v>6.9714192243152577E-3</v>
      </c>
      <c r="AH32" s="3">
        <f t="shared" ca="1" si="7"/>
        <v>0</v>
      </c>
      <c r="AK32" s="1">
        <v>42914</v>
      </c>
      <c r="AL32">
        <v>1913</v>
      </c>
      <c r="AM32">
        <v>1913</v>
      </c>
      <c r="AN32">
        <v>1913</v>
      </c>
      <c r="AO32" s="3">
        <f t="shared" ca="1" si="8"/>
        <v>6.9503918903586473E-3</v>
      </c>
      <c r="AP32" s="3">
        <f t="shared" ca="1" si="9"/>
        <v>0</v>
      </c>
    </row>
    <row r="33" spans="3:42">
      <c r="C33" s="1">
        <v>42915</v>
      </c>
      <c r="D33">
        <v>1915</v>
      </c>
      <c r="E33">
        <v>1917.5</v>
      </c>
      <c r="F33">
        <v>1895</v>
      </c>
      <c r="G33" s="3">
        <f t="shared" ca="1" si="0"/>
        <v>9.9712187997791565E-3</v>
      </c>
      <c r="H33" s="3">
        <f t="shared" ca="1" si="1"/>
        <v>1.1803415724884421E-2</v>
      </c>
      <c r="I33" s="3">
        <f ca="1">STDEV(G14:G33)*SQRT(252)</f>
        <v>0.10764889775109969</v>
      </c>
      <c r="J33" s="3">
        <f ca="1">AVERAGE(H13:H33)*SQRT(252)</f>
        <v>0.18711249389887166</v>
      </c>
      <c r="K33" s="3"/>
      <c r="L33" s="1">
        <v>42915</v>
      </c>
      <c r="M33">
        <v>1921</v>
      </c>
      <c r="N33">
        <v>1921</v>
      </c>
      <c r="O33">
        <v>1921</v>
      </c>
      <c r="P33" s="3">
        <f t="shared" ca="1" si="2"/>
        <v>1.0071368891146099E-2</v>
      </c>
      <c r="Q33" s="3">
        <f t="shared" ca="1" si="3"/>
        <v>0</v>
      </c>
      <c r="U33" s="1">
        <v>42915</v>
      </c>
      <c r="V33">
        <v>1924.5</v>
      </c>
      <c r="W33">
        <v>1924.5</v>
      </c>
      <c r="X33">
        <v>1924.5</v>
      </c>
      <c r="Y33" s="3">
        <f t="shared" ca="1" si="4"/>
        <v>1.0052960177574023E-2</v>
      </c>
      <c r="Z33" s="3">
        <f t="shared" ca="1" si="5"/>
        <v>0</v>
      </c>
      <c r="AC33" s="1">
        <v>42915</v>
      </c>
      <c r="AD33">
        <v>1926.5</v>
      </c>
      <c r="AE33">
        <v>1926.5</v>
      </c>
      <c r="AF33">
        <v>1926.5</v>
      </c>
      <c r="AG33" s="3">
        <f t="shared" ca="1" si="6"/>
        <v>1.0042471095873549E-2</v>
      </c>
      <c r="AH33" s="3">
        <f t="shared" ca="1" si="7"/>
        <v>0</v>
      </c>
      <c r="AK33" s="1">
        <v>42915</v>
      </c>
      <c r="AL33">
        <v>1932.25</v>
      </c>
      <c r="AM33">
        <v>1932.25</v>
      </c>
      <c r="AN33">
        <v>1932.25</v>
      </c>
      <c r="AO33" s="3">
        <f t="shared" ca="1" si="8"/>
        <v>1.0012436546727423E-2</v>
      </c>
      <c r="AP33" s="3">
        <f t="shared" ca="1" si="9"/>
        <v>0</v>
      </c>
    </row>
    <row r="34" spans="3:42">
      <c r="C34" s="1">
        <v>42916</v>
      </c>
      <c r="D34">
        <v>1919</v>
      </c>
      <c r="E34">
        <v>1923</v>
      </c>
      <c r="F34">
        <v>1901</v>
      </c>
      <c r="G34" s="3">
        <f t="shared" ca="1" si="0"/>
        <v>2.0865943929536455E-3</v>
      </c>
      <c r="H34" s="3">
        <f t="shared" ca="1" si="1"/>
        <v>1.1506403100350672E-2</v>
      </c>
      <c r="I34" s="3">
        <f t="shared" ref="I34" ca="1" si="10">STDEV(G15:G34)*SQRT(252)</f>
        <v>0.10765272335152888</v>
      </c>
      <c r="J34" s="3">
        <f t="shared" ref="J34:J94" ca="1" si="11">AVERAGE(H14:H34)*SQRT(252)</f>
        <v>0.18602615905982328</v>
      </c>
      <c r="K34" s="3"/>
      <c r="L34" s="1">
        <v>42916</v>
      </c>
      <c r="M34">
        <v>1925.25</v>
      </c>
      <c r="N34">
        <v>1925.4</v>
      </c>
      <c r="O34">
        <v>1922.5</v>
      </c>
      <c r="P34" s="3">
        <f t="shared" ca="1" si="2"/>
        <v>2.2099456508028917E-3</v>
      </c>
      <c r="Q34" s="3">
        <f t="shared" ca="1" si="3"/>
        <v>1.507315964067126E-3</v>
      </c>
      <c r="U34" s="1">
        <v>42916</v>
      </c>
      <c r="V34">
        <v>1928.75</v>
      </c>
      <c r="W34">
        <v>1928.75</v>
      </c>
      <c r="X34">
        <v>1923</v>
      </c>
      <c r="Y34" s="3">
        <f t="shared" ca="1" si="4"/>
        <v>2.2059309535697289E-3</v>
      </c>
      <c r="Z34" s="3">
        <f t="shared" ca="1" si="5"/>
        <v>2.9856580885907979E-3</v>
      </c>
      <c r="AC34" s="1">
        <v>42916</v>
      </c>
      <c r="AD34">
        <v>1930.75</v>
      </c>
      <c r="AE34">
        <v>1930.75</v>
      </c>
      <c r="AF34">
        <v>1930.75</v>
      </c>
      <c r="AG34" s="3">
        <f t="shared" ca="1" si="6"/>
        <v>2.2036433831608931E-3</v>
      </c>
      <c r="AH34" s="3">
        <f t="shared" ca="1" si="7"/>
        <v>0</v>
      </c>
      <c r="AK34" s="1">
        <v>42916</v>
      </c>
      <c r="AL34">
        <v>1936.5</v>
      </c>
      <c r="AM34">
        <v>1936.5</v>
      </c>
      <c r="AN34">
        <v>1936.5</v>
      </c>
      <c r="AO34" s="3">
        <f t="shared" ca="1" si="8"/>
        <v>2.1970929678264135E-3</v>
      </c>
      <c r="AP34" s="3">
        <f t="shared" ca="1" si="9"/>
        <v>0</v>
      </c>
    </row>
    <row r="35" spans="3:42">
      <c r="C35" s="1">
        <v>42919</v>
      </c>
      <c r="D35">
        <v>1927</v>
      </c>
      <c r="E35">
        <v>1931</v>
      </c>
      <c r="F35">
        <v>1915.5</v>
      </c>
      <c r="G35" s="3">
        <f t="shared" ca="1" si="0"/>
        <v>4.1601724066665652E-3</v>
      </c>
      <c r="H35" s="3">
        <f t="shared" ca="1" si="1"/>
        <v>8.0593182878107798E-3</v>
      </c>
      <c r="I35" s="3">
        <f t="shared" ref="I35" ca="1" si="12">STDEV(G16:G35)*SQRT(252)</f>
        <v>9.4395987459675604E-2</v>
      </c>
      <c r="J35" s="3">
        <f t="shared" ca="1" si="11"/>
        <v>0.18228826720678576</v>
      </c>
      <c r="K35" s="3"/>
      <c r="L35" s="1">
        <v>42919</v>
      </c>
      <c r="M35">
        <v>1932.5</v>
      </c>
      <c r="N35">
        <v>1932.5</v>
      </c>
      <c r="O35">
        <v>1932.35</v>
      </c>
      <c r="P35" s="3">
        <f t="shared" ca="1" si="2"/>
        <v>3.7586720422174732E-3</v>
      </c>
      <c r="Q35" s="3">
        <f t="shared" ca="1" si="3"/>
        <v>7.7622676210224584E-5</v>
      </c>
      <c r="U35" s="1">
        <v>42919</v>
      </c>
      <c r="V35">
        <v>1936</v>
      </c>
      <c r="W35">
        <v>1938</v>
      </c>
      <c r="X35">
        <v>1936</v>
      </c>
      <c r="Y35" s="3">
        <f t="shared" ca="1" si="4"/>
        <v>3.7518641591516408E-3</v>
      </c>
      <c r="Z35" s="3">
        <f t="shared" ca="1" si="5"/>
        <v>1.032524614189184E-3</v>
      </c>
      <c r="AC35" s="1">
        <v>42919</v>
      </c>
      <c r="AD35">
        <v>1938</v>
      </c>
      <c r="AE35">
        <v>1938</v>
      </c>
      <c r="AF35">
        <v>1930.25</v>
      </c>
      <c r="AG35" s="3">
        <f t="shared" ca="1" si="6"/>
        <v>3.7479850013383653E-3</v>
      </c>
      <c r="AH35" s="3">
        <f t="shared" ca="1" si="7"/>
        <v>4.00698526178644E-3</v>
      </c>
      <c r="AK35" s="1">
        <v>42919</v>
      </c>
      <c r="AL35">
        <v>1944</v>
      </c>
      <c r="AM35">
        <v>1944</v>
      </c>
      <c r="AN35">
        <v>1944</v>
      </c>
      <c r="AO35" s="3">
        <f t="shared" ca="1" si="8"/>
        <v>3.8654860655774385E-3</v>
      </c>
      <c r="AP35" s="3">
        <f t="shared" ca="1" si="9"/>
        <v>0</v>
      </c>
    </row>
    <row r="36" spans="3:42">
      <c r="C36" s="1">
        <v>42920</v>
      </c>
      <c r="D36">
        <v>1928</v>
      </c>
      <c r="E36">
        <v>1930.5</v>
      </c>
      <c r="F36">
        <v>1912</v>
      </c>
      <c r="G36" s="3">
        <f t="shared" ca="1" si="0"/>
        <v>5.1880675612443901E-4</v>
      </c>
      <c r="H36" s="3">
        <f t="shared" ca="1" si="1"/>
        <v>9.6292220929443482E-3</v>
      </c>
      <c r="I36" s="3">
        <f t="shared" ref="I36" ca="1" si="13">STDEV(G17:G36)*SQRT(252)</f>
        <v>9.4190069350575029E-2</v>
      </c>
      <c r="J36" s="3">
        <f t="shared" ca="1" si="11"/>
        <v>0.17675294237458772</v>
      </c>
      <c r="K36" s="3"/>
      <c r="L36" s="1">
        <v>42920</v>
      </c>
      <c r="M36">
        <v>1933</v>
      </c>
      <c r="N36" t="s">
        <v>9</v>
      </c>
      <c r="O36" t="s">
        <v>9</v>
      </c>
      <c r="P36" s="3">
        <f t="shared" ca="1" si="2"/>
        <v>2.5869874675378524E-4</v>
      </c>
      <c r="Q36" s="3" t="e">
        <f t="shared" ca="1" si="3"/>
        <v>#VALUE!</v>
      </c>
      <c r="U36" s="1">
        <v>42920</v>
      </c>
      <c r="V36">
        <v>1936.5</v>
      </c>
      <c r="W36" t="s">
        <v>9</v>
      </c>
      <c r="X36" t="s">
        <v>9</v>
      </c>
      <c r="Y36" s="3">
        <f t="shared" ca="1" si="4"/>
        <v>2.5823111828460356E-4</v>
      </c>
      <c r="Z36" s="3" t="e">
        <f t="shared" ca="1" si="5"/>
        <v>#VALUE!</v>
      </c>
      <c r="AC36" s="1">
        <v>42920</v>
      </c>
      <c r="AD36">
        <v>1938.5</v>
      </c>
      <c r="AE36" t="s">
        <v>9</v>
      </c>
      <c r="AF36" t="s">
        <v>9</v>
      </c>
      <c r="AG36" s="3">
        <f t="shared" ca="1" si="6"/>
        <v>2.5796466027220563E-4</v>
      </c>
      <c r="AH36" s="3" t="e">
        <f t="shared" ca="1" si="7"/>
        <v>#VALUE!</v>
      </c>
      <c r="AK36" s="1">
        <v>42920</v>
      </c>
      <c r="AL36">
        <v>1944.5</v>
      </c>
      <c r="AM36" t="s">
        <v>9</v>
      </c>
      <c r="AN36" t="s">
        <v>9</v>
      </c>
      <c r="AO36" s="3">
        <f t="shared" ca="1" si="8"/>
        <v>2.571685754175006E-4</v>
      </c>
      <c r="AP36" s="3" t="e">
        <f t="shared" ca="1" si="9"/>
        <v>#VALUE!</v>
      </c>
    </row>
    <row r="37" spans="3:42">
      <c r="C37" s="1">
        <v>42921</v>
      </c>
      <c r="D37">
        <v>1929</v>
      </c>
      <c r="E37">
        <v>1933</v>
      </c>
      <c r="F37">
        <v>1918</v>
      </c>
      <c r="G37" s="3">
        <f t="shared" ca="1" si="0"/>
        <v>5.1853773523815314E-4</v>
      </c>
      <c r="H37" s="3">
        <f t="shared" ca="1" si="1"/>
        <v>7.7902237649473032E-3</v>
      </c>
      <c r="I37" s="3">
        <f t="shared" ref="I37" ca="1" si="14">STDEV(G18:G37)*SQRT(252)</f>
        <v>9.3916503266354312E-2</v>
      </c>
      <c r="J37" s="3">
        <f t="shared" ca="1" si="11"/>
        <v>0.17328587596190081</v>
      </c>
      <c r="K37" s="3"/>
      <c r="L37" s="1">
        <v>42921</v>
      </c>
      <c r="M37">
        <v>1934</v>
      </c>
      <c r="N37">
        <v>1934.2</v>
      </c>
      <c r="O37">
        <v>1925.22</v>
      </c>
      <c r="P37" s="3">
        <f t="shared" ca="1" si="2"/>
        <v>5.1719680490877422E-4</v>
      </c>
      <c r="Q37" s="3">
        <f t="shared" ca="1" si="3"/>
        <v>4.6535573768071992E-3</v>
      </c>
      <c r="U37" s="1">
        <v>42921</v>
      </c>
      <c r="V37">
        <v>1937.5</v>
      </c>
      <c r="W37">
        <v>1937.5</v>
      </c>
      <c r="X37">
        <v>1930.5</v>
      </c>
      <c r="Y37" s="3">
        <f t="shared" ca="1" si="4"/>
        <v>5.1626227269516991E-4</v>
      </c>
      <c r="Z37" s="3">
        <f t="shared" ca="1" si="5"/>
        <v>3.619445523211016E-3</v>
      </c>
      <c r="AC37" s="1">
        <v>42921</v>
      </c>
      <c r="AD37">
        <v>1939.75</v>
      </c>
      <c r="AE37">
        <v>1939.75</v>
      </c>
      <c r="AF37">
        <v>1939.75</v>
      </c>
      <c r="AG37" s="3">
        <f t="shared" ca="1" si="6"/>
        <v>6.4462066307487099E-4</v>
      </c>
      <c r="AH37" s="3">
        <f t="shared" ca="1" si="7"/>
        <v>0</v>
      </c>
      <c r="AK37" s="1">
        <v>42921</v>
      </c>
      <c r="AL37">
        <v>1945.75</v>
      </c>
      <c r="AM37">
        <v>1945.75</v>
      </c>
      <c r="AN37">
        <v>1945.75</v>
      </c>
      <c r="AO37" s="3">
        <f t="shared" ca="1" si="8"/>
        <v>6.4263224369548585E-4</v>
      </c>
      <c r="AP37" s="3">
        <f t="shared" ca="1" si="9"/>
        <v>0</v>
      </c>
    </row>
    <row r="38" spans="3:42">
      <c r="C38" s="1">
        <v>42922</v>
      </c>
      <c r="D38">
        <v>1944</v>
      </c>
      <c r="E38">
        <v>1948</v>
      </c>
      <c r="F38">
        <v>1923.5</v>
      </c>
      <c r="G38" s="3">
        <f t="shared" ca="1" si="0"/>
        <v>7.7459721146553289E-3</v>
      </c>
      <c r="H38" s="3">
        <f t="shared" ca="1" si="1"/>
        <v>1.2656762010130529E-2</v>
      </c>
      <c r="I38" s="3">
        <f t="shared" ref="I38" ca="1" si="15">STDEV(G19:G38)*SQRT(252)</f>
        <v>9.67362893296244E-2</v>
      </c>
      <c r="J38" s="3">
        <f t="shared" ca="1" si="11"/>
        <v>0.17452906906988128</v>
      </c>
      <c r="K38" s="3"/>
      <c r="L38" s="1">
        <v>42922</v>
      </c>
      <c r="M38">
        <v>1949</v>
      </c>
      <c r="N38">
        <v>1949</v>
      </c>
      <c r="O38">
        <v>1936.65</v>
      </c>
      <c r="P38" s="3">
        <f t="shared" ca="1" si="2"/>
        <v>7.7260234943211858E-3</v>
      </c>
      <c r="Q38" s="3">
        <f t="shared" ca="1" si="3"/>
        <v>6.3567442187233815E-3</v>
      </c>
      <c r="U38" s="1">
        <v>42922</v>
      </c>
      <c r="V38">
        <v>1952.5</v>
      </c>
      <c r="W38">
        <v>1952.5</v>
      </c>
      <c r="X38">
        <v>1952.5</v>
      </c>
      <c r="Y38" s="3">
        <f t="shared" ca="1" si="4"/>
        <v>7.7121204863390335E-3</v>
      </c>
      <c r="Z38" s="3">
        <f t="shared" ca="1" si="5"/>
        <v>0</v>
      </c>
      <c r="AC38" s="1">
        <v>42922</v>
      </c>
      <c r="AD38">
        <v>1955</v>
      </c>
      <c r="AE38">
        <v>1955</v>
      </c>
      <c r="AF38">
        <v>1955</v>
      </c>
      <c r="AG38" s="3">
        <f t="shared" ca="1" si="6"/>
        <v>7.8310946454074239E-3</v>
      </c>
      <c r="AH38" s="3">
        <f t="shared" ca="1" si="7"/>
        <v>0</v>
      </c>
      <c r="AK38" s="1">
        <v>42922</v>
      </c>
      <c r="AL38">
        <v>1961</v>
      </c>
      <c r="AM38">
        <v>1961</v>
      </c>
      <c r="AN38">
        <v>1961</v>
      </c>
      <c r="AO38" s="3">
        <f t="shared" ca="1" si="8"/>
        <v>7.8070403568487965E-3</v>
      </c>
      <c r="AP38" s="3">
        <f t="shared" ca="1" si="9"/>
        <v>0</v>
      </c>
    </row>
    <row r="39" spans="3:42">
      <c r="C39" s="1">
        <v>42923</v>
      </c>
      <c r="D39">
        <v>1930</v>
      </c>
      <c r="E39">
        <v>1945.5</v>
      </c>
      <c r="F39">
        <v>1924</v>
      </c>
      <c r="G39" s="3">
        <f t="shared" ca="1" si="0"/>
        <v>-7.2277031214531447E-3</v>
      </c>
      <c r="H39" s="3">
        <f t="shared" ca="1" si="1"/>
        <v>1.1112661198956391E-2</v>
      </c>
      <c r="I39" s="3">
        <f t="shared" ref="I39" ca="1" si="16">STDEV(G20:G39)*SQRT(252)</f>
        <v>0.10094666376487611</v>
      </c>
      <c r="J39" s="3">
        <f t="shared" ca="1" si="11"/>
        <v>0.17382891443696324</v>
      </c>
      <c r="K39" s="3"/>
      <c r="L39" s="1">
        <v>42923</v>
      </c>
      <c r="M39">
        <v>1934.75</v>
      </c>
      <c r="N39">
        <v>1934.75</v>
      </c>
      <c r="O39">
        <v>1934.75</v>
      </c>
      <c r="P39" s="3">
        <f t="shared" ca="1" si="2"/>
        <v>-7.3383013569922537E-3</v>
      </c>
      <c r="Q39" s="3">
        <f t="shared" ca="1" si="3"/>
        <v>0</v>
      </c>
      <c r="U39" s="1">
        <v>42923</v>
      </c>
      <c r="V39">
        <v>1938</v>
      </c>
      <c r="W39">
        <v>1949</v>
      </c>
      <c r="X39">
        <v>1933</v>
      </c>
      <c r="Y39" s="3">
        <f t="shared" ca="1" si="4"/>
        <v>-7.4540892631294996E-3</v>
      </c>
      <c r="Z39" s="3">
        <f t="shared" ca="1" si="5"/>
        <v>8.2432202992298309E-3</v>
      </c>
      <c r="AC39" s="1">
        <v>42923</v>
      </c>
      <c r="AD39">
        <v>1940.5</v>
      </c>
      <c r="AE39">
        <v>1940.5</v>
      </c>
      <c r="AF39">
        <v>1940.5</v>
      </c>
      <c r="AG39" s="3">
        <f t="shared" ca="1" si="6"/>
        <v>-7.4445216105051325E-3</v>
      </c>
      <c r="AH39" s="3">
        <f t="shared" ca="1" si="7"/>
        <v>0</v>
      </c>
      <c r="AK39" s="1">
        <v>42923</v>
      </c>
      <c r="AL39">
        <v>1946.5</v>
      </c>
      <c r="AM39">
        <v>1946.5</v>
      </c>
      <c r="AN39">
        <v>1946.5</v>
      </c>
      <c r="AO39" s="3">
        <f t="shared" ca="1" si="8"/>
        <v>-7.42165914583587E-3</v>
      </c>
      <c r="AP39" s="3">
        <f t="shared" ca="1" si="9"/>
        <v>0</v>
      </c>
    </row>
    <row r="40" spans="3:42">
      <c r="C40" s="1">
        <v>42926</v>
      </c>
      <c r="D40">
        <v>1897</v>
      </c>
      <c r="E40">
        <v>1934.5</v>
      </c>
      <c r="F40">
        <v>1892.25</v>
      </c>
      <c r="G40" s="3">
        <f t="shared" ca="1" si="0"/>
        <v>-1.7246311963917047E-2</v>
      </c>
      <c r="H40" s="3">
        <f t="shared" ca="1" si="1"/>
        <v>2.2082297951290811E-2</v>
      </c>
      <c r="I40" s="3">
        <f t="shared" ref="I40" ca="1" si="17">STDEV(G21:G40)*SQRT(252)</f>
        <v>0.11413029871826742</v>
      </c>
      <c r="J40" s="3">
        <f t="shared" ca="1" si="11"/>
        <v>0.18137313962526186</v>
      </c>
      <c r="K40" s="3"/>
      <c r="L40" s="1">
        <v>42926</v>
      </c>
      <c r="M40">
        <v>1901</v>
      </c>
      <c r="N40">
        <v>1901</v>
      </c>
      <c r="O40">
        <v>1901</v>
      </c>
      <c r="P40" s="3">
        <f t="shared" ca="1" si="2"/>
        <v>-1.7598055662139341E-2</v>
      </c>
      <c r="Q40" s="3">
        <f t="shared" ca="1" si="3"/>
        <v>0</v>
      </c>
      <c r="U40" s="1">
        <v>42926</v>
      </c>
      <c r="V40">
        <v>1904.25</v>
      </c>
      <c r="W40">
        <v>1912.85</v>
      </c>
      <c r="X40">
        <v>1904.25</v>
      </c>
      <c r="Y40" s="3">
        <f t="shared" ca="1" si="4"/>
        <v>-1.7568283197814012E-2</v>
      </c>
      <c r="Z40" s="3">
        <f t="shared" ca="1" si="5"/>
        <v>4.5060462400877809E-3</v>
      </c>
      <c r="AC40" s="1">
        <v>42926</v>
      </c>
      <c r="AD40">
        <v>1906.75</v>
      </c>
      <c r="AE40">
        <v>1906.9</v>
      </c>
      <c r="AF40">
        <v>1906.75</v>
      </c>
      <c r="AG40" s="3">
        <f t="shared" ca="1" si="6"/>
        <v>-1.7545449764613089E-2</v>
      </c>
      <c r="AH40" s="3">
        <f t="shared" ca="1" si="7"/>
        <v>7.8664796233244693E-5</v>
      </c>
      <c r="AK40" s="1">
        <v>42926</v>
      </c>
      <c r="AL40">
        <v>1912.75</v>
      </c>
      <c r="AM40">
        <v>1912.9</v>
      </c>
      <c r="AN40">
        <v>1912.75</v>
      </c>
      <c r="AO40" s="3">
        <f t="shared" ca="1" si="8"/>
        <v>-1.7490890938549143E-2</v>
      </c>
      <c r="AP40" s="3">
        <f t="shared" ca="1" si="9"/>
        <v>7.8418046646586733E-5</v>
      </c>
    </row>
    <row r="41" spans="3:42">
      <c r="C41" s="1">
        <v>42927</v>
      </c>
      <c r="D41">
        <v>1900</v>
      </c>
      <c r="E41">
        <v>1906</v>
      </c>
      <c r="F41">
        <v>1887.5</v>
      </c>
      <c r="G41" s="3">
        <f t="shared" ca="1" si="0"/>
        <v>1.5801952195175699E-3</v>
      </c>
      <c r="H41" s="3">
        <f t="shared" ca="1" si="1"/>
        <v>9.7536030909676757E-3</v>
      </c>
      <c r="I41" s="3">
        <f t="shared" ref="I41" ca="1" si="18">STDEV(G22:G41)*SQRT(252)</f>
        <v>0.11422928815911623</v>
      </c>
      <c r="J41" s="3">
        <f t="shared" ca="1" si="11"/>
        <v>0.1783935448836064</v>
      </c>
      <c r="K41" s="3"/>
      <c r="L41" s="1">
        <v>42927</v>
      </c>
      <c r="M41">
        <v>1903.75</v>
      </c>
      <c r="N41">
        <v>1903.75</v>
      </c>
      <c r="O41">
        <v>1895.35</v>
      </c>
      <c r="P41" s="3">
        <f t="shared" ca="1" si="2"/>
        <v>1.4455617209424181E-3</v>
      </c>
      <c r="Q41" s="3">
        <f t="shared" ca="1" si="3"/>
        <v>4.4221071772357155E-3</v>
      </c>
      <c r="U41" s="1">
        <v>42927</v>
      </c>
      <c r="V41">
        <v>1907.25</v>
      </c>
      <c r="W41">
        <v>1907.25</v>
      </c>
      <c r="X41">
        <v>1900.85</v>
      </c>
      <c r="Y41" s="3">
        <f t="shared" ca="1" si="4"/>
        <v>1.5741837174411411E-3</v>
      </c>
      <c r="Z41" s="3">
        <f t="shared" ca="1" si="5"/>
        <v>3.361259434171164E-3</v>
      </c>
      <c r="AC41" s="1">
        <v>42927</v>
      </c>
      <c r="AD41">
        <v>1909.75</v>
      </c>
      <c r="AE41">
        <v>1909.75</v>
      </c>
      <c r="AF41">
        <v>1905.5</v>
      </c>
      <c r="AG41" s="3">
        <f t="shared" ca="1" si="6"/>
        <v>1.5721213771211122E-3</v>
      </c>
      <c r="AH41" s="3">
        <f t="shared" ca="1" si="7"/>
        <v>2.2279021075540667E-3</v>
      </c>
      <c r="AK41" s="1">
        <v>42927</v>
      </c>
      <c r="AL41">
        <v>1915</v>
      </c>
      <c r="AM41">
        <v>1915</v>
      </c>
      <c r="AN41">
        <v>1915</v>
      </c>
      <c r="AO41" s="3">
        <f t="shared" ca="1" si="8"/>
        <v>1.1756255027851423E-3</v>
      </c>
      <c r="AP41" s="3">
        <f t="shared" ca="1" si="9"/>
        <v>0</v>
      </c>
    </row>
    <row r="42" spans="3:42">
      <c r="C42" s="1">
        <v>42928</v>
      </c>
      <c r="D42">
        <v>1889</v>
      </c>
      <c r="E42">
        <v>1905</v>
      </c>
      <c r="F42">
        <v>1881.5</v>
      </c>
      <c r="G42" s="3">
        <f t="shared" ca="1" si="0"/>
        <v>-5.8062976530223161E-3</v>
      </c>
      <c r="H42" s="3">
        <f t="shared" ca="1" si="1"/>
        <v>1.2412677527309443E-2</v>
      </c>
      <c r="I42" s="3">
        <f t="shared" ref="I42" ca="1" si="19">STDEV(G23:G42)*SQRT(252)</f>
        <v>0.11555244899929792</v>
      </c>
      <c r="J42" s="3">
        <f t="shared" ca="1" si="11"/>
        <v>0.18116760907402241</v>
      </c>
      <c r="K42" s="3"/>
      <c r="L42" s="1">
        <v>42928</v>
      </c>
      <c r="M42">
        <v>1892.75</v>
      </c>
      <c r="N42">
        <v>1892.75</v>
      </c>
      <c r="O42">
        <v>1892.75</v>
      </c>
      <c r="P42" s="3">
        <f t="shared" ca="1" si="2"/>
        <v>-5.7948272259555249E-3</v>
      </c>
      <c r="Q42" s="3">
        <f t="shared" ca="1" si="3"/>
        <v>0</v>
      </c>
      <c r="U42" s="1">
        <v>42928</v>
      </c>
      <c r="V42">
        <v>1896.25</v>
      </c>
      <c r="W42">
        <v>1896.4</v>
      </c>
      <c r="X42">
        <v>1896.25</v>
      </c>
      <c r="Y42" s="3">
        <f t="shared" ca="1" si="4"/>
        <v>-5.7841623075967101E-3</v>
      </c>
      <c r="Z42" s="3">
        <f t="shared" ca="1" si="5"/>
        <v>7.9100365221364705E-5</v>
      </c>
      <c r="AC42" s="1">
        <v>42928</v>
      </c>
      <c r="AD42">
        <v>1899.25</v>
      </c>
      <c r="AE42">
        <v>1899.4</v>
      </c>
      <c r="AF42">
        <v>1899.25</v>
      </c>
      <c r="AG42" s="3">
        <f t="shared" ca="1" si="6"/>
        <v>-5.5132720381381303E-3</v>
      </c>
      <c r="AH42" s="3">
        <f t="shared" ca="1" si="7"/>
        <v>7.8975425521150849E-5</v>
      </c>
      <c r="AK42" s="1">
        <v>42928</v>
      </c>
      <c r="AL42">
        <v>1905.75</v>
      </c>
      <c r="AM42">
        <v>1905.95</v>
      </c>
      <c r="AN42">
        <v>1905.75</v>
      </c>
      <c r="AO42" s="3">
        <f t="shared" ca="1" si="8"/>
        <v>-4.8419907463632152E-3</v>
      </c>
      <c r="AP42" s="3">
        <f t="shared" ca="1" si="9"/>
        <v>1.0494005309104836E-4</v>
      </c>
    </row>
    <row r="43" spans="3:42">
      <c r="C43" s="1">
        <v>42929</v>
      </c>
      <c r="D43">
        <v>1923</v>
      </c>
      <c r="E43">
        <v>1943</v>
      </c>
      <c r="F43">
        <v>1888</v>
      </c>
      <c r="G43" s="3">
        <f t="shared" ca="1" si="0"/>
        <v>1.7838878087270194E-2</v>
      </c>
      <c r="H43" s="3">
        <f t="shared" ca="1" si="1"/>
        <v>2.8715102671993988E-2</v>
      </c>
      <c r="I43" s="3">
        <f t="shared" ref="I43" ca="1" si="20">STDEV(G24:G43)*SQRT(252)</f>
        <v>0.12917764247371905</v>
      </c>
      <c r="J43" s="3">
        <f t="shared" ca="1" si="11"/>
        <v>0.19426921067961558</v>
      </c>
      <c r="K43" s="3"/>
      <c r="L43" s="1">
        <v>42929</v>
      </c>
      <c r="M43">
        <v>1926.75</v>
      </c>
      <c r="N43">
        <v>1926.75</v>
      </c>
      <c r="O43">
        <v>1926.75</v>
      </c>
      <c r="P43" s="3">
        <f t="shared" ca="1" si="2"/>
        <v>1.7803847674686697E-2</v>
      </c>
      <c r="Q43" s="3">
        <f t="shared" ca="1" si="3"/>
        <v>0</v>
      </c>
      <c r="U43" s="1">
        <v>42929</v>
      </c>
      <c r="V43">
        <v>1930.5</v>
      </c>
      <c r="W43">
        <v>1930.5</v>
      </c>
      <c r="X43">
        <v>1930</v>
      </c>
      <c r="Y43" s="3">
        <f t="shared" ca="1" si="4"/>
        <v>1.790078504154911E-2</v>
      </c>
      <c r="Z43" s="3">
        <f t="shared" ca="1" si="5"/>
        <v>2.5903380535976551E-4</v>
      </c>
      <c r="AC43" s="1">
        <v>42929</v>
      </c>
      <c r="AD43">
        <v>1933.25</v>
      </c>
      <c r="AE43">
        <v>1933.25</v>
      </c>
      <c r="AF43">
        <v>1933.25</v>
      </c>
      <c r="AG43" s="3">
        <f t="shared" ca="1" si="6"/>
        <v>1.7743453105813878E-2</v>
      </c>
      <c r="AH43" s="3">
        <f t="shared" ca="1" si="7"/>
        <v>0</v>
      </c>
      <c r="AK43" s="1">
        <v>42929</v>
      </c>
      <c r="AL43">
        <v>1939.25</v>
      </c>
      <c r="AM43">
        <v>1948</v>
      </c>
      <c r="AN43">
        <v>1939.25</v>
      </c>
      <c r="AO43" s="3">
        <f t="shared" ca="1" si="8"/>
        <v>1.7425668502597712E-2</v>
      </c>
      <c r="AP43" s="3">
        <f t="shared" ca="1" si="9"/>
        <v>4.5019048314993877E-3</v>
      </c>
    </row>
    <row r="44" spans="3:42">
      <c r="C44" s="1">
        <v>42930</v>
      </c>
      <c r="D44">
        <v>1927</v>
      </c>
      <c r="E44">
        <v>1932.5</v>
      </c>
      <c r="F44">
        <v>1918</v>
      </c>
      <c r="G44" s="3">
        <f t="shared" ca="1" si="0"/>
        <v>2.0779228255866132E-3</v>
      </c>
      <c r="H44" s="3">
        <f t="shared" ca="1" si="1"/>
        <v>7.5315250181935151E-3</v>
      </c>
      <c r="I44" s="3">
        <f t="shared" ref="I44" ca="1" si="21">STDEV(G25:G44)*SQRT(252)</f>
        <v>0.12831545448285053</v>
      </c>
      <c r="J44" s="3">
        <f t="shared" ca="1" si="11"/>
        <v>0.19372427330474312</v>
      </c>
      <c r="K44" s="3"/>
      <c r="L44" s="1">
        <v>42930</v>
      </c>
      <c r="M44">
        <v>1930.75</v>
      </c>
      <c r="N44">
        <v>1930.75</v>
      </c>
      <c r="O44">
        <v>1930.75</v>
      </c>
      <c r="P44" s="3">
        <f t="shared" ca="1" si="2"/>
        <v>2.0738827912705699E-3</v>
      </c>
      <c r="Q44" s="3">
        <f t="shared" ca="1" si="3"/>
        <v>0</v>
      </c>
      <c r="U44" s="1">
        <v>42930</v>
      </c>
      <c r="V44">
        <v>1934.5</v>
      </c>
      <c r="W44">
        <v>1934.5</v>
      </c>
      <c r="X44">
        <v>1934.5</v>
      </c>
      <c r="Y44" s="3">
        <f t="shared" ca="1" si="4"/>
        <v>2.0698584362765144E-3</v>
      </c>
      <c r="Z44" s="3">
        <f t="shared" ca="1" si="5"/>
        <v>0</v>
      </c>
      <c r="AC44" s="1">
        <v>42930</v>
      </c>
      <c r="AD44">
        <v>1937.25</v>
      </c>
      <c r="AE44">
        <v>1937.25</v>
      </c>
      <c r="AF44">
        <v>1937.25</v>
      </c>
      <c r="AG44" s="3">
        <f t="shared" ca="1" si="6"/>
        <v>2.0669171549147635E-3</v>
      </c>
      <c r="AH44" s="3">
        <f t="shared" ca="1" si="7"/>
        <v>0</v>
      </c>
      <c r="AK44" s="1">
        <v>42930</v>
      </c>
      <c r="AL44">
        <v>1942.75</v>
      </c>
      <c r="AM44">
        <v>1942.75</v>
      </c>
      <c r="AN44">
        <v>1942.75</v>
      </c>
      <c r="AO44" s="3">
        <f t="shared" ca="1" si="8"/>
        <v>1.8031947183707328E-3</v>
      </c>
      <c r="AP44" s="3">
        <f t="shared" ca="1" si="9"/>
        <v>0</v>
      </c>
    </row>
    <row r="45" spans="3:42">
      <c r="C45" s="1">
        <v>42933</v>
      </c>
      <c r="D45">
        <v>1918</v>
      </c>
      <c r="E45">
        <v>1941</v>
      </c>
      <c r="F45">
        <v>1898</v>
      </c>
      <c r="G45" s="3">
        <f t="shared" ca="1" si="0"/>
        <v>-4.6814129709829028E-3</v>
      </c>
      <c r="H45" s="3">
        <f t="shared" ca="1" si="1"/>
        <v>2.2402603999137138E-2</v>
      </c>
      <c r="I45" s="3">
        <f t="shared" ref="I45" ca="1" si="22">STDEV(G26:G45)*SQRT(252)</f>
        <v>0.12571914077350216</v>
      </c>
      <c r="J45" s="3">
        <f t="shared" ca="1" si="11"/>
        <v>0.20475009528792426</v>
      </c>
      <c r="K45" s="3"/>
      <c r="L45" s="1">
        <v>42933</v>
      </c>
      <c r="M45">
        <v>1921.75</v>
      </c>
      <c r="N45">
        <v>1921.9</v>
      </c>
      <c r="O45">
        <v>1921.9</v>
      </c>
      <c r="P45" s="3">
        <f t="shared" ca="1" si="2"/>
        <v>-4.6722992201319235E-3</v>
      </c>
      <c r="Q45" s="3">
        <f t="shared" ca="1" si="3"/>
        <v>0</v>
      </c>
      <c r="U45" s="1">
        <v>42933</v>
      </c>
      <c r="V45">
        <v>1925.5</v>
      </c>
      <c r="W45" t="s">
        <v>9</v>
      </c>
      <c r="X45" t="s">
        <v>9</v>
      </c>
      <c r="Y45" s="3">
        <f t="shared" ca="1" si="4"/>
        <v>-4.6632208856040641E-3</v>
      </c>
      <c r="Z45" s="3" t="e">
        <f t="shared" ca="1" si="5"/>
        <v>#VALUE!</v>
      </c>
      <c r="AC45" s="1">
        <v>42933</v>
      </c>
      <c r="AD45">
        <v>1928.75</v>
      </c>
      <c r="AE45">
        <v>1928.9</v>
      </c>
      <c r="AF45">
        <v>1928.75</v>
      </c>
      <c r="AG45" s="3">
        <f t="shared" ca="1" si="6"/>
        <v>-4.3973169666889824E-3</v>
      </c>
      <c r="AH45" s="3">
        <f t="shared" ca="1" si="7"/>
        <v>7.7767552823950235E-5</v>
      </c>
      <c r="AK45" s="1">
        <v>42933</v>
      </c>
      <c r="AL45">
        <v>1935</v>
      </c>
      <c r="AM45">
        <v>1953.5</v>
      </c>
      <c r="AN45">
        <v>1953.5</v>
      </c>
      <c r="AO45" s="3">
        <f t="shared" ca="1" si="8"/>
        <v>-3.9971686254693627E-3</v>
      </c>
      <c r="AP45" s="3">
        <f t="shared" ca="1" si="9"/>
        <v>0</v>
      </c>
    </row>
    <row r="46" spans="3:42">
      <c r="C46" s="1">
        <v>42934</v>
      </c>
      <c r="D46">
        <v>1931</v>
      </c>
      <c r="E46">
        <v>1934.5</v>
      </c>
      <c r="F46">
        <v>1899.5</v>
      </c>
      <c r="G46" s="3">
        <f t="shared" ca="1" si="0"/>
        <v>6.7550269851309585E-3</v>
      </c>
      <c r="H46" s="3">
        <f t="shared" ca="1" si="1"/>
        <v>1.8258201512887474E-2</v>
      </c>
      <c r="I46" s="3">
        <f t="shared" ref="I46" ca="1" si="23">STDEV(G27:G46)*SQRT(252)</f>
        <v>0.12740440266689604</v>
      </c>
      <c r="J46" s="3">
        <f t="shared" ca="1" si="11"/>
        <v>0.20951328226276511</v>
      </c>
      <c r="K46" s="3"/>
      <c r="L46" s="1">
        <v>42934</v>
      </c>
      <c r="M46">
        <v>1935</v>
      </c>
      <c r="N46" t="s">
        <v>9</v>
      </c>
      <c r="O46" t="s">
        <v>9</v>
      </c>
      <c r="P46" s="3">
        <f t="shared" ca="1" si="2"/>
        <v>6.8710972346407552E-3</v>
      </c>
      <c r="Q46" s="3" t="e">
        <f t="shared" ca="1" si="3"/>
        <v>#VALUE!</v>
      </c>
      <c r="U46" s="1">
        <v>42934</v>
      </c>
      <c r="V46">
        <v>1938.5</v>
      </c>
      <c r="W46">
        <v>1938.5</v>
      </c>
      <c r="X46">
        <v>1915</v>
      </c>
      <c r="Y46" s="3">
        <f t="shared" ca="1" si="4"/>
        <v>6.7288038560202766E-3</v>
      </c>
      <c r="Z46" s="3">
        <f t="shared" ca="1" si="5"/>
        <v>1.2196855496237372E-2</v>
      </c>
      <c r="AC46" s="1">
        <v>42934</v>
      </c>
      <c r="AD46">
        <v>1941.5</v>
      </c>
      <c r="AE46">
        <v>1941.65</v>
      </c>
      <c r="AF46">
        <v>1941.65</v>
      </c>
      <c r="AG46" s="3">
        <f t="shared" ca="1" si="6"/>
        <v>6.5887454943513177E-3</v>
      </c>
      <c r="AH46" s="3">
        <f t="shared" ca="1" si="7"/>
        <v>0</v>
      </c>
      <c r="AK46" s="1">
        <v>42934</v>
      </c>
      <c r="AL46">
        <v>1947.75</v>
      </c>
      <c r="AM46">
        <v>1947.9</v>
      </c>
      <c r="AN46">
        <v>1947.9</v>
      </c>
      <c r="AO46" s="3">
        <f t="shared" ca="1" si="8"/>
        <v>6.5675337470854356E-3</v>
      </c>
      <c r="AP46" s="3">
        <f t="shared" ca="1" si="9"/>
        <v>0</v>
      </c>
    </row>
    <row r="47" spans="3:42">
      <c r="C47" s="1">
        <v>42935</v>
      </c>
      <c r="D47">
        <v>1920</v>
      </c>
      <c r="E47">
        <v>1939.5</v>
      </c>
      <c r="F47">
        <v>1915</v>
      </c>
      <c r="G47" s="3">
        <f t="shared" ca="1" si="0"/>
        <v>-5.712817406687166E-3</v>
      </c>
      <c r="H47" s="3">
        <f t="shared" ca="1" si="1"/>
        <v>1.2712585265275439E-2</v>
      </c>
      <c r="I47" s="3">
        <f t="shared" ref="I47" ca="1" si="24">STDEV(G28:G47)*SQRT(252)</f>
        <v>0.12277497303706225</v>
      </c>
      <c r="J47" s="3">
        <f t="shared" ca="1" si="11"/>
        <v>0.20836093879656511</v>
      </c>
      <c r="K47" s="3"/>
      <c r="L47" s="1">
        <v>42935</v>
      </c>
      <c r="M47">
        <v>1924.5</v>
      </c>
      <c r="N47">
        <v>1924.65</v>
      </c>
      <c r="O47">
        <v>1924.5</v>
      </c>
      <c r="P47" s="3">
        <f t="shared" ca="1" si="2"/>
        <v>-5.4411327400813361E-3</v>
      </c>
      <c r="Q47" s="3">
        <f t="shared" ca="1" si="3"/>
        <v>7.7939285336315258E-5</v>
      </c>
      <c r="U47" s="1">
        <v>42935</v>
      </c>
      <c r="V47">
        <v>1928.5</v>
      </c>
      <c r="W47">
        <v>1928.7</v>
      </c>
      <c r="X47">
        <v>1928.65</v>
      </c>
      <c r="Y47" s="3">
        <f t="shared" ca="1" si="4"/>
        <v>-5.171979462701334E-3</v>
      </c>
      <c r="Z47" s="3">
        <f t="shared" ca="1" si="5"/>
        <v>2.5924533683784425E-5</v>
      </c>
      <c r="AC47" s="1">
        <v>42935</v>
      </c>
      <c r="AD47">
        <v>1931.75</v>
      </c>
      <c r="AE47">
        <v>1931.95</v>
      </c>
      <c r="AF47">
        <v>1931.75</v>
      </c>
      <c r="AG47" s="3">
        <f t="shared" ca="1" si="6"/>
        <v>-5.0345423580287147E-3</v>
      </c>
      <c r="AH47" s="3">
        <f t="shared" ca="1" si="7"/>
        <v>1.0352770669499644E-4</v>
      </c>
      <c r="AK47" s="1">
        <v>42935</v>
      </c>
      <c r="AL47">
        <v>1938.5</v>
      </c>
      <c r="AM47" t="s">
        <v>9</v>
      </c>
      <c r="AN47" t="s">
        <v>9</v>
      </c>
      <c r="AO47" s="3">
        <f t="shared" ca="1" si="8"/>
        <v>-4.7603820999836712E-3</v>
      </c>
      <c r="AP47" s="3" t="e">
        <f t="shared" ca="1" si="9"/>
        <v>#VALUE!</v>
      </c>
    </row>
    <row r="48" spans="3:42">
      <c r="C48" s="1">
        <v>42936</v>
      </c>
      <c r="D48">
        <v>1917</v>
      </c>
      <c r="E48">
        <v>1930</v>
      </c>
      <c r="F48">
        <v>1912.5</v>
      </c>
      <c r="G48" s="3">
        <f t="shared" ca="1" si="0"/>
        <v>-1.5637219761827587E-3</v>
      </c>
      <c r="H48" s="3">
        <f t="shared" ca="1" si="1"/>
        <v>9.1087161982403003E-3</v>
      </c>
      <c r="I48" s="3">
        <f t="shared" ref="I48" ca="1" si="25">STDEV(G29:G48)*SQRT(252)</f>
        <v>0.12321906976649866</v>
      </c>
      <c r="J48" s="3">
        <f t="shared" ca="1" si="11"/>
        <v>0.20478641386935914</v>
      </c>
      <c r="K48" s="3"/>
      <c r="L48" s="1">
        <v>42936</v>
      </c>
      <c r="M48">
        <v>1922</v>
      </c>
      <c r="N48" t="s">
        <v>9</v>
      </c>
      <c r="O48" t="s">
        <v>9</v>
      </c>
      <c r="P48" s="3">
        <f t="shared" ca="1" si="2"/>
        <v>-1.2998831935630275E-3</v>
      </c>
      <c r="Q48" s="3" t="e">
        <f t="shared" ca="1" si="3"/>
        <v>#VALUE!</v>
      </c>
      <c r="U48" s="1">
        <v>42936</v>
      </c>
      <c r="V48">
        <v>1926.25</v>
      </c>
      <c r="W48">
        <v>1928.5</v>
      </c>
      <c r="X48">
        <v>1925</v>
      </c>
      <c r="Y48" s="3">
        <f t="shared" ca="1" si="4"/>
        <v>-1.1673910139569431E-3</v>
      </c>
      <c r="Z48" s="3">
        <f t="shared" ca="1" si="5"/>
        <v>1.8165309263977853E-3</v>
      </c>
      <c r="AC48" s="1">
        <v>42936</v>
      </c>
      <c r="AD48">
        <v>1929.75</v>
      </c>
      <c r="AE48">
        <v>1931.75</v>
      </c>
      <c r="AF48">
        <v>1929.75</v>
      </c>
      <c r="AG48" s="3">
        <f t="shared" ca="1" si="6"/>
        <v>-1.0358669837300693E-3</v>
      </c>
      <c r="AH48" s="3">
        <f t="shared" ca="1" si="7"/>
        <v>1.0358669837299231E-3</v>
      </c>
      <c r="AK48" s="1">
        <v>42936</v>
      </c>
      <c r="AL48">
        <v>1936.75</v>
      </c>
      <c r="AM48">
        <v>1936.95</v>
      </c>
      <c r="AN48">
        <v>1936.9</v>
      </c>
      <c r="AO48" s="3">
        <f t="shared" ca="1" si="8"/>
        <v>-9.0316759897186188E-4</v>
      </c>
      <c r="AP48" s="3">
        <f t="shared" ca="1" si="9"/>
        <v>2.5814112576812107E-5</v>
      </c>
    </row>
    <row r="49" spans="3:42">
      <c r="C49" s="1">
        <v>42937</v>
      </c>
      <c r="D49">
        <v>1915</v>
      </c>
      <c r="E49">
        <v>1935</v>
      </c>
      <c r="F49">
        <v>1913</v>
      </c>
      <c r="G49" s="3">
        <f t="shared" ca="1" si="0"/>
        <v>-1.0438414308981089E-3</v>
      </c>
      <c r="H49" s="3">
        <f t="shared" ca="1" si="1"/>
        <v>1.1434636023629218E-2</v>
      </c>
      <c r="I49" s="3">
        <f t="shared" ref="I49" ca="1" si="26">STDEV(G30:G49)*SQRT(252)</f>
        <v>0.12266525573899079</v>
      </c>
      <c r="J49" s="3">
        <f t="shared" ca="1" si="11"/>
        <v>0.20657638349822732</v>
      </c>
      <c r="K49" s="3"/>
      <c r="L49" s="1">
        <v>42937</v>
      </c>
      <c r="M49">
        <v>1919.75</v>
      </c>
      <c r="N49">
        <v>1931</v>
      </c>
      <c r="O49">
        <v>1919.75</v>
      </c>
      <c r="P49" s="3">
        <f t="shared" ca="1" si="2"/>
        <v>-1.1713413195848787E-3</v>
      </c>
      <c r="Q49" s="3">
        <f t="shared" ca="1" si="3"/>
        <v>5.8430342178614021E-3</v>
      </c>
      <c r="U49" s="1">
        <v>42937</v>
      </c>
      <c r="V49">
        <v>1924</v>
      </c>
      <c r="W49">
        <v>1924.15</v>
      </c>
      <c r="X49">
        <v>1924</v>
      </c>
      <c r="Y49" s="3">
        <f t="shared" ca="1" si="4"/>
        <v>-1.1687554086737384E-3</v>
      </c>
      <c r="Z49" s="3">
        <f t="shared" ca="1" si="5"/>
        <v>7.7959539038719602E-5</v>
      </c>
      <c r="AC49" s="1">
        <v>42937</v>
      </c>
      <c r="AD49">
        <v>1927.5</v>
      </c>
      <c r="AE49">
        <v>1927.5</v>
      </c>
      <c r="AF49">
        <v>1927.5</v>
      </c>
      <c r="AG49" s="3">
        <f t="shared" ca="1" si="6"/>
        <v>-1.1666343924787194E-3</v>
      </c>
      <c r="AH49" s="3">
        <f t="shared" ca="1" si="7"/>
        <v>0</v>
      </c>
      <c r="AK49" s="1">
        <v>42937</v>
      </c>
      <c r="AL49">
        <v>1934.5</v>
      </c>
      <c r="AM49">
        <v>1934.5</v>
      </c>
      <c r="AN49">
        <v>1934.5</v>
      </c>
      <c r="AO49" s="3">
        <f t="shared" ca="1" si="8"/>
        <v>-1.1624153714442434E-3</v>
      </c>
      <c r="AP49" s="3">
        <f t="shared" ca="1" si="9"/>
        <v>0</v>
      </c>
    </row>
    <row r="50" spans="3:42">
      <c r="C50" s="1">
        <v>42940</v>
      </c>
      <c r="D50">
        <v>1912</v>
      </c>
      <c r="E50">
        <v>1925</v>
      </c>
      <c r="F50">
        <v>1909.5</v>
      </c>
      <c r="G50" s="3">
        <f t="shared" ca="1" si="0"/>
        <v>-1.5678080033997327E-3</v>
      </c>
      <c r="H50" s="3">
        <f t="shared" ca="1" si="1"/>
        <v>8.0845400563136667E-3</v>
      </c>
      <c r="I50" s="3">
        <f t="shared" ref="I50" ca="1" si="27">STDEV(G31:G50)*SQRT(252)</f>
        <v>0.1226520067902394</v>
      </c>
      <c r="J50" s="3">
        <f t="shared" ca="1" si="11"/>
        <v>0.20610912038822959</v>
      </c>
      <c r="K50" s="3"/>
      <c r="L50" s="1">
        <v>42940</v>
      </c>
      <c r="M50">
        <v>1916.25</v>
      </c>
      <c r="N50">
        <v>1923</v>
      </c>
      <c r="O50">
        <v>1916.25</v>
      </c>
      <c r="P50" s="3">
        <f t="shared" ca="1" si="2"/>
        <v>-1.824818024629059E-3</v>
      </c>
      <c r="Q50" s="3">
        <f t="shared" ca="1" si="3"/>
        <v>3.5163154027558828E-3</v>
      </c>
      <c r="U50" s="1">
        <v>42940</v>
      </c>
      <c r="V50">
        <v>1920.5</v>
      </c>
      <c r="W50">
        <v>1920.5</v>
      </c>
      <c r="X50">
        <v>1905.2</v>
      </c>
      <c r="Y50" s="3">
        <f t="shared" ca="1" si="4"/>
        <v>-1.8207834396922621E-3</v>
      </c>
      <c r="Z50" s="3">
        <f t="shared" ca="1" si="5"/>
        <v>7.998578859254148E-3</v>
      </c>
      <c r="AC50" s="1">
        <v>42940</v>
      </c>
      <c r="AD50">
        <v>1924</v>
      </c>
      <c r="AE50">
        <v>1924</v>
      </c>
      <c r="AF50">
        <v>1924</v>
      </c>
      <c r="AG50" s="3">
        <f t="shared" ca="1" si="6"/>
        <v>-1.8174742118327492E-3</v>
      </c>
      <c r="AH50" s="3">
        <f t="shared" ca="1" si="7"/>
        <v>0</v>
      </c>
      <c r="AK50" s="1">
        <v>42940</v>
      </c>
      <c r="AL50">
        <v>1931</v>
      </c>
      <c r="AM50">
        <v>1940.52</v>
      </c>
      <c r="AN50">
        <v>1931</v>
      </c>
      <c r="AO50" s="3">
        <f t="shared" ca="1" si="8"/>
        <v>-1.8108917120532024E-3</v>
      </c>
      <c r="AP50" s="3">
        <f t="shared" ca="1" si="9"/>
        <v>4.917974949338399E-3</v>
      </c>
    </row>
    <row r="51" spans="3:42">
      <c r="C51" s="1">
        <v>42941</v>
      </c>
      <c r="D51">
        <v>1930</v>
      </c>
      <c r="E51">
        <v>1949</v>
      </c>
      <c r="F51">
        <v>1910</v>
      </c>
      <c r="G51" s="3">
        <f t="shared" ca="1" si="0"/>
        <v>9.370188287584541E-3</v>
      </c>
      <c r="H51" s="3">
        <f t="shared" ca="1" si="1"/>
        <v>2.0213178466885345E-2</v>
      </c>
      <c r="I51" s="3">
        <f t="shared" ref="I51" ca="1" si="28">STDEV(G32:G51)*SQRT(252)</f>
        <v>0.12084037829262941</v>
      </c>
      <c r="J51" s="3">
        <f t="shared" ca="1" si="11"/>
        <v>0.21247639828520071</v>
      </c>
      <c r="K51" s="3"/>
      <c r="L51" s="1">
        <v>42941</v>
      </c>
      <c r="M51">
        <v>1934</v>
      </c>
      <c r="N51">
        <v>1938</v>
      </c>
      <c r="O51">
        <v>1927.5</v>
      </c>
      <c r="P51" s="3">
        <f t="shared" ca="1" si="2"/>
        <v>9.2202458272157423E-3</v>
      </c>
      <c r="Q51" s="3">
        <f t="shared" ca="1" si="3"/>
        <v>5.4326870132269667E-3</v>
      </c>
      <c r="U51" s="1">
        <v>42941</v>
      </c>
      <c r="V51">
        <v>1938.25</v>
      </c>
      <c r="W51">
        <v>1938.45</v>
      </c>
      <c r="X51">
        <v>1926.9</v>
      </c>
      <c r="Y51" s="3">
        <f t="shared" ca="1" si="4"/>
        <v>9.1999353131089947E-3</v>
      </c>
      <c r="Z51" s="3">
        <f t="shared" ca="1" si="5"/>
        <v>5.9761907074536479E-3</v>
      </c>
      <c r="AC51" s="1">
        <v>42941</v>
      </c>
      <c r="AD51">
        <v>1941.75</v>
      </c>
      <c r="AE51">
        <v>1941.75</v>
      </c>
      <c r="AF51">
        <v>1941.75</v>
      </c>
      <c r="AG51" s="3">
        <f t="shared" ca="1" si="6"/>
        <v>9.1832760741049971E-3</v>
      </c>
      <c r="AH51" s="3">
        <f t="shared" ca="1" si="7"/>
        <v>0</v>
      </c>
      <c r="AK51" s="1">
        <v>42941</v>
      </c>
      <c r="AL51">
        <v>1948.75</v>
      </c>
      <c r="AM51">
        <v>1948.75</v>
      </c>
      <c r="AN51">
        <v>1948.75</v>
      </c>
      <c r="AO51" s="3">
        <f t="shared" ca="1" si="8"/>
        <v>9.1501379434719161E-3</v>
      </c>
      <c r="AP51" s="3">
        <f t="shared" ca="1" si="9"/>
        <v>0</v>
      </c>
    </row>
    <row r="52" spans="3:42">
      <c r="C52" s="1">
        <v>42942</v>
      </c>
      <c r="D52">
        <v>1942</v>
      </c>
      <c r="E52">
        <v>1963.5</v>
      </c>
      <c r="F52">
        <v>1931</v>
      </c>
      <c r="G52" s="3">
        <f t="shared" ca="1" si="0"/>
        <v>6.1983669523390508E-3</v>
      </c>
      <c r="H52" s="3">
        <f t="shared" ca="1" si="1"/>
        <v>1.6690591589549858E-2</v>
      </c>
      <c r="I52" s="3">
        <f t="shared" ref="I52" ca="1" si="29">STDEV(G33:G52)*SQRT(252)</f>
        <v>0.12044134585168004</v>
      </c>
      <c r="J52" s="3">
        <f t="shared" ca="1" si="11"/>
        <v>0.21218491428310129</v>
      </c>
      <c r="K52" s="3"/>
      <c r="L52" s="1">
        <v>42942</v>
      </c>
      <c r="M52">
        <v>1945.75</v>
      </c>
      <c r="N52">
        <v>1945.95</v>
      </c>
      <c r="O52">
        <v>1945.75</v>
      </c>
      <c r="P52" s="3">
        <f t="shared" ca="1" si="2"/>
        <v>6.0571098262579793E-3</v>
      </c>
      <c r="Q52" s="3">
        <f t="shared" ca="1" si="3"/>
        <v>1.0278284563349939E-4</v>
      </c>
      <c r="U52" s="1">
        <v>42942</v>
      </c>
      <c r="V52">
        <v>1950</v>
      </c>
      <c r="W52">
        <v>1962</v>
      </c>
      <c r="X52">
        <v>1949.85</v>
      </c>
      <c r="Y52" s="3">
        <f t="shared" ca="1" si="4"/>
        <v>6.0438684587241593E-3</v>
      </c>
      <c r="Z52" s="3">
        <f t="shared" ca="1" si="5"/>
        <v>6.2119146031707458E-3</v>
      </c>
      <c r="AC52" s="1">
        <v>42942</v>
      </c>
      <c r="AD52">
        <v>1953.5</v>
      </c>
      <c r="AE52">
        <v>1953.7</v>
      </c>
      <c r="AF52">
        <v>1953.5</v>
      </c>
      <c r="AG52" s="3">
        <f t="shared" ca="1" si="6"/>
        <v>6.0330071953685139E-3</v>
      </c>
      <c r="AH52" s="3">
        <f t="shared" ca="1" si="7"/>
        <v>1.0237510246463975E-4</v>
      </c>
      <c r="AK52" s="1">
        <v>42942</v>
      </c>
      <c r="AL52">
        <v>1960.5</v>
      </c>
      <c r="AM52">
        <v>1960.7</v>
      </c>
      <c r="AN52">
        <v>1960.5</v>
      </c>
      <c r="AO52" s="3">
        <f t="shared" ca="1" si="8"/>
        <v>6.0114013603999959E-3</v>
      </c>
      <c r="AP52" s="3">
        <f t="shared" ca="1" si="9"/>
        <v>1.020095889898435E-4</v>
      </c>
    </row>
    <row r="53" spans="3:42">
      <c r="C53" s="1">
        <v>42943</v>
      </c>
      <c r="D53">
        <v>1938</v>
      </c>
      <c r="E53">
        <v>1957.5</v>
      </c>
      <c r="F53">
        <v>1932</v>
      </c>
      <c r="G53" s="3">
        <f t="shared" ca="1" si="0"/>
        <v>-2.0618564005586907E-3</v>
      </c>
      <c r="H53" s="3">
        <f t="shared" ca="1" si="1"/>
        <v>1.3112413092494871E-2</v>
      </c>
      <c r="I53" s="3">
        <f t="shared" ref="I53" ca="1" si="30">STDEV(G34:G53)*SQRT(252)</f>
        <v>0.11632013205426003</v>
      </c>
      <c r="J53" s="3">
        <f t="shared" ca="1" si="11"/>
        <v>0.21549317764827053</v>
      </c>
      <c r="K53" s="3"/>
      <c r="L53" s="1">
        <v>42943</v>
      </c>
      <c r="M53">
        <v>1941.5</v>
      </c>
      <c r="N53">
        <v>1947.1</v>
      </c>
      <c r="O53">
        <v>1941.5</v>
      </c>
      <c r="P53" s="3">
        <f t="shared" ca="1" si="2"/>
        <v>-2.1866366677755489E-3</v>
      </c>
      <c r="Q53" s="3">
        <f t="shared" ca="1" si="3"/>
        <v>2.8802159498534435E-3</v>
      </c>
      <c r="U53" s="1">
        <v>42943</v>
      </c>
      <c r="V53">
        <v>1945.75</v>
      </c>
      <c r="W53">
        <v>1955</v>
      </c>
      <c r="X53">
        <v>1945.75</v>
      </c>
      <c r="Y53" s="3">
        <f t="shared" ca="1" si="4"/>
        <v>-2.1818657182948822E-3</v>
      </c>
      <c r="Z53" s="3">
        <f t="shared" ca="1" si="5"/>
        <v>4.7426865799686255E-3</v>
      </c>
      <c r="AC53" s="1">
        <v>42943</v>
      </c>
      <c r="AD53">
        <v>1948.5</v>
      </c>
      <c r="AE53">
        <v>1965.75</v>
      </c>
      <c r="AF53">
        <v>1948.5</v>
      </c>
      <c r="AG53" s="3">
        <f t="shared" ca="1" si="6"/>
        <v>-2.5627897163613507E-3</v>
      </c>
      <c r="AH53" s="3">
        <f t="shared" ca="1" si="7"/>
        <v>8.8140060928613879E-3</v>
      </c>
      <c r="AK53" s="1">
        <v>42943</v>
      </c>
      <c r="AL53">
        <v>1955.5</v>
      </c>
      <c r="AM53">
        <v>1965.75</v>
      </c>
      <c r="AN53">
        <v>1955.5</v>
      </c>
      <c r="AO53" s="3">
        <f t="shared" ca="1" si="8"/>
        <v>-2.5536275368175493E-3</v>
      </c>
      <c r="AP53" s="3">
        <f t="shared" ca="1" si="9"/>
        <v>5.2279366760566749E-3</v>
      </c>
    </row>
    <row r="54" spans="3:42">
      <c r="C54" s="1">
        <v>42944</v>
      </c>
      <c r="D54">
        <v>1907</v>
      </c>
      <c r="E54">
        <v>1943</v>
      </c>
      <c r="F54">
        <v>1906.85</v>
      </c>
      <c r="G54" s="3">
        <f t="shared" ca="1" si="0"/>
        <v>-1.6125186850292513E-2</v>
      </c>
      <c r="H54" s="3">
        <f t="shared" ca="1" si="1"/>
        <v>1.8780504448037218E-2</v>
      </c>
      <c r="I54" s="3">
        <f t="shared" ref="I54" ca="1" si="31">STDEV(G35:G54)*SQRT(252)</f>
        <v>0.13034479313487457</v>
      </c>
      <c r="J54" s="3">
        <f t="shared" ca="1" si="11"/>
        <v>0.22076736097304064</v>
      </c>
      <c r="K54" s="3"/>
      <c r="L54" s="1">
        <v>42944</v>
      </c>
      <c r="M54">
        <v>1910.25</v>
      </c>
      <c r="N54">
        <v>1918.5</v>
      </c>
      <c r="O54">
        <v>1910.1</v>
      </c>
      <c r="P54" s="3">
        <f t="shared" ca="1" si="2"/>
        <v>-1.6226746644045886E-2</v>
      </c>
      <c r="Q54" s="3">
        <f t="shared" ca="1" si="3"/>
        <v>4.3880339959178494E-3</v>
      </c>
      <c r="U54" s="1">
        <v>42944</v>
      </c>
      <c r="V54">
        <v>1914.75</v>
      </c>
      <c r="W54">
        <v>1924</v>
      </c>
      <c r="X54">
        <v>1914.75</v>
      </c>
      <c r="Y54" s="3">
        <f t="shared" ca="1" si="4"/>
        <v>-1.6060441049794628E-2</v>
      </c>
      <c r="Z54" s="3">
        <f t="shared" ca="1" si="5"/>
        <v>4.8192864359489218E-3</v>
      </c>
      <c r="AC54" s="1">
        <v>42944</v>
      </c>
      <c r="AD54">
        <v>1918.25</v>
      </c>
      <c r="AE54">
        <v>1918.25</v>
      </c>
      <c r="AF54">
        <v>1918.1</v>
      </c>
      <c r="AG54" s="3">
        <f t="shared" ca="1" si="6"/>
        <v>-1.5646533720989262E-2</v>
      </c>
      <c r="AH54" s="3">
        <f t="shared" ca="1" si="7"/>
        <v>7.8199330132350874E-5</v>
      </c>
      <c r="AK54" s="1">
        <v>42944</v>
      </c>
      <c r="AL54">
        <v>1925.25</v>
      </c>
      <c r="AM54">
        <v>1925.25</v>
      </c>
      <c r="AN54">
        <v>1925.25</v>
      </c>
      <c r="AO54" s="3">
        <f t="shared" ca="1" si="8"/>
        <v>-1.5590085776209333E-2</v>
      </c>
      <c r="AP54" s="3">
        <f t="shared" ca="1" si="9"/>
        <v>0</v>
      </c>
    </row>
    <row r="55" spans="3:42">
      <c r="C55" s="1">
        <v>42947</v>
      </c>
      <c r="D55">
        <v>1918</v>
      </c>
      <c r="E55">
        <v>1926.65</v>
      </c>
      <c r="F55">
        <v>1911</v>
      </c>
      <c r="G55" s="3">
        <f t="shared" ca="1" si="0"/>
        <v>5.7516498429645681E-3</v>
      </c>
      <c r="H55" s="3">
        <f t="shared" ca="1" si="1"/>
        <v>8.1560782015934561E-3</v>
      </c>
      <c r="I55" s="3">
        <f t="shared" ref="I55" ca="1" si="32">STDEV(G36:G55)*SQRT(252)</f>
        <v>0.13118896747071521</v>
      </c>
      <c r="J55" s="3">
        <f t="shared" ca="1" si="11"/>
        <v>0.21823475340350371</v>
      </c>
      <c r="K55" s="3"/>
      <c r="L55" s="1">
        <v>42947</v>
      </c>
      <c r="M55">
        <v>1920.5</v>
      </c>
      <c r="N55">
        <v>1920.65</v>
      </c>
      <c r="O55">
        <v>1920.5</v>
      </c>
      <c r="P55" s="3">
        <f t="shared" ca="1" si="2"/>
        <v>5.3514452582833242E-3</v>
      </c>
      <c r="Q55" s="3">
        <f t="shared" ca="1" si="3"/>
        <v>7.8101610234551858E-5</v>
      </c>
      <c r="U55" s="1">
        <v>42947</v>
      </c>
      <c r="V55">
        <v>1925.5</v>
      </c>
      <c r="W55">
        <v>1927.58</v>
      </c>
      <c r="X55">
        <v>1925.5</v>
      </c>
      <c r="Y55" s="3">
        <f t="shared" ca="1" si="4"/>
        <v>5.5986084652605997E-3</v>
      </c>
      <c r="Z55" s="3">
        <f t="shared" ca="1" si="5"/>
        <v>1.0796558607903707E-3</v>
      </c>
      <c r="AC55" s="1">
        <v>42947</v>
      </c>
      <c r="AD55">
        <v>1929</v>
      </c>
      <c r="AE55">
        <v>1929</v>
      </c>
      <c r="AF55">
        <v>1929</v>
      </c>
      <c r="AG55" s="3">
        <f t="shared" ca="1" si="6"/>
        <v>5.5884218479545491E-3</v>
      </c>
      <c r="AH55" s="3">
        <f t="shared" ca="1" si="7"/>
        <v>0</v>
      </c>
      <c r="AK55" s="1">
        <v>42947</v>
      </c>
      <c r="AL55">
        <v>1936.5</v>
      </c>
      <c r="AM55">
        <v>1936.7</v>
      </c>
      <c r="AN55">
        <v>1936</v>
      </c>
      <c r="AO55" s="3">
        <f t="shared" ca="1" si="8"/>
        <v>5.8263905354473651E-3</v>
      </c>
      <c r="AP55" s="3">
        <f t="shared" ca="1" si="9"/>
        <v>3.6150489716384393E-4</v>
      </c>
    </row>
    <row r="56" spans="3:42">
      <c r="C56" s="1">
        <v>42948</v>
      </c>
      <c r="D56">
        <v>1907</v>
      </c>
      <c r="E56">
        <v>1919.5</v>
      </c>
      <c r="F56">
        <v>1903</v>
      </c>
      <c r="G56" s="3">
        <f t="shared" ca="1" si="0"/>
        <v>-5.7516498429645126E-3</v>
      </c>
      <c r="H56" s="3">
        <f t="shared" ca="1" si="1"/>
        <v>8.6331471447028754E-3</v>
      </c>
      <c r="I56" s="3">
        <f t="shared" ref="I56" ca="1" si="33">STDEV(G37:G56)*SQRT(252)</f>
        <v>0.13259235341612605</v>
      </c>
      <c r="J56" s="3">
        <f t="shared" ca="1" si="11"/>
        <v>0.21866852724648914</v>
      </c>
      <c r="K56" s="3"/>
      <c r="L56" s="1">
        <v>42948</v>
      </c>
      <c r="M56">
        <v>1909.25</v>
      </c>
      <c r="N56">
        <v>1913.75</v>
      </c>
      <c r="O56">
        <v>1909.25</v>
      </c>
      <c r="P56" s="3">
        <f t="shared" ca="1" si="2"/>
        <v>-5.8750740174659402E-3</v>
      </c>
      <c r="Q56" s="3">
        <f t="shared" ca="1" si="3"/>
        <v>2.3541732034000049E-3</v>
      </c>
      <c r="U56" s="1">
        <v>42948</v>
      </c>
      <c r="V56">
        <v>1914.5</v>
      </c>
      <c r="W56">
        <v>1918</v>
      </c>
      <c r="X56">
        <v>1914.5</v>
      </c>
      <c r="Y56" s="3">
        <f t="shared" ca="1" si="4"/>
        <v>-5.7291823376144227E-3</v>
      </c>
      <c r="Z56" s="3">
        <f t="shared" ca="1" si="5"/>
        <v>1.8264845260342812E-3</v>
      </c>
      <c r="AC56" s="1">
        <v>42948</v>
      </c>
      <c r="AD56">
        <v>1918.25</v>
      </c>
      <c r="AE56">
        <v>1938.08</v>
      </c>
      <c r="AF56">
        <v>1918.25</v>
      </c>
      <c r="AG56" s="3">
        <f t="shared" ca="1" si="6"/>
        <v>-5.5884218479545006E-3</v>
      </c>
      <c r="AH56" s="3">
        <f t="shared" ca="1" si="7"/>
        <v>1.0284480210717435E-2</v>
      </c>
      <c r="AK56" s="1">
        <v>42948</v>
      </c>
      <c r="AL56">
        <v>1926</v>
      </c>
      <c r="AM56">
        <v>1938.08</v>
      </c>
      <c r="AN56">
        <v>1926</v>
      </c>
      <c r="AO56" s="3">
        <f t="shared" ca="1" si="8"/>
        <v>-5.4369065967360356E-3</v>
      </c>
      <c r="AP56" s="3">
        <f t="shared" ca="1" si="9"/>
        <v>6.2524789104212216E-3</v>
      </c>
    </row>
    <row r="57" spans="3:42">
      <c r="C57" s="1">
        <v>42949</v>
      </c>
      <c r="D57">
        <v>1926</v>
      </c>
      <c r="E57">
        <v>1936.5</v>
      </c>
      <c r="F57">
        <v>1908.5</v>
      </c>
      <c r="G57" s="3">
        <f t="shared" ca="1" si="0"/>
        <v>9.9139867576517587E-3</v>
      </c>
      <c r="H57" s="3">
        <f t="shared" ca="1" si="1"/>
        <v>1.4564626769522469E-2</v>
      </c>
      <c r="I57" s="3">
        <f t="shared" ref="I57" ca="1" si="34">STDEV(G38:G57)*SQRT(252)</f>
        <v>0.13769059052195581</v>
      </c>
      <c r="J57" s="3">
        <f t="shared" ca="1" si="11"/>
        <v>0.22239934250182938</v>
      </c>
      <c r="K57" s="3"/>
      <c r="L57" s="1">
        <v>42949</v>
      </c>
      <c r="M57">
        <v>1928</v>
      </c>
      <c r="N57">
        <v>1930</v>
      </c>
      <c r="O57">
        <v>1927.25</v>
      </c>
      <c r="P57" s="3">
        <f t="shared" ca="1" si="2"/>
        <v>9.7727014019973451E-3</v>
      </c>
      <c r="Q57" s="3">
        <f t="shared" ca="1" si="3"/>
        <v>1.4258865595597604E-3</v>
      </c>
      <c r="U57" s="1">
        <v>42949</v>
      </c>
      <c r="V57">
        <v>1933.25</v>
      </c>
      <c r="W57">
        <v>1940</v>
      </c>
      <c r="X57">
        <v>1932.6</v>
      </c>
      <c r="Y57" s="3">
        <f t="shared" ca="1" si="4"/>
        <v>9.7460325717956126E-3</v>
      </c>
      <c r="Z57" s="3">
        <f t="shared" ca="1" si="5"/>
        <v>3.8217264921656751E-3</v>
      </c>
      <c r="AC57" s="1">
        <v>42949</v>
      </c>
      <c r="AD57">
        <v>1937</v>
      </c>
      <c r="AE57">
        <v>1957</v>
      </c>
      <c r="AF57">
        <v>1937</v>
      </c>
      <c r="AG57" s="3">
        <f t="shared" ca="1" si="6"/>
        <v>9.7270723492212854E-3</v>
      </c>
      <c r="AH57" s="3">
        <f t="shared" ca="1" si="7"/>
        <v>1.027230398908039E-2</v>
      </c>
      <c r="AK57" s="1">
        <v>42949</v>
      </c>
      <c r="AL57">
        <v>1945</v>
      </c>
      <c r="AM57">
        <v>1957</v>
      </c>
      <c r="AN57">
        <v>1945</v>
      </c>
      <c r="AO57" s="3">
        <f t="shared" ca="1" si="8"/>
        <v>9.816663694475895E-3</v>
      </c>
      <c r="AP57" s="3">
        <f t="shared" ca="1" si="9"/>
        <v>6.1507113435296679E-3</v>
      </c>
    </row>
    <row r="58" spans="3:42">
      <c r="C58" s="1">
        <v>42950</v>
      </c>
      <c r="D58">
        <v>1916</v>
      </c>
      <c r="E58">
        <v>1932</v>
      </c>
      <c r="F58">
        <v>1910</v>
      </c>
      <c r="G58" s="3">
        <f t="shared" ca="1" si="0"/>
        <v>-5.2056338272650493E-3</v>
      </c>
      <c r="H58" s="3">
        <f t="shared" ca="1" si="1"/>
        <v>1.1452493731787729E-2</v>
      </c>
      <c r="I58" s="3">
        <f t="shared" ref="I58" ca="1" si="35">STDEV(G39:G58)*SQRT(252)</f>
        <v>0.13558888068195069</v>
      </c>
      <c r="J58" s="3">
        <f t="shared" ca="1" si="11"/>
        <v>0.2251677583778981</v>
      </c>
      <c r="K58" s="3"/>
      <c r="L58" s="1">
        <v>42950</v>
      </c>
      <c r="M58">
        <v>1918</v>
      </c>
      <c r="N58">
        <v>1918</v>
      </c>
      <c r="O58">
        <v>1916.5</v>
      </c>
      <c r="P58" s="3">
        <f t="shared" ca="1" si="2"/>
        <v>-5.200219727107375E-3</v>
      </c>
      <c r="Q58" s="3">
        <f t="shared" ca="1" si="3"/>
        <v>7.8237062277385886E-4</v>
      </c>
      <c r="U58" s="1">
        <v>42950</v>
      </c>
      <c r="V58">
        <v>1923.25</v>
      </c>
      <c r="W58">
        <v>1923.25</v>
      </c>
      <c r="X58">
        <v>1922</v>
      </c>
      <c r="Y58" s="3">
        <f t="shared" ca="1" si="4"/>
        <v>-5.1860611501007414E-3</v>
      </c>
      <c r="Z58" s="3">
        <f t="shared" ca="1" si="5"/>
        <v>6.5015280880617891E-4</v>
      </c>
      <c r="AC58" s="1">
        <v>42950</v>
      </c>
      <c r="AD58">
        <v>1927</v>
      </c>
      <c r="AE58">
        <v>1927</v>
      </c>
      <c r="AF58">
        <v>1927</v>
      </c>
      <c r="AG58" s="3">
        <f t="shared" ca="1" si="6"/>
        <v>-5.1759949926295044E-3</v>
      </c>
      <c r="AH58" s="3">
        <f t="shared" ca="1" si="7"/>
        <v>0</v>
      </c>
      <c r="AK58" s="1">
        <v>42950</v>
      </c>
      <c r="AL58">
        <v>1935</v>
      </c>
      <c r="AM58">
        <v>1935.2</v>
      </c>
      <c r="AN58">
        <v>1934.85</v>
      </c>
      <c r="AO58" s="3">
        <f t="shared" ca="1" si="8"/>
        <v>-5.1546505886645375E-3</v>
      </c>
      <c r="AP58" s="3">
        <f t="shared" ca="1" si="9"/>
        <v>1.8087621656273555E-4</v>
      </c>
    </row>
    <row r="59" spans="3:42">
      <c r="C59" s="1">
        <v>42951</v>
      </c>
      <c r="D59">
        <v>1910.5</v>
      </c>
      <c r="E59">
        <v>1920.5</v>
      </c>
      <c r="F59">
        <v>1903</v>
      </c>
      <c r="G59" s="3">
        <f t="shared" ca="1" si="0"/>
        <v>-2.8746916438511902E-3</v>
      </c>
      <c r="H59" s="3">
        <f t="shared" ca="1" si="1"/>
        <v>9.153980489810051E-3</v>
      </c>
      <c r="I59" s="3">
        <f t="shared" ref="I59" ca="1" si="36">STDEV(G40:G59)*SQRT(252)</f>
        <v>0.13368725327766337</v>
      </c>
      <c r="J59" s="3">
        <f t="shared" ca="1" si="11"/>
        <v>0.22251990443510933</v>
      </c>
      <c r="K59" s="3"/>
      <c r="L59" s="1">
        <v>42951</v>
      </c>
      <c r="M59">
        <v>1912.75</v>
      </c>
      <c r="N59">
        <v>1913</v>
      </c>
      <c r="O59">
        <v>1911</v>
      </c>
      <c r="P59" s="3">
        <f t="shared" ca="1" si="2"/>
        <v>-2.7409793314222934E-3</v>
      </c>
      <c r="Q59" s="3">
        <f t="shared" ca="1" si="3"/>
        <v>1.0460251999797707E-3</v>
      </c>
      <c r="U59" s="1">
        <v>42951</v>
      </c>
      <c r="V59">
        <v>1918.25</v>
      </c>
      <c r="W59">
        <v>1918.25</v>
      </c>
      <c r="X59">
        <v>1918.05</v>
      </c>
      <c r="Y59" s="3">
        <f t="shared" ca="1" si="4"/>
        <v>-2.6031512812694862E-3</v>
      </c>
      <c r="Z59" s="3">
        <f t="shared" ca="1" si="5"/>
        <v>1.0426713248771226E-4</v>
      </c>
      <c r="AC59" s="1">
        <v>42951</v>
      </c>
      <c r="AD59">
        <v>1922.25</v>
      </c>
      <c r="AE59">
        <v>1922.25</v>
      </c>
      <c r="AF59">
        <v>1922.25</v>
      </c>
      <c r="AG59" s="3">
        <f t="shared" ca="1" si="6"/>
        <v>-2.4680145020762063E-3</v>
      </c>
      <c r="AH59" s="3">
        <f t="shared" ca="1" si="7"/>
        <v>0</v>
      </c>
      <c r="AK59" s="1">
        <v>42951</v>
      </c>
      <c r="AL59">
        <v>1930</v>
      </c>
      <c r="AM59">
        <v>1930</v>
      </c>
      <c r="AN59">
        <v>1930</v>
      </c>
      <c r="AO59" s="3">
        <f t="shared" ca="1" si="8"/>
        <v>-2.5873235649509123E-3</v>
      </c>
      <c r="AP59" s="3">
        <f t="shared" ca="1" si="9"/>
        <v>0</v>
      </c>
    </row>
    <row r="60" spans="3:42">
      <c r="C60" s="1">
        <v>42954</v>
      </c>
      <c r="D60">
        <v>1964</v>
      </c>
      <c r="E60">
        <v>1978.5</v>
      </c>
      <c r="F60">
        <v>1907</v>
      </c>
      <c r="G60" s="3">
        <f t="shared" ca="1" si="0"/>
        <v>2.7618222027456566E-2</v>
      </c>
      <c r="H60" s="3">
        <f t="shared" ca="1" si="1"/>
        <v>3.6807655225059931E-2</v>
      </c>
      <c r="I60" s="3">
        <f t="shared" ref="I60" ca="1" si="37">STDEV(G41:G60)*SQRT(252)</f>
        <v>0.15268754635937834</v>
      </c>
      <c r="J60" s="3">
        <f t="shared" ca="1" si="11"/>
        <v>0.2419434941872122</v>
      </c>
      <c r="K60" s="3"/>
      <c r="L60" s="1">
        <v>42954</v>
      </c>
      <c r="M60">
        <v>1964.5</v>
      </c>
      <c r="N60">
        <v>1969</v>
      </c>
      <c r="O60">
        <v>1929.43</v>
      </c>
      <c r="P60" s="3">
        <f t="shared" ca="1" si="2"/>
        <v>2.669576288655311E-2</v>
      </c>
      <c r="Q60" s="3">
        <f t="shared" ca="1" si="3"/>
        <v>2.0301177148256879E-2</v>
      </c>
      <c r="U60" s="1">
        <v>42954</v>
      </c>
      <c r="V60">
        <v>1970</v>
      </c>
      <c r="W60">
        <v>1970.15</v>
      </c>
      <c r="X60">
        <v>1936</v>
      </c>
      <c r="Y60" s="3">
        <f t="shared" ca="1" si="4"/>
        <v>2.6620230674259639E-2</v>
      </c>
      <c r="Z60" s="3">
        <f t="shared" ca="1" si="5"/>
        <v>1.7485693128826672E-2</v>
      </c>
      <c r="AC60" s="1">
        <v>42954</v>
      </c>
      <c r="AD60">
        <v>1973.75</v>
      </c>
      <c r="AE60">
        <v>1973.75</v>
      </c>
      <c r="AF60">
        <v>1973.75</v>
      </c>
      <c r="AG60" s="3">
        <f t="shared" ca="1" si="6"/>
        <v>2.6438911657561646E-2</v>
      </c>
      <c r="AH60" s="3">
        <f t="shared" ca="1" si="7"/>
        <v>0</v>
      </c>
      <c r="AK60" s="1">
        <v>42954</v>
      </c>
      <c r="AL60">
        <v>1981.25</v>
      </c>
      <c r="AM60">
        <v>1981.25</v>
      </c>
      <c r="AN60">
        <v>1943.75</v>
      </c>
      <c r="AO60" s="3">
        <f t="shared" ca="1" si="8"/>
        <v>2.6207955726659602E-2</v>
      </c>
      <c r="AP60" s="3">
        <f t="shared" ca="1" si="9"/>
        <v>1.9108861698046507E-2</v>
      </c>
    </row>
    <row r="61" spans="3:42">
      <c r="C61" s="1">
        <v>42955</v>
      </c>
      <c r="D61">
        <v>2030</v>
      </c>
      <c r="E61">
        <v>2035</v>
      </c>
      <c r="F61">
        <v>1968</v>
      </c>
      <c r="G61" s="3">
        <f t="shared" ca="1" si="0"/>
        <v>3.3052583121421848E-2</v>
      </c>
      <c r="H61" s="3">
        <f t="shared" ca="1" si="1"/>
        <v>3.3478020264496533E-2</v>
      </c>
      <c r="I61" s="3">
        <f t="shared" ref="I61" ca="1" si="38">STDEV(G42:G61)*SQRT(252)</f>
        <v>0.18884992020874575</v>
      </c>
      <c r="J61" s="3">
        <f t="shared" ca="1" si="11"/>
        <v>0.25055785054455282</v>
      </c>
      <c r="K61" s="3"/>
      <c r="L61" s="1">
        <v>42955</v>
      </c>
      <c r="M61">
        <v>2030.5</v>
      </c>
      <c r="N61">
        <v>2030.65</v>
      </c>
      <c r="O61">
        <v>1992</v>
      </c>
      <c r="P61" s="3">
        <f t="shared" ca="1" si="2"/>
        <v>3.304430812783813E-2</v>
      </c>
      <c r="Q61" s="3">
        <f t="shared" ca="1" si="3"/>
        <v>1.9216779683491062E-2</v>
      </c>
      <c r="U61" s="1">
        <v>42955</v>
      </c>
      <c r="V61">
        <v>2035.5</v>
      </c>
      <c r="W61">
        <v>2035.5</v>
      </c>
      <c r="X61">
        <v>2016</v>
      </c>
      <c r="Y61" s="3">
        <f t="shared" ca="1" si="4"/>
        <v>3.2707946210999234E-2</v>
      </c>
      <c r="Z61" s="3">
        <f t="shared" ca="1" si="5"/>
        <v>9.6261387517743088E-3</v>
      </c>
      <c r="AC61" s="1">
        <v>42955</v>
      </c>
      <c r="AD61">
        <v>2038.75</v>
      </c>
      <c r="AE61">
        <v>2038.75</v>
      </c>
      <c r="AF61">
        <v>2038.6</v>
      </c>
      <c r="AG61" s="3">
        <f t="shared" ca="1" si="6"/>
        <v>3.2401588365371714E-2</v>
      </c>
      <c r="AH61" s="3">
        <f t="shared" ca="1" si="7"/>
        <v>7.357720091115157E-5</v>
      </c>
      <c r="AK61" s="1">
        <v>42955</v>
      </c>
      <c r="AL61">
        <v>2045</v>
      </c>
      <c r="AM61">
        <v>2045</v>
      </c>
      <c r="AN61">
        <v>2010</v>
      </c>
      <c r="AO61" s="3">
        <f t="shared" ca="1" si="8"/>
        <v>3.1669830851311441E-2</v>
      </c>
      <c r="AP61" s="3">
        <f t="shared" ca="1" si="9"/>
        <v>1.7263067423780771E-2</v>
      </c>
    </row>
    <row r="62" spans="3:42">
      <c r="C62" s="1">
        <v>42956</v>
      </c>
      <c r="D62">
        <v>2027.5</v>
      </c>
      <c r="E62">
        <v>2043</v>
      </c>
      <c r="F62">
        <v>2012</v>
      </c>
      <c r="G62" s="3">
        <f t="shared" ca="1" si="0"/>
        <v>-1.2322860462650562E-3</v>
      </c>
      <c r="H62" s="3">
        <f t="shared" ca="1" si="1"/>
        <v>1.5290063597992126E-2</v>
      </c>
      <c r="I62" s="3">
        <f t="shared" ref="I62" ca="1" si="39">STDEV(G43:G62)*SQRT(252)</f>
        <v>0.18660631925468471</v>
      </c>
      <c r="J62" s="3">
        <f t="shared" ca="1" si="11"/>
        <v>0.25474302130030058</v>
      </c>
      <c r="K62" s="3"/>
      <c r="L62" s="1">
        <v>42956</v>
      </c>
      <c r="M62">
        <v>2028</v>
      </c>
      <c r="N62">
        <v>2040.5</v>
      </c>
      <c r="O62">
        <v>2027.8</v>
      </c>
      <c r="P62" s="3">
        <f t="shared" ca="1" si="2"/>
        <v>-1.2319824152786573E-3</v>
      </c>
      <c r="Q62" s="3">
        <f t="shared" ca="1" si="3"/>
        <v>6.2434143273810139E-3</v>
      </c>
      <c r="U62" s="1">
        <v>42956</v>
      </c>
      <c r="V62">
        <v>2032.5</v>
      </c>
      <c r="W62">
        <v>2033.5</v>
      </c>
      <c r="X62">
        <v>2029</v>
      </c>
      <c r="Y62" s="3">
        <f t="shared" ca="1" si="4"/>
        <v>-1.4749265210678676E-3</v>
      </c>
      <c r="Z62" s="3">
        <f t="shared" ca="1" si="5"/>
        <v>2.2153855214644786E-3</v>
      </c>
      <c r="AC62" s="1">
        <v>42956</v>
      </c>
      <c r="AD62">
        <v>2035</v>
      </c>
      <c r="AE62">
        <v>2050.75</v>
      </c>
      <c r="AF62">
        <v>2035</v>
      </c>
      <c r="AG62" s="3">
        <f t="shared" ca="1" si="6"/>
        <v>-1.8410560585283163E-3</v>
      </c>
      <c r="AH62" s="3">
        <f t="shared" ca="1" si="7"/>
        <v>7.7097610061639833E-3</v>
      </c>
      <c r="AK62" s="1">
        <v>42956</v>
      </c>
      <c r="AL62">
        <v>2040.75</v>
      </c>
      <c r="AM62">
        <v>2050.75</v>
      </c>
      <c r="AN62">
        <v>2040.55</v>
      </c>
      <c r="AO62" s="3">
        <f t="shared" ca="1" si="8"/>
        <v>-2.0804021454367324E-3</v>
      </c>
      <c r="AP62" s="3">
        <f t="shared" ca="1" si="9"/>
        <v>4.9862005391233819E-3</v>
      </c>
    </row>
    <row r="63" spans="3:42">
      <c r="C63" s="1">
        <v>42957</v>
      </c>
      <c r="D63">
        <v>2037</v>
      </c>
      <c r="E63">
        <v>2046.5</v>
      </c>
      <c r="F63">
        <v>2017</v>
      </c>
      <c r="G63" s="3">
        <f t="shared" ca="1" si="0"/>
        <v>4.6746302372378395E-3</v>
      </c>
      <c r="H63" s="3">
        <f t="shared" ca="1" si="1"/>
        <v>1.4519757978245965E-2</v>
      </c>
      <c r="I63" s="3">
        <f t="shared" ref="I63" ca="1" si="40">STDEV(G44:G63)*SQRT(252)</f>
        <v>0.17891769719304446</v>
      </c>
      <c r="J63" s="3">
        <f t="shared" ca="1" si="11"/>
        <v>0.25633582440475311</v>
      </c>
      <c r="K63" s="3"/>
      <c r="L63" s="1">
        <v>42957</v>
      </c>
      <c r="M63">
        <v>2038</v>
      </c>
      <c r="N63">
        <v>2044.21</v>
      </c>
      <c r="O63">
        <v>2025.5</v>
      </c>
      <c r="P63" s="3">
        <f t="shared" ca="1" si="2"/>
        <v>4.9188490715962553E-3</v>
      </c>
      <c r="Q63" s="3">
        <f t="shared" ca="1" si="3"/>
        <v>9.1948231295130821E-3</v>
      </c>
      <c r="U63" s="1">
        <v>42957</v>
      </c>
      <c r="V63">
        <v>2042.5</v>
      </c>
      <c r="W63">
        <v>2043</v>
      </c>
      <c r="X63">
        <v>2028</v>
      </c>
      <c r="Y63" s="3">
        <f t="shared" ca="1" si="4"/>
        <v>4.9079853121922253E-3</v>
      </c>
      <c r="Z63" s="3">
        <f t="shared" ca="1" si="5"/>
        <v>7.3692301065483683E-3</v>
      </c>
      <c r="AC63" s="1">
        <v>42957</v>
      </c>
      <c r="AD63">
        <v>2045</v>
      </c>
      <c r="AE63">
        <v>2064.75</v>
      </c>
      <c r="AF63">
        <v>2045</v>
      </c>
      <c r="AG63" s="3">
        <f t="shared" ca="1" si="6"/>
        <v>4.9019706002066876E-3</v>
      </c>
      <c r="AH63" s="3">
        <f t="shared" ca="1" si="7"/>
        <v>9.6113642139242089E-3</v>
      </c>
      <c r="AK63" s="1">
        <v>42957</v>
      </c>
      <c r="AL63">
        <v>2050.75</v>
      </c>
      <c r="AM63">
        <v>2064.75</v>
      </c>
      <c r="AN63">
        <v>2050.5500000000002</v>
      </c>
      <c r="AO63" s="3">
        <f t="shared" ca="1" si="8"/>
        <v>4.8881925513939543E-3</v>
      </c>
      <c r="AP63" s="3">
        <f t="shared" ca="1" si="9"/>
        <v>6.9011038594914515E-3</v>
      </c>
    </row>
    <row r="64" spans="3:42">
      <c r="C64" s="1">
        <v>42958</v>
      </c>
      <c r="D64">
        <v>2042.5</v>
      </c>
      <c r="E64">
        <v>2048</v>
      </c>
      <c r="F64">
        <v>2018</v>
      </c>
      <c r="G64" s="3">
        <f t="shared" ca="1" si="0"/>
        <v>2.6964105073521206E-3</v>
      </c>
      <c r="H64" s="3">
        <f t="shared" ca="1" si="1"/>
        <v>1.4756785245844117E-2</v>
      </c>
      <c r="I64" s="3">
        <f t="shared" ref="I64" ca="1" si="41">STDEV(G45:G64)*SQRT(252)</f>
        <v>0.17889441020807062</v>
      </c>
      <c r="J64" s="3">
        <f t="shared" ca="1" si="11"/>
        <v>0.24578432822461263</v>
      </c>
      <c r="K64" s="3"/>
      <c r="L64" s="1">
        <v>42958</v>
      </c>
      <c r="M64">
        <v>2044</v>
      </c>
      <c r="N64">
        <v>2044.2</v>
      </c>
      <c r="O64">
        <v>2030.25</v>
      </c>
      <c r="P64" s="3">
        <f t="shared" ca="1" si="2"/>
        <v>2.9397375409249741E-3</v>
      </c>
      <c r="Q64" s="3">
        <f t="shared" ca="1" si="3"/>
        <v>6.8475767324557221E-3</v>
      </c>
      <c r="U64" s="1">
        <v>42958</v>
      </c>
      <c r="V64">
        <v>2048.75</v>
      </c>
      <c r="W64">
        <v>2049</v>
      </c>
      <c r="X64">
        <v>2029</v>
      </c>
      <c r="Y64" s="3">
        <f t="shared" ca="1" si="4"/>
        <v>3.0553033238815324E-3</v>
      </c>
      <c r="Z64" s="3">
        <f t="shared" ca="1" si="5"/>
        <v>9.8088084130849278E-3</v>
      </c>
      <c r="AC64" s="1">
        <v>42958</v>
      </c>
      <c r="AD64">
        <v>2051</v>
      </c>
      <c r="AE64">
        <v>2051.15</v>
      </c>
      <c r="AF64">
        <v>2045</v>
      </c>
      <c r="AG64" s="3">
        <f t="shared" ca="1" si="6"/>
        <v>2.9296895954785264E-3</v>
      </c>
      <c r="AH64" s="3">
        <f t="shared" ca="1" si="7"/>
        <v>3.002821977310971E-3</v>
      </c>
      <c r="AK64" s="1">
        <v>42958</v>
      </c>
      <c r="AL64">
        <v>2057.25</v>
      </c>
      <c r="AM64">
        <v>2057.25</v>
      </c>
      <c r="AN64">
        <v>2037</v>
      </c>
      <c r="AO64" s="3">
        <f t="shared" ca="1" si="8"/>
        <v>3.1645596029629399E-3</v>
      </c>
      <c r="AP64" s="3">
        <f t="shared" ca="1" si="9"/>
        <v>9.8920022590164511E-3</v>
      </c>
    </row>
    <row r="65" spans="3:42">
      <c r="C65" s="1">
        <v>42961</v>
      </c>
      <c r="D65">
        <v>2023</v>
      </c>
      <c r="E65">
        <v>2047.5</v>
      </c>
      <c r="F65">
        <v>2022.5</v>
      </c>
      <c r="G65" s="3">
        <f t="shared" ca="1" si="0"/>
        <v>-9.5929895664124895E-3</v>
      </c>
      <c r="H65" s="3">
        <f t="shared" ca="1" si="1"/>
        <v>1.228516679457777E-2</v>
      </c>
      <c r="I65" s="3">
        <f t="shared" ref="I65" ca="1" si="42">STDEV(G46:G65)*SQRT(252)</f>
        <v>0.18247270594908216</v>
      </c>
      <c r="J65" s="3">
        <f t="shared" ca="1" si="11"/>
        <v>0.24937774364238408</v>
      </c>
      <c r="K65" s="3"/>
      <c r="L65" s="1">
        <v>42961</v>
      </c>
      <c r="M65">
        <v>2023.25</v>
      </c>
      <c r="N65">
        <v>2026</v>
      </c>
      <c r="O65">
        <v>2023.25</v>
      </c>
      <c r="P65" s="3">
        <f t="shared" ca="1" si="2"/>
        <v>-1.0203542947783832E-2</v>
      </c>
      <c r="Q65" s="3">
        <f t="shared" ca="1" si="3"/>
        <v>1.3582764328173924E-3</v>
      </c>
      <c r="U65" s="1">
        <v>42961</v>
      </c>
      <c r="V65">
        <v>2028.25</v>
      </c>
      <c r="W65">
        <v>2036</v>
      </c>
      <c r="X65">
        <v>2028.25</v>
      </c>
      <c r="Y65" s="3">
        <f t="shared" ca="1" si="4"/>
        <v>-1.0056498782865088E-2</v>
      </c>
      <c r="Z65" s="3">
        <f t="shared" ca="1" si="5"/>
        <v>3.8137463952388892E-3</v>
      </c>
      <c r="AC65" s="1">
        <v>42961</v>
      </c>
      <c r="AD65">
        <v>2030.25</v>
      </c>
      <c r="AE65">
        <v>2038</v>
      </c>
      <c r="AF65">
        <v>2030.25</v>
      </c>
      <c r="AG65" s="3">
        <f t="shared" ca="1" si="6"/>
        <v>-1.0168540909860403E-2</v>
      </c>
      <c r="AH65" s="3">
        <f t="shared" ca="1" si="7"/>
        <v>3.8099966201498468E-3</v>
      </c>
      <c r="AK65" s="1">
        <v>42961</v>
      </c>
      <c r="AL65">
        <v>2036.75</v>
      </c>
      <c r="AM65">
        <v>2042.65</v>
      </c>
      <c r="AN65">
        <v>2036.75</v>
      </c>
      <c r="AO65" s="3">
        <f t="shared" ca="1" si="8"/>
        <v>-1.0014739295071134E-2</v>
      </c>
      <c r="AP65" s="3">
        <f t="shared" ca="1" si="9"/>
        <v>2.8925842593499991E-3</v>
      </c>
    </row>
    <row r="66" spans="3:42">
      <c r="C66" s="1">
        <v>42962</v>
      </c>
      <c r="D66">
        <v>2049</v>
      </c>
      <c r="E66">
        <v>2056</v>
      </c>
      <c r="F66">
        <v>2020</v>
      </c>
      <c r="G66" s="3">
        <f t="shared" ca="1" si="0"/>
        <v>1.2770311071154295E-2</v>
      </c>
      <c r="H66" s="3">
        <f t="shared" ca="1" si="1"/>
        <v>1.7664836179805299E-2</v>
      </c>
      <c r="I66" s="3">
        <f t="shared" ref="I66" ca="1" si="43">STDEV(G47:G66)*SQRT(252)</f>
        <v>0.18548539547590273</v>
      </c>
      <c r="J66" s="3">
        <f t="shared" ca="1" si="11"/>
        <v>0.24579632780823638</v>
      </c>
      <c r="K66" s="3"/>
      <c r="L66" s="1">
        <v>42962</v>
      </c>
      <c r="M66">
        <v>2049</v>
      </c>
      <c r="N66">
        <v>2056</v>
      </c>
      <c r="O66">
        <v>2020</v>
      </c>
      <c r="P66" s="3">
        <f t="shared" ca="1" si="2"/>
        <v>1.2646739863088454E-2</v>
      </c>
      <c r="Q66" s="3">
        <f t="shared" ca="1" si="3"/>
        <v>1.7664836179805299E-2</v>
      </c>
      <c r="U66" s="1">
        <v>42962</v>
      </c>
      <c r="V66">
        <v>2054</v>
      </c>
      <c r="W66">
        <v>2054</v>
      </c>
      <c r="X66">
        <v>2041</v>
      </c>
      <c r="Y66" s="3">
        <f t="shared" ca="1" si="4"/>
        <v>1.2615759213329251E-2</v>
      </c>
      <c r="Z66" s="3">
        <f t="shared" ca="1" si="5"/>
        <v>6.3492276786587445E-3</v>
      </c>
      <c r="AC66" s="1">
        <v>42962</v>
      </c>
      <c r="AD66">
        <v>2056.25</v>
      </c>
      <c r="AE66">
        <v>2056.25</v>
      </c>
      <c r="AF66">
        <v>2056.1</v>
      </c>
      <c r="AG66" s="3">
        <f t="shared" ca="1" si="6"/>
        <v>1.2724997351161827E-2</v>
      </c>
      <c r="AH66" s="3">
        <f t="shared" ca="1" si="7"/>
        <v>7.2950989126168366E-5</v>
      </c>
      <c r="AK66" s="1">
        <v>42962</v>
      </c>
      <c r="AL66">
        <v>2063.75</v>
      </c>
      <c r="AM66">
        <v>2063.9499999999998</v>
      </c>
      <c r="AN66">
        <v>2063.75</v>
      </c>
      <c r="AO66" s="3">
        <f t="shared" ca="1" si="8"/>
        <v>1.3169316043586701E-2</v>
      </c>
      <c r="AP66" s="3">
        <f t="shared" ca="1" si="9"/>
        <v>9.6906267488628642E-5</v>
      </c>
    </row>
    <row r="67" spans="3:42">
      <c r="C67" s="1">
        <v>42963</v>
      </c>
      <c r="D67">
        <v>2094</v>
      </c>
      <c r="E67">
        <v>2104.5</v>
      </c>
      <c r="F67">
        <v>2045</v>
      </c>
      <c r="G67" s="3">
        <f t="shared" ca="1" si="0"/>
        <v>2.172424319158249E-2</v>
      </c>
      <c r="H67" s="3">
        <f t="shared" ca="1" si="1"/>
        <v>2.8680119733723131E-2</v>
      </c>
      <c r="I67" s="3">
        <f t="shared" ref="I67" ca="1" si="44">STDEV(G48:G67)*SQRT(252)</f>
        <v>0.1938395183711154</v>
      </c>
      <c r="J67" s="3">
        <f t="shared" ca="1" si="11"/>
        <v>0.25367455746440326</v>
      </c>
      <c r="K67" s="3"/>
      <c r="L67" s="1">
        <v>42963</v>
      </c>
      <c r="M67">
        <v>2094.25</v>
      </c>
      <c r="N67">
        <v>2094.4</v>
      </c>
      <c r="O67">
        <v>2069.5</v>
      </c>
      <c r="P67" s="3">
        <f t="shared" ca="1" si="2"/>
        <v>2.1843624795019202E-2</v>
      </c>
      <c r="Q67" s="3">
        <f t="shared" ca="1" si="3"/>
        <v>1.1960083966848323E-2</v>
      </c>
      <c r="U67" s="1">
        <v>42963</v>
      </c>
      <c r="V67">
        <v>2098.75</v>
      </c>
      <c r="W67">
        <v>2098.75</v>
      </c>
      <c r="X67">
        <v>2071</v>
      </c>
      <c r="Y67" s="3">
        <f t="shared" ca="1" si="4"/>
        <v>2.1552817903246965E-2</v>
      </c>
      <c r="Z67" s="3">
        <f t="shared" ca="1" si="5"/>
        <v>1.3310346996166384E-2</v>
      </c>
      <c r="AC67" s="1">
        <v>42963</v>
      </c>
      <c r="AD67">
        <v>2101</v>
      </c>
      <c r="AE67">
        <v>2101.1999999999998</v>
      </c>
      <c r="AF67">
        <v>2100.85</v>
      </c>
      <c r="AG67" s="3">
        <f t="shared" ca="1" si="6"/>
        <v>2.1529486331318372E-2</v>
      </c>
      <c r="AH67" s="3">
        <f t="shared" ca="1" si="7"/>
        <v>1.6658535753230258E-4</v>
      </c>
      <c r="AK67" s="1">
        <v>42963</v>
      </c>
      <c r="AL67">
        <v>2108</v>
      </c>
      <c r="AM67">
        <v>2108.1999999999998</v>
      </c>
      <c r="AN67">
        <v>2081</v>
      </c>
      <c r="AO67" s="3">
        <f t="shared" ca="1" si="8"/>
        <v>2.1214914426915199E-2</v>
      </c>
      <c r="AP67" s="3">
        <f t="shared" ca="1" si="9"/>
        <v>1.2985955427454217E-2</v>
      </c>
    </row>
    <row r="68" spans="3:42">
      <c r="C68" s="1">
        <v>42964</v>
      </c>
      <c r="D68">
        <v>2076</v>
      </c>
      <c r="E68">
        <v>2112</v>
      </c>
      <c r="F68">
        <v>2065</v>
      </c>
      <c r="G68" s="3">
        <f t="shared" ca="1" si="0"/>
        <v>-8.6331471447028893E-3</v>
      </c>
      <c r="H68" s="3">
        <f t="shared" ca="1" si="1"/>
        <v>2.2505139431018891E-2</v>
      </c>
      <c r="I68" s="3">
        <f t="shared" ref="I68" ca="1" si="45">STDEV(G49:G68)*SQRT(252)</f>
        <v>0.19826776413968833</v>
      </c>
      <c r="J68" s="3">
        <f t="shared" ca="1" si="11"/>
        <v>0.26107703261374232</v>
      </c>
      <c r="K68" s="3"/>
      <c r="L68" s="1">
        <v>42964</v>
      </c>
      <c r="M68">
        <v>2076.25</v>
      </c>
      <c r="N68">
        <v>2094.85</v>
      </c>
      <c r="O68">
        <v>2072</v>
      </c>
      <c r="P68" s="3">
        <f t="shared" ca="1" si="2"/>
        <v>-8.6321121064142359E-3</v>
      </c>
      <c r="Q68" s="3">
        <f t="shared" ca="1" si="3"/>
        <v>1.0967627368184423E-2</v>
      </c>
      <c r="U68" s="1">
        <v>42964</v>
      </c>
      <c r="V68">
        <v>2081.25</v>
      </c>
      <c r="W68">
        <v>2090</v>
      </c>
      <c r="X68">
        <v>2081.4</v>
      </c>
      <c r="Y68" s="3">
        <f t="shared" ca="1" si="4"/>
        <v>-8.3732546629966074E-3</v>
      </c>
      <c r="Z68" s="3">
        <f t="shared" ca="1" si="5"/>
        <v>4.1233217550976382E-3</v>
      </c>
      <c r="AC68" s="1">
        <v>42964</v>
      </c>
      <c r="AD68">
        <v>2084.25</v>
      </c>
      <c r="AE68">
        <v>2086.11</v>
      </c>
      <c r="AF68">
        <v>2086.11</v>
      </c>
      <c r="AG68" s="3">
        <f t="shared" ca="1" si="6"/>
        <v>-8.0043435542775845E-3</v>
      </c>
      <c r="AH68" s="3">
        <f t="shared" ca="1" si="7"/>
        <v>0</v>
      </c>
      <c r="AK68" s="1">
        <v>42964</v>
      </c>
      <c r="AL68">
        <v>2091.25</v>
      </c>
      <c r="AM68">
        <v>2091.25</v>
      </c>
      <c r="AN68">
        <v>2087</v>
      </c>
      <c r="AO68" s="3">
        <f t="shared" ca="1" si="8"/>
        <v>-7.977657360219206E-3</v>
      </c>
      <c r="AP68" s="3">
        <f t="shared" ca="1" si="9"/>
        <v>2.0343452238330275E-3</v>
      </c>
    </row>
    <row r="69" spans="3:42">
      <c r="C69" s="1">
        <v>42965</v>
      </c>
      <c r="D69">
        <v>2062</v>
      </c>
      <c r="E69">
        <v>2100</v>
      </c>
      <c r="F69">
        <v>2057.5</v>
      </c>
      <c r="G69" s="3">
        <f t="shared" ca="1" si="0"/>
        <v>-6.7665797088739725E-3</v>
      </c>
      <c r="H69" s="3">
        <f t="shared" ca="1" si="1"/>
        <v>2.044569116028952E-2</v>
      </c>
      <c r="I69" s="3">
        <f t="shared" ref="I69" ca="1" si="46">STDEV(G50:G69)*SQRT(252)</f>
        <v>0.20121134799855256</v>
      </c>
      <c r="J69" s="3">
        <f t="shared" ca="1" si="11"/>
        <v>0.26964698014784183</v>
      </c>
      <c r="K69" s="3"/>
      <c r="L69" s="1">
        <v>42965</v>
      </c>
      <c r="M69">
        <v>2062.25</v>
      </c>
      <c r="N69">
        <v>2089.5</v>
      </c>
      <c r="O69">
        <v>2061.75</v>
      </c>
      <c r="P69" s="3">
        <f t="shared" ca="1" si="2"/>
        <v>-6.7657621866635985E-3</v>
      </c>
      <c r="Q69" s="3">
        <f t="shared" ca="1" si="3"/>
        <v>1.3369666174505234E-2</v>
      </c>
      <c r="U69" s="1">
        <v>42965</v>
      </c>
      <c r="V69">
        <v>2067.5</v>
      </c>
      <c r="W69">
        <v>2091</v>
      </c>
      <c r="X69">
        <v>2067.65</v>
      </c>
      <c r="Y69" s="3">
        <f t="shared" ca="1" si="4"/>
        <v>-6.6285268309075841E-3</v>
      </c>
      <c r="Z69" s="3">
        <f t="shared" ca="1" si="5"/>
        <v>1.1229723771943622E-2</v>
      </c>
      <c r="AC69" s="1">
        <v>42965</v>
      </c>
      <c r="AD69">
        <v>2070.5</v>
      </c>
      <c r="AE69" t="s">
        <v>9</v>
      </c>
      <c r="AF69" t="s">
        <v>9</v>
      </c>
      <c r="AG69" s="3">
        <f t="shared" ca="1" si="6"/>
        <v>-6.6189543051008515E-3</v>
      </c>
      <c r="AH69" s="3" t="e">
        <f t="shared" ca="1" si="7"/>
        <v>#VALUE!</v>
      </c>
      <c r="AK69" s="1">
        <v>42965</v>
      </c>
      <c r="AL69">
        <v>2077.5</v>
      </c>
      <c r="AM69">
        <v>2077.5</v>
      </c>
      <c r="AN69">
        <v>2077.5</v>
      </c>
      <c r="AO69" s="3">
        <f t="shared" ca="1" si="8"/>
        <v>-6.5967255714304649E-3</v>
      </c>
      <c r="AP69" s="3">
        <f t="shared" ca="1" si="9"/>
        <v>0</v>
      </c>
    </row>
    <row r="70" spans="3:42">
      <c r="C70" s="1">
        <v>42968</v>
      </c>
      <c r="D70">
        <v>2081</v>
      </c>
      <c r="E70">
        <v>2098.5</v>
      </c>
      <c r="F70">
        <v>2063</v>
      </c>
      <c r="G70" s="3">
        <f t="shared" ca="1" si="0"/>
        <v>9.1721618167292917E-3</v>
      </c>
      <c r="H70" s="3">
        <f t="shared" ca="1" si="1"/>
        <v>1.7061569702393729E-2</v>
      </c>
      <c r="I70" s="3">
        <f t="shared" ref="I70" ca="1" si="47">STDEV(G51:G70)*SQRT(252)</f>
        <v>0.2010950275180978</v>
      </c>
      <c r="J70" s="3">
        <f t="shared" ca="1" si="11"/>
        <v>0.27390054219294607</v>
      </c>
      <c r="K70" s="3"/>
      <c r="L70" s="1">
        <v>42968</v>
      </c>
      <c r="M70">
        <v>2080.25</v>
      </c>
      <c r="N70">
        <v>2080.4</v>
      </c>
      <c r="O70">
        <v>2075</v>
      </c>
      <c r="P70" s="3">
        <f t="shared" ca="1" si="2"/>
        <v>8.6904590396981347E-3</v>
      </c>
      <c r="Q70" s="3">
        <f t="shared" ca="1" si="3"/>
        <v>2.5990292341186972E-3</v>
      </c>
      <c r="U70" s="1">
        <v>42968</v>
      </c>
      <c r="V70">
        <v>2085.5</v>
      </c>
      <c r="W70">
        <v>2099.5</v>
      </c>
      <c r="X70">
        <v>2076</v>
      </c>
      <c r="Y70" s="3">
        <f t="shared" ca="1" si="4"/>
        <v>8.6684867391535001E-3</v>
      </c>
      <c r="Z70" s="3">
        <f t="shared" ca="1" si="5"/>
        <v>1.1256255838468784E-2</v>
      </c>
      <c r="AC70" s="1">
        <v>42968</v>
      </c>
      <c r="AD70">
        <v>2088.5</v>
      </c>
      <c r="AE70">
        <v>2083</v>
      </c>
      <c r="AF70">
        <v>2083</v>
      </c>
      <c r="AG70" s="3">
        <f t="shared" ca="1" si="6"/>
        <v>8.6559809516080881E-3</v>
      </c>
      <c r="AH70" s="3">
        <f t="shared" ca="1" si="7"/>
        <v>0</v>
      </c>
      <c r="AK70" s="1">
        <v>42968</v>
      </c>
      <c r="AL70">
        <v>2095.5</v>
      </c>
      <c r="AM70" t="s">
        <v>9</v>
      </c>
      <c r="AN70" t="s">
        <v>9</v>
      </c>
      <c r="AO70" s="3">
        <f t="shared" ca="1" si="8"/>
        <v>8.626940635522844E-3</v>
      </c>
      <c r="AP70" s="3" t="e">
        <f t="shared" ca="1" si="9"/>
        <v>#VALUE!</v>
      </c>
    </row>
    <row r="71" spans="3:42">
      <c r="C71" s="1">
        <v>42969</v>
      </c>
      <c r="D71">
        <v>2075</v>
      </c>
      <c r="E71">
        <v>2088</v>
      </c>
      <c r="F71">
        <v>2063.5</v>
      </c>
      <c r="G71" s="3">
        <f t="shared" ca="1" si="0"/>
        <v>-2.8873937288357051E-3</v>
      </c>
      <c r="H71" s="3">
        <f t="shared" ca="1" si="1"/>
        <v>1.1803099809892853E-2</v>
      </c>
      <c r="I71" s="3">
        <f t="shared" ref="I71" ca="1" si="48">STDEV(G52:G71)*SQRT(252)</f>
        <v>0.2016497447529689</v>
      </c>
      <c r="J71" s="3">
        <f t="shared" ca="1" si="11"/>
        <v>0.27671150914817572</v>
      </c>
      <c r="K71" s="3"/>
      <c r="L71" s="1">
        <v>42969</v>
      </c>
      <c r="M71">
        <v>2074.25</v>
      </c>
      <c r="N71">
        <v>2077.8000000000002</v>
      </c>
      <c r="O71">
        <v>2074.25</v>
      </c>
      <c r="P71" s="3">
        <f t="shared" ca="1" si="2"/>
        <v>-2.8884362361445968E-3</v>
      </c>
      <c r="Q71" s="3">
        <f t="shared" ca="1" si="3"/>
        <v>1.7099990920366314E-3</v>
      </c>
      <c r="U71" s="1">
        <v>42969</v>
      </c>
      <c r="V71">
        <v>2079.25</v>
      </c>
      <c r="W71">
        <v>2079.4</v>
      </c>
      <c r="X71">
        <v>2079.1</v>
      </c>
      <c r="Y71" s="3">
        <f t="shared" ca="1" si="4"/>
        <v>-3.0013828882030141E-3</v>
      </c>
      <c r="Z71" s="3">
        <f t="shared" ca="1" si="5"/>
        <v>1.4428279452726185E-4</v>
      </c>
      <c r="AC71" s="1">
        <v>42969</v>
      </c>
      <c r="AD71">
        <v>2082.25</v>
      </c>
      <c r="AE71">
        <v>2082.4</v>
      </c>
      <c r="AF71">
        <v>2082.1</v>
      </c>
      <c r="AG71" s="3">
        <f t="shared" ca="1" si="6"/>
        <v>-2.9970651217801547E-3</v>
      </c>
      <c r="AH71" s="3">
        <f t="shared" ca="1" si="7"/>
        <v>1.4407491920722296E-4</v>
      </c>
      <c r="AK71" s="1">
        <v>42969</v>
      </c>
      <c r="AL71">
        <v>2089.5</v>
      </c>
      <c r="AM71">
        <v>2099</v>
      </c>
      <c r="AN71">
        <v>2089.5</v>
      </c>
      <c r="AO71" s="3">
        <f t="shared" ca="1" si="8"/>
        <v>-2.8673854771560912E-3</v>
      </c>
      <c r="AP71" s="3">
        <f t="shared" ca="1" si="9"/>
        <v>4.5362379326628673E-3</v>
      </c>
    </row>
    <row r="72" spans="3:42">
      <c r="C72" s="1">
        <v>42970</v>
      </c>
      <c r="D72">
        <v>2097</v>
      </c>
      <c r="E72">
        <v>2122</v>
      </c>
      <c r="F72">
        <v>2056.5</v>
      </c>
      <c r="G72" s="3">
        <f t="shared" ca="1" si="0"/>
        <v>1.0546598237121247E-2</v>
      </c>
      <c r="H72" s="3">
        <f t="shared" ca="1" si="1"/>
        <v>3.1353531503449758E-2</v>
      </c>
      <c r="I72" s="3">
        <f t="shared" ref="I72" ca="1" si="49">STDEV(G53:G72)*SQRT(252)</f>
        <v>0.20297292264027278</v>
      </c>
      <c r="J72" s="3">
        <f t="shared" ca="1" si="11"/>
        <v>0.28513282447737942</v>
      </c>
      <c r="K72" s="3"/>
      <c r="L72" s="1">
        <v>42970</v>
      </c>
      <c r="M72">
        <v>2096.25</v>
      </c>
      <c r="N72">
        <v>2096.4</v>
      </c>
      <c r="O72">
        <v>2072</v>
      </c>
      <c r="P72" s="3">
        <f t="shared" ca="1" si="2"/>
        <v>1.0550391593023824E-2</v>
      </c>
      <c r="Q72" s="3">
        <f t="shared" ca="1" si="3"/>
        <v>1.1707263548637567E-2</v>
      </c>
      <c r="U72" s="1">
        <v>42970</v>
      </c>
      <c r="V72">
        <v>2101.5</v>
      </c>
      <c r="W72">
        <v>2101.65</v>
      </c>
      <c r="X72">
        <v>2069.5</v>
      </c>
      <c r="Y72" s="3">
        <f t="shared" ca="1" si="4"/>
        <v>1.0644123696374394E-2</v>
      </c>
      <c r="Z72" s="3">
        <f t="shared" ca="1" si="5"/>
        <v>1.5415718296563146E-2</v>
      </c>
      <c r="AC72" s="1">
        <v>42970</v>
      </c>
      <c r="AD72">
        <v>2104.5</v>
      </c>
      <c r="AE72">
        <v>2104.5</v>
      </c>
      <c r="AF72">
        <v>2104.35</v>
      </c>
      <c r="AG72" s="3">
        <f t="shared" ca="1" si="6"/>
        <v>1.0628869395175392E-2</v>
      </c>
      <c r="AH72" s="3">
        <f t="shared" ca="1" si="7"/>
        <v>7.127837773434744E-5</v>
      </c>
      <c r="AK72" s="1">
        <v>42970</v>
      </c>
      <c r="AL72">
        <v>2111.75</v>
      </c>
      <c r="AM72">
        <v>2078</v>
      </c>
      <c r="AN72">
        <v>2078</v>
      </c>
      <c r="AO72" s="3">
        <f t="shared" ca="1" si="8"/>
        <v>1.0592184719635937E-2</v>
      </c>
      <c r="AP72" s="3">
        <f t="shared" ca="1" si="9"/>
        <v>0</v>
      </c>
    </row>
    <row r="73" spans="3:42">
      <c r="C73" s="1">
        <v>42971</v>
      </c>
      <c r="D73">
        <v>2106</v>
      </c>
      <c r="E73">
        <v>2122.5</v>
      </c>
      <c r="F73">
        <v>2088.5</v>
      </c>
      <c r="G73" s="3">
        <f t="shared" ca="1" si="0"/>
        <v>4.2826617920009493E-3</v>
      </c>
      <c r="H73" s="3">
        <f t="shared" ca="1" si="1"/>
        <v>1.614853424827243E-2</v>
      </c>
      <c r="I73" s="3">
        <f t="shared" ref="I73" ca="1" si="50">STDEV(G54:G73)*SQRT(252)</f>
        <v>0.20177219936804147</v>
      </c>
      <c r="J73" s="3">
        <f t="shared" ca="1" si="11"/>
        <v>0.284723067642706</v>
      </c>
      <c r="K73" s="3"/>
      <c r="L73" s="1">
        <v>42971</v>
      </c>
      <c r="M73">
        <v>2105.75</v>
      </c>
      <c r="N73">
        <v>2112.25</v>
      </c>
      <c r="O73">
        <v>2105</v>
      </c>
      <c r="P73" s="3">
        <f t="shared" ca="1" si="2"/>
        <v>4.5216640580544899E-3</v>
      </c>
      <c r="Q73" s="3">
        <f t="shared" ca="1" si="3"/>
        <v>3.438262916472418E-3</v>
      </c>
      <c r="U73" s="1">
        <v>42971</v>
      </c>
      <c r="V73">
        <v>2110.75</v>
      </c>
      <c r="W73">
        <v>2122.5</v>
      </c>
      <c r="X73">
        <v>2110.75</v>
      </c>
      <c r="Y73" s="3">
        <f t="shared" ca="1" si="4"/>
        <v>4.3919591044379053E-3</v>
      </c>
      <c r="Z73" s="3">
        <f t="shared" ca="1" si="5"/>
        <v>5.5513046358930439E-3</v>
      </c>
      <c r="AC73" s="1">
        <v>42971</v>
      </c>
      <c r="AD73">
        <v>2113.75</v>
      </c>
      <c r="AE73">
        <v>2113.75</v>
      </c>
      <c r="AF73">
        <v>2101</v>
      </c>
      <c r="AG73" s="3">
        <f t="shared" ca="1" si="6"/>
        <v>4.3857120021647232E-3</v>
      </c>
      <c r="AH73" s="3">
        <f t="shared" ca="1" si="7"/>
        <v>6.0501993677897154E-3</v>
      </c>
      <c r="AK73" s="1">
        <v>42971</v>
      </c>
      <c r="AL73">
        <v>2120.75</v>
      </c>
      <c r="AM73">
        <v>2120.75</v>
      </c>
      <c r="AN73">
        <v>2108</v>
      </c>
      <c r="AO73" s="3">
        <f t="shared" ca="1" si="8"/>
        <v>4.2528120802381901E-3</v>
      </c>
      <c r="AP73" s="3">
        <f t="shared" ca="1" si="9"/>
        <v>6.0301690265912311E-3</v>
      </c>
    </row>
    <row r="74" spans="3:42">
      <c r="C74" s="1">
        <v>42972</v>
      </c>
      <c r="D74">
        <v>2070</v>
      </c>
      <c r="E74">
        <v>2112</v>
      </c>
      <c r="F74">
        <v>2065</v>
      </c>
      <c r="G74" s="3">
        <f t="shared" ca="1" si="0"/>
        <v>-1.7241806434506103E-2</v>
      </c>
      <c r="H74" s="3">
        <f t="shared" ca="1" si="1"/>
        <v>2.2505139431018891E-2</v>
      </c>
      <c r="I74" s="3">
        <f t="shared" ref="I74" ca="1" si="51">STDEV(G55:G74)*SQRT(252)</f>
        <v>0.20329406280688617</v>
      </c>
      <c r="J74" s="3">
        <f t="shared" ca="1" si="11"/>
        <v>0.29182330136402629</v>
      </c>
      <c r="K74" s="3"/>
      <c r="L74" s="1">
        <v>42972</v>
      </c>
      <c r="M74">
        <v>2069.75</v>
      </c>
      <c r="N74">
        <v>2111</v>
      </c>
      <c r="O74">
        <v>2069.6</v>
      </c>
      <c r="P74" s="3">
        <f t="shared" ca="1" si="2"/>
        <v>-1.7243871176557825E-2</v>
      </c>
      <c r="Q74" s="3">
        <f t="shared" ca="1" si="3"/>
        <v>1.9806416976501255E-2</v>
      </c>
      <c r="U74" s="1">
        <v>42972</v>
      </c>
      <c r="V74">
        <v>2074.75</v>
      </c>
      <c r="W74" t="s">
        <v>9</v>
      </c>
      <c r="X74" t="s">
        <v>9</v>
      </c>
      <c r="Y74" s="3">
        <f t="shared" ca="1" si="4"/>
        <v>-1.7202670071051973E-2</v>
      </c>
      <c r="Z74" s="3" t="e">
        <f t="shared" ca="1" si="5"/>
        <v>#VALUE!</v>
      </c>
      <c r="AC74" s="1">
        <v>42972</v>
      </c>
      <c r="AD74">
        <v>2077.5</v>
      </c>
      <c r="AE74">
        <v>2111</v>
      </c>
      <c r="AF74">
        <v>2077.5</v>
      </c>
      <c r="AG74" s="3">
        <f t="shared" ca="1" si="6"/>
        <v>-1.7298373483186781E-2</v>
      </c>
      <c r="AH74" s="3">
        <f t="shared" ca="1" si="7"/>
        <v>1.5996521118717289E-2</v>
      </c>
      <c r="AK74" s="1">
        <v>42972</v>
      </c>
      <c r="AL74">
        <v>2084.5</v>
      </c>
      <c r="AM74">
        <v>2118</v>
      </c>
      <c r="AN74">
        <v>2084.5</v>
      </c>
      <c r="AO74" s="3">
        <f t="shared" ca="1" si="8"/>
        <v>-1.7240781366992548E-2</v>
      </c>
      <c r="AP74" s="3">
        <f t="shared" ca="1" si="9"/>
        <v>1.5943228840500142E-2</v>
      </c>
    </row>
    <row r="75" spans="3:42">
      <c r="C75" s="1">
        <v>42976</v>
      </c>
      <c r="D75">
        <v>2095</v>
      </c>
      <c r="E75">
        <v>2105</v>
      </c>
      <c r="F75">
        <v>2069</v>
      </c>
      <c r="G75" s="3">
        <f t="shared" ca="1" si="0"/>
        <v>1.2004946096823401E-2</v>
      </c>
      <c r="H75" s="3">
        <f t="shared" ca="1" si="1"/>
        <v>1.7250068370938822E-2</v>
      </c>
      <c r="I75" s="3">
        <f t="shared" ref="I75" ca="1" si="52">STDEV(G56:G75)*SQRT(252)</f>
        <v>0.2051706850906321</v>
      </c>
      <c r="J75" s="3">
        <f t="shared" ca="1" si="11"/>
        <v>0.29066640043331671</v>
      </c>
      <c r="K75" s="3"/>
      <c r="L75" s="1">
        <v>42976</v>
      </c>
      <c r="M75">
        <v>2094.25</v>
      </c>
      <c r="N75">
        <v>2094.4</v>
      </c>
      <c r="O75">
        <v>2069</v>
      </c>
      <c r="P75" s="3">
        <f t="shared" ca="1" si="2"/>
        <v>1.1767667015003603E-2</v>
      </c>
      <c r="Q75" s="3">
        <f t="shared" ca="1" si="3"/>
        <v>1.2201717410092478E-2</v>
      </c>
      <c r="U75" s="1">
        <v>42976</v>
      </c>
      <c r="V75">
        <v>2099.5</v>
      </c>
      <c r="W75">
        <v>2099.35</v>
      </c>
      <c r="X75">
        <v>2074.25</v>
      </c>
      <c r="Y75" s="3">
        <f t="shared" ca="1" si="4"/>
        <v>1.1858556645690617E-2</v>
      </c>
      <c r="Z75" s="3">
        <f t="shared" ca="1" si="5"/>
        <v>1.2028130445214599E-2</v>
      </c>
      <c r="AC75" s="1">
        <v>42976</v>
      </c>
      <c r="AD75">
        <v>2102.25</v>
      </c>
      <c r="AE75">
        <v>2110</v>
      </c>
      <c r="AF75">
        <v>2102.25</v>
      </c>
      <c r="AG75" s="3">
        <f t="shared" ca="1" si="6"/>
        <v>1.1842951983404043E-2</v>
      </c>
      <c r="AH75" s="3">
        <f t="shared" ca="1" si="7"/>
        <v>3.6797477571047471E-3</v>
      </c>
      <c r="AK75" s="1">
        <v>42976</v>
      </c>
      <c r="AL75">
        <v>2109.75</v>
      </c>
      <c r="AM75">
        <v>2109.9</v>
      </c>
      <c r="AN75">
        <v>2109.75</v>
      </c>
      <c r="AO75" s="3">
        <f t="shared" ca="1" si="8"/>
        <v>1.2040438717224404E-2</v>
      </c>
      <c r="AP75" s="3">
        <f t="shared" ca="1" si="9"/>
        <v>7.109594400645773E-5</v>
      </c>
    </row>
    <row r="76" spans="3:42">
      <c r="C76" s="1">
        <v>42977</v>
      </c>
      <c r="D76">
        <v>2087.5</v>
      </c>
      <c r="E76">
        <v>2103</v>
      </c>
      <c r="F76">
        <v>2082.5</v>
      </c>
      <c r="G76" s="3">
        <f t="shared" ca="1" si="0"/>
        <v>-3.5863756312275773E-3</v>
      </c>
      <c r="H76" s="3">
        <f t="shared" ca="1" si="1"/>
        <v>9.7958016617021165E-3</v>
      </c>
      <c r="I76" s="3">
        <f t="shared" ref="I76" ca="1" si="53">STDEV(G57:G76)*SQRT(252)</f>
        <v>0.20388778584114722</v>
      </c>
      <c r="J76" s="3">
        <f t="shared" ca="1" si="11"/>
        <v>0.29190591486027839</v>
      </c>
      <c r="K76" s="3"/>
      <c r="L76" s="1">
        <v>42977</v>
      </c>
      <c r="M76">
        <v>2086.5</v>
      </c>
      <c r="N76">
        <v>2099.15</v>
      </c>
      <c r="O76">
        <v>2086.35</v>
      </c>
      <c r="P76" s="3">
        <f t="shared" ca="1" si="2"/>
        <v>-3.7074730023116029E-3</v>
      </c>
      <c r="Q76" s="3">
        <f t="shared" ca="1" si="3"/>
        <v>6.1163731472928676E-3</v>
      </c>
      <c r="U76" s="1">
        <v>42977</v>
      </c>
      <c r="V76">
        <v>2091.75</v>
      </c>
      <c r="W76">
        <v>2096</v>
      </c>
      <c r="X76">
        <v>2091.75</v>
      </c>
      <c r="Y76" s="3">
        <f t="shared" ca="1" si="4"/>
        <v>-3.6981849485399924E-3</v>
      </c>
      <c r="Z76" s="3">
        <f t="shared" ca="1" si="5"/>
        <v>2.029730265224699E-3</v>
      </c>
      <c r="AC76" s="1">
        <v>42977</v>
      </c>
      <c r="AD76">
        <v>2094.75</v>
      </c>
      <c r="AE76">
        <v>2094.75</v>
      </c>
      <c r="AF76">
        <v>2094.75</v>
      </c>
      <c r="AG76" s="3">
        <f t="shared" ca="1" si="6"/>
        <v>-3.5739852196115603E-3</v>
      </c>
      <c r="AH76" s="3">
        <f t="shared" ca="1" si="7"/>
        <v>0</v>
      </c>
      <c r="AK76" s="1">
        <v>42977</v>
      </c>
      <c r="AL76">
        <v>2102.25</v>
      </c>
      <c r="AM76">
        <v>2102.25</v>
      </c>
      <c r="AN76">
        <v>2102.25</v>
      </c>
      <c r="AO76" s="3">
        <f t="shared" ca="1" si="8"/>
        <v>-3.5612573250685267E-3</v>
      </c>
      <c r="AP76" s="3">
        <f t="shared" ca="1" si="9"/>
        <v>0</v>
      </c>
    </row>
    <row r="77" spans="3:42">
      <c r="C77" s="1">
        <v>42978</v>
      </c>
      <c r="D77">
        <v>2117</v>
      </c>
      <c r="E77">
        <v>2139</v>
      </c>
      <c r="F77">
        <v>2086.5</v>
      </c>
      <c r="G77" s="3">
        <f t="shared" ca="1" si="0"/>
        <v>1.4032814409854715E-2</v>
      </c>
      <c r="H77" s="3">
        <f t="shared" ca="1" si="1"/>
        <v>2.485040905079838E-2</v>
      </c>
      <c r="I77" s="3">
        <f t="shared" ref="I77" ca="1" si="54">STDEV(G58:G77)*SQRT(252)</f>
        <v>0.20584732608937761</v>
      </c>
      <c r="J77" s="3">
        <f t="shared" ca="1" si="11"/>
        <v>0.30416501256025841</v>
      </c>
      <c r="K77" s="3"/>
      <c r="L77" s="1">
        <v>42978</v>
      </c>
      <c r="M77">
        <v>2116</v>
      </c>
      <c r="N77">
        <v>2130</v>
      </c>
      <c r="O77">
        <v>2093.75</v>
      </c>
      <c r="P77" s="3">
        <f t="shared" ca="1" si="2"/>
        <v>1.4039492946582787E-2</v>
      </c>
      <c r="Q77" s="3">
        <f t="shared" ca="1" si="3"/>
        <v>1.716526313009421E-2</v>
      </c>
      <c r="U77" s="1">
        <v>42978</v>
      </c>
      <c r="V77">
        <v>2121.5</v>
      </c>
      <c r="W77">
        <v>2134.85</v>
      </c>
      <c r="X77">
        <v>2100.5</v>
      </c>
      <c r="Y77" s="3">
        <f t="shared" ca="1" si="4"/>
        <v>1.4122349466671562E-2</v>
      </c>
      <c r="Z77" s="3">
        <f t="shared" ca="1" si="5"/>
        <v>1.6220974973865421E-2</v>
      </c>
      <c r="AC77" s="1">
        <v>42978</v>
      </c>
      <c r="AD77">
        <v>2124.5</v>
      </c>
      <c r="AE77">
        <v>2124.5</v>
      </c>
      <c r="AF77">
        <v>2124.5</v>
      </c>
      <c r="AG77" s="3">
        <f t="shared" ca="1" si="6"/>
        <v>1.4102266061470478E-2</v>
      </c>
      <c r="AH77" s="3">
        <f t="shared" ca="1" si="7"/>
        <v>0</v>
      </c>
      <c r="AK77" s="1">
        <v>42978</v>
      </c>
      <c r="AL77">
        <v>2131.75</v>
      </c>
      <c r="AM77">
        <v>2131.9</v>
      </c>
      <c r="AN77">
        <v>2131.6</v>
      </c>
      <c r="AO77" s="3">
        <f t="shared" ca="1" si="8"/>
        <v>1.3935038909151591E-2</v>
      </c>
      <c r="AP77" s="3">
        <f t="shared" ca="1" si="9"/>
        <v>1.4072944786916756E-4</v>
      </c>
    </row>
    <row r="78" spans="3:42">
      <c r="C78" s="1">
        <v>42979</v>
      </c>
      <c r="D78">
        <v>2136</v>
      </c>
      <c r="E78">
        <v>2145</v>
      </c>
      <c r="F78">
        <v>2120</v>
      </c>
      <c r="G78" s="3">
        <f t="shared" ca="1" si="0"/>
        <v>8.9349289452203828E-3</v>
      </c>
      <c r="H78" s="3">
        <f t="shared" ca="1" si="1"/>
        <v>1.1723463696059234E-2</v>
      </c>
      <c r="I78" s="3">
        <f t="shared" ref="I78" ca="1" si="55">STDEV(G59:G78)*SQRT(252)</f>
        <v>0.20289550111218727</v>
      </c>
      <c r="J78" s="3">
        <f t="shared" ca="1" si="11"/>
        <v>0.30201729515266884</v>
      </c>
      <c r="K78" s="3"/>
      <c r="L78" s="1">
        <v>42979</v>
      </c>
      <c r="M78">
        <v>2134.5</v>
      </c>
      <c r="N78">
        <v>2137.25</v>
      </c>
      <c r="O78">
        <v>2125</v>
      </c>
      <c r="P78" s="3">
        <f t="shared" ca="1" si="2"/>
        <v>8.7049132198266412E-3</v>
      </c>
      <c r="Q78" s="3">
        <f t="shared" ca="1" si="3"/>
        <v>5.7481535478258244E-3</v>
      </c>
      <c r="U78" s="1">
        <v>42979</v>
      </c>
      <c r="V78">
        <v>2140</v>
      </c>
      <c r="W78">
        <v>2142.75</v>
      </c>
      <c r="X78">
        <v>2131</v>
      </c>
      <c r="Y78" s="3">
        <f t="shared" ca="1" si="4"/>
        <v>8.6824433735175916E-3</v>
      </c>
      <c r="Z78" s="3">
        <f t="shared" ca="1" si="5"/>
        <v>5.4986976803749225E-3</v>
      </c>
      <c r="AC78" s="1">
        <v>42979</v>
      </c>
      <c r="AD78">
        <v>2143</v>
      </c>
      <c r="AE78">
        <v>2145.15</v>
      </c>
      <c r="AF78">
        <v>2143</v>
      </c>
      <c r="AG78" s="3">
        <f t="shared" ca="1" si="6"/>
        <v>8.6702359187106753E-3</v>
      </c>
      <c r="AH78" s="3">
        <f t="shared" ca="1" si="7"/>
        <v>1.0027635134771092E-3</v>
      </c>
      <c r="AK78" s="1">
        <v>42979</v>
      </c>
      <c r="AL78">
        <v>2150.25</v>
      </c>
      <c r="AM78">
        <v>2150.25</v>
      </c>
      <c r="AN78">
        <v>2150.25</v>
      </c>
      <c r="AO78" s="3">
        <f t="shared" ca="1" si="8"/>
        <v>8.6408758094300327E-3</v>
      </c>
      <c r="AP78" s="3">
        <f t="shared" ca="1" si="9"/>
        <v>0</v>
      </c>
    </row>
    <row r="79" spans="3:42">
      <c r="C79" s="1">
        <v>42982</v>
      </c>
      <c r="D79">
        <v>2119.5</v>
      </c>
      <c r="E79">
        <v>2143.5</v>
      </c>
      <c r="F79">
        <v>2103</v>
      </c>
      <c r="G79" s="3">
        <f t="shared" ref="G79:G94" ca="1" si="56">LN(D79/D78)</f>
        <v>-7.7547092873936404E-3</v>
      </c>
      <c r="H79" s="3">
        <f t="shared" ref="H79:H94" ca="1" si="57">LN(E79/F79)</f>
        <v>1.9075110335332005E-2</v>
      </c>
      <c r="I79" s="3">
        <f t="shared" ref="I79" ca="1" si="58">STDEV(G60:G79)*SQRT(252)</f>
        <v>0.20625784235832428</v>
      </c>
      <c r="J79" s="3">
        <f t="shared" ca="1" si="11"/>
        <v>0.30777945168768878</v>
      </c>
      <c r="K79" s="3"/>
      <c r="L79" s="1">
        <v>42982</v>
      </c>
      <c r="M79">
        <v>2117</v>
      </c>
      <c r="N79">
        <v>2117.25</v>
      </c>
      <c r="O79">
        <v>2115</v>
      </c>
      <c r="P79" s="3">
        <f t="shared" ref="P79:P94" ca="1" si="59">LN(M79/M78)</f>
        <v>-8.2324350631515792E-3</v>
      </c>
      <c r="Q79" s="3">
        <f t="shared" ref="Q79:Q94" ca="1" si="60">LN(N79/O79)</f>
        <v>1.0632643213300838E-3</v>
      </c>
      <c r="U79" s="1">
        <v>42982</v>
      </c>
      <c r="V79">
        <v>2123</v>
      </c>
      <c r="W79">
        <v>2126</v>
      </c>
      <c r="X79">
        <v>2118</v>
      </c>
      <c r="Y79" s="3">
        <f t="shared" ref="Y79:Y94" ca="1" si="61">LN(V79/V78)</f>
        <v>-7.9756463126410548E-3</v>
      </c>
      <c r="Z79" s="3">
        <f t="shared" ref="Z79:Z94" ca="1" si="62">LN(W79/X79)</f>
        <v>3.7700327405413886E-3</v>
      </c>
      <c r="AC79" s="1">
        <v>42982</v>
      </c>
      <c r="AD79">
        <v>2126</v>
      </c>
      <c r="AE79" t="s">
        <v>9</v>
      </c>
      <c r="AF79" t="s">
        <v>9</v>
      </c>
      <c r="AG79" s="3">
        <f t="shared" ref="AG79:AG94" ca="1" si="63">LN(AD79/AD78)</f>
        <v>-7.9644365716837768E-3</v>
      </c>
      <c r="AH79" s="3" t="e">
        <f t="shared" ref="AH79:AH94" ca="1" si="64">LN(AE79/AF79)</f>
        <v>#VALUE!</v>
      </c>
      <c r="AK79" s="1">
        <v>42982</v>
      </c>
      <c r="AL79">
        <v>2133</v>
      </c>
      <c r="AM79" t="s">
        <v>9</v>
      </c>
      <c r="AN79" t="s">
        <v>9</v>
      </c>
      <c r="AO79" s="3">
        <f t="shared" ref="AO79:AO94" ca="1" si="65">LN(AL79/AL78)</f>
        <v>-8.0546749602383848E-3</v>
      </c>
      <c r="AP79" s="3" t="e">
        <f t="shared" ref="AP79:AP94" ca="1" si="66">LN(AM79/AN79)</f>
        <v>#VALUE!</v>
      </c>
    </row>
    <row r="80" spans="3:42">
      <c r="C80" s="1">
        <v>42983</v>
      </c>
      <c r="D80">
        <v>2096</v>
      </c>
      <c r="E80">
        <v>2123</v>
      </c>
      <c r="F80">
        <v>2087</v>
      </c>
      <c r="G80" s="3">
        <f t="shared" ca="1" si="56"/>
        <v>-1.1149445351759013E-2</v>
      </c>
      <c r="H80" s="3">
        <f t="shared" ca="1" si="57"/>
        <v>1.7102554626055429E-2</v>
      </c>
      <c r="I80" s="3">
        <f t="shared" ref="I80" ca="1" si="67">STDEV(G61:G80)*SQRT(252)</f>
        <v>0.19599913666295379</v>
      </c>
      <c r="J80" s="3">
        <f t="shared" ca="1" si="11"/>
        <v>0.31378800895685027</v>
      </c>
      <c r="K80" s="3"/>
      <c r="L80" s="1">
        <v>42983</v>
      </c>
      <c r="M80">
        <v>2093</v>
      </c>
      <c r="N80">
        <v>2111.5</v>
      </c>
      <c r="O80">
        <v>2092.75</v>
      </c>
      <c r="P80" s="3">
        <f t="shared" ca="1" si="59"/>
        <v>-1.1401548688865381E-2</v>
      </c>
      <c r="Q80" s="3">
        <f t="shared" ca="1" si="60"/>
        <v>8.9196048338325215E-3</v>
      </c>
      <c r="U80" s="1">
        <v>42983</v>
      </c>
      <c r="V80">
        <v>2099.25</v>
      </c>
      <c r="W80">
        <v>2111.5</v>
      </c>
      <c r="X80">
        <v>2099.25</v>
      </c>
      <c r="Y80" s="3">
        <f t="shared" ca="1" si="61"/>
        <v>-1.1250044639583465E-2</v>
      </c>
      <c r="Z80" s="3">
        <f t="shared" ca="1" si="62"/>
        <v>5.8184573103256011E-3</v>
      </c>
      <c r="AC80" s="1">
        <v>42983</v>
      </c>
      <c r="AD80">
        <v>2102.25</v>
      </c>
      <c r="AE80">
        <v>2102.25</v>
      </c>
      <c r="AF80">
        <v>2102.1</v>
      </c>
      <c r="AG80" s="3">
        <f t="shared" ca="1" si="63"/>
        <v>-1.1234080188885926E-2</v>
      </c>
      <c r="AH80" s="3">
        <f t="shared" ca="1" si="64"/>
        <v>7.1354668409459341E-5</v>
      </c>
      <c r="AK80" s="1">
        <v>42983</v>
      </c>
      <c r="AL80">
        <v>2109.75</v>
      </c>
      <c r="AM80">
        <v>2109.75</v>
      </c>
      <c r="AN80">
        <v>2109.75</v>
      </c>
      <c r="AO80" s="3">
        <f t="shared" ca="1" si="65"/>
        <v>-1.0959982433274644E-2</v>
      </c>
      <c r="AP80" s="3">
        <f t="shared" ca="1" si="66"/>
        <v>0</v>
      </c>
    </row>
    <row r="81" spans="3:42">
      <c r="C81" s="1">
        <v>42984</v>
      </c>
      <c r="D81">
        <v>2104.5</v>
      </c>
      <c r="E81">
        <v>2115</v>
      </c>
      <c r="F81">
        <v>2072</v>
      </c>
      <c r="G81" s="3">
        <f t="shared" ca="1" si="56"/>
        <v>4.0471427696924739E-3</v>
      </c>
      <c r="H81" s="3">
        <f t="shared" ca="1" si="57"/>
        <v>2.0540488101004652E-2</v>
      </c>
      <c r="I81" s="3">
        <f t="shared" ref="I81" ca="1" si="68">STDEV(G62:G81)*SQRT(252)</f>
        <v>0.16151698728495842</v>
      </c>
      <c r="J81" s="3">
        <f t="shared" ca="1" si="11"/>
        <v>0.30149118645805706</v>
      </c>
      <c r="K81" s="3"/>
      <c r="L81" s="1">
        <v>42984</v>
      </c>
      <c r="M81">
        <v>2101.25</v>
      </c>
      <c r="N81">
        <v>2101.5</v>
      </c>
      <c r="O81">
        <v>2080.5</v>
      </c>
      <c r="P81" s="3">
        <f t="shared" ca="1" si="59"/>
        <v>3.9339622768256371E-3</v>
      </c>
      <c r="Q81" s="3">
        <f t="shared" ca="1" si="60"/>
        <v>1.0043126022175523E-2</v>
      </c>
      <c r="U81" s="1">
        <v>42984</v>
      </c>
      <c r="V81">
        <v>2107.75</v>
      </c>
      <c r="W81">
        <v>2111</v>
      </c>
      <c r="X81">
        <v>2085.5</v>
      </c>
      <c r="Y81" s="3">
        <f t="shared" ca="1" si="61"/>
        <v>4.0408897391123353E-3</v>
      </c>
      <c r="Z81" s="3">
        <f t="shared" ca="1" si="62"/>
        <v>1.2153134211320599E-2</v>
      </c>
      <c r="AC81" s="1">
        <v>42984</v>
      </c>
      <c r="AD81">
        <v>2111.25</v>
      </c>
      <c r="AE81">
        <v>2111.25</v>
      </c>
      <c r="AF81">
        <v>2111.1</v>
      </c>
      <c r="AG81" s="3">
        <f t="shared" ca="1" si="63"/>
        <v>4.2719894090024408E-3</v>
      </c>
      <c r="AH81" s="3">
        <f t="shared" ca="1" si="64"/>
        <v>7.1050481396876334E-5</v>
      </c>
      <c r="AK81" s="1">
        <v>42984</v>
      </c>
      <c r="AL81">
        <v>2120.25</v>
      </c>
      <c r="AM81">
        <v>2120.25</v>
      </c>
      <c r="AN81">
        <v>2120.25</v>
      </c>
      <c r="AO81" s="3">
        <f t="shared" ca="1" si="65"/>
        <v>4.9645492037335209E-3</v>
      </c>
      <c r="AP81" s="3">
        <f t="shared" ca="1" si="66"/>
        <v>0</v>
      </c>
    </row>
    <row r="82" spans="3:42">
      <c r="C82" s="1">
        <v>42985</v>
      </c>
      <c r="D82">
        <v>2107</v>
      </c>
      <c r="E82">
        <v>2119</v>
      </c>
      <c r="F82">
        <v>2088</v>
      </c>
      <c r="G82" s="3">
        <f t="shared" ca="1" si="56"/>
        <v>1.1872255935636556E-3</v>
      </c>
      <c r="H82" s="3">
        <f t="shared" ca="1" si="57"/>
        <v>1.4737609265769801E-2</v>
      </c>
      <c r="I82" s="3">
        <f t="shared" ref="I82" ca="1" si="69">STDEV(G63:G82)*SQRT(252)</f>
        <v>0.16114201363598724</v>
      </c>
      <c r="J82" s="3">
        <f t="shared" ca="1" si="11"/>
        <v>0.28732476732383688</v>
      </c>
      <c r="K82" s="3"/>
      <c r="L82" s="1">
        <v>42985</v>
      </c>
      <c r="M82">
        <v>2103.25</v>
      </c>
      <c r="N82">
        <v>2103.4</v>
      </c>
      <c r="O82">
        <v>2090</v>
      </c>
      <c r="P82" s="3">
        <f t="shared" ca="1" si="59"/>
        <v>9.5136170809770977E-4</v>
      </c>
      <c r="Q82" s="3">
        <f t="shared" ca="1" si="60"/>
        <v>6.3910171270714911E-3</v>
      </c>
      <c r="U82" s="1">
        <v>42985</v>
      </c>
      <c r="V82">
        <v>2110.5</v>
      </c>
      <c r="W82">
        <v>2113.5</v>
      </c>
      <c r="X82">
        <v>2097</v>
      </c>
      <c r="Y82" s="3">
        <f t="shared" ca="1" si="61"/>
        <v>1.3038584197683659E-3</v>
      </c>
      <c r="Z82" s="3">
        <f t="shared" ca="1" si="62"/>
        <v>7.8375891049246253E-3</v>
      </c>
      <c r="AC82" s="1">
        <v>42985</v>
      </c>
      <c r="AD82">
        <v>2114.5</v>
      </c>
      <c r="AE82">
        <v>2114.65</v>
      </c>
      <c r="AF82">
        <v>2114.5</v>
      </c>
      <c r="AG82" s="3">
        <f t="shared" ca="1" si="63"/>
        <v>1.5381887905334703E-3</v>
      </c>
      <c r="AH82" s="3">
        <f t="shared" ca="1" si="64"/>
        <v>7.0936240172651095E-5</v>
      </c>
      <c r="AK82" s="1">
        <v>42985</v>
      </c>
      <c r="AL82">
        <v>2123.75</v>
      </c>
      <c r="AM82">
        <v>2123.75</v>
      </c>
      <c r="AN82">
        <v>2123.75</v>
      </c>
      <c r="AO82" s="3">
        <f t="shared" ca="1" si="65"/>
        <v>1.649387744332419E-3</v>
      </c>
      <c r="AP82" s="3">
        <f t="shared" ca="1" si="66"/>
        <v>0</v>
      </c>
    </row>
    <row r="83" spans="3:42">
      <c r="C83" s="1">
        <v>42986</v>
      </c>
      <c r="D83">
        <v>2099</v>
      </c>
      <c r="E83">
        <v>2124</v>
      </c>
      <c r="F83">
        <v>2085</v>
      </c>
      <c r="G83" s="3">
        <f t="shared" ca="1" si="56"/>
        <v>-3.8040939835560705E-3</v>
      </c>
      <c r="H83" s="3">
        <f t="shared" ca="1" si="57"/>
        <v>1.8532248128927689E-2</v>
      </c>
      <c r="I83" s="3">
        <f t="shared" ref="I83" ca="1" si="70">STDEV(G64:G83)*SQRT(252)</f>
        <v>0.16202992939815761</v>
      </c>
      <c r="J83" s="3">
        <f t="shared" ca="1" si="11"/>
        <v>0.28977562845910437</v>
      </c>
      <c r="K83" s="3"/>
      <c r="L83" s="1">
        <v>42986</v>
      </c>
      <c r="M83">
        <v>2095</v>
      </c>
      <c r="N83">
        <v>2095</v>
      </c>
      <c r="O83">
        <v>2084</v>
      </c>
      <c r="P83" s="3">
        <f t="shared" ca="1" si="59"/>
        <v>-3.930214074684882E-3</v>
      </c>
      <c r="Q83" s="3">
        <f t="shared" ca="1" si="60"/>
        <v>5.2644294829805489E-3</v>
      </c>
      <c r="U83" s="1">
        <v>42986</v>
      </c>
      <c r="V83">
        <v>2102.5</v>
      </c>
      <c r="W83">
        <v>2114</v>
      </c>
      <c r="X83">
        <v>2091</v>
      </c>
      <c r="Y83" s="3">
        <f t="shared" ca="1" si="61"/>
        <v>-3.7977733754503648E-3</v>
      </c>
      <c r="Z83" s="3">
        <f t="shared" ca="1" si="62"/>
        <v>1.0939467001549356E-2</v>
      </c>
      <c r="AC83" s="1">
        <v>42986</v>
      </c>
      <c r="AD83">
        <v>2106.75</v>
      </c>
      <c r="AE83">
        <v>2106.75</v>
      </c>
      <c r="AF83">
        <v>2106.6</v>
      </c>
      <c r="AG83" s="3">
        <f t="shared" ca="1" si="63"/>
        <v>-3.6719022600804818E-3</v>
      </c>
      <c r="AH83" s="3">
        <f t="shared" ca="1" si="64"/>
        <v>7.1202250021218939E-5</v>
      </c>
      <c r="AK83" s="1">
        <v>42986</v>
      </c>
      <c r="AL83">
        <v>2117</v>
      </c>
      <c r="AM83">
        <v>2117</v>
      </c>
      <c r="AN83">
        <v>2117</v>
      </c>
      <c r="AO83" s="3">
        <f t="shared" ca="1" si="65"/>
        <v>-3.1834018512766644E-3</v>
      </c>
      <c r="AP83" s="3">
        <f t="shared" ca="1" si="66"/>
        <v>0</v>
      </c>
    </row>
    <row r="84" spans="3:42">
      <c r="C84" s="1">
        <v>42989</v>
      </c>
      <c r="D84">
        <v>2122</v>
      </c>
      <c r="E84">
        <v>2138</v>
      </c>
      <c r="F84">
        <v>2091</v>
      </c>
      <c r="G84" s="3">
        <f t="shared" ca="1" si="56"/>
        <v>1.0897999353295492E-2</v>
      </c>
      <c r="H84" s="3">
        <f t="shared" ca="1" si="57"/>
        <v>2.2228392156356944E-2</v>
      </c>
      <c r="I84" s="3">
        <f t="shared" ref="I84" ca="1" si="71">STDEV(G65:G84)*SQRT(252)</f>
        <v>0.1654137991368316</v>
      </c>
      <c r="J84" s="3">
        <f t="shared" ca="1" si="11"/>
        <v>0.29560280816860562</v>
      </c>
      <c r="K84" s="3"/>
      <c r="L84" s="1">
        <v>42989</v>
      </c>
      <c r="M84">
        <v>2116.5</v>
      </c>
      <c r="N84">
        <v>2125</v>
      </c>
      <c r="O84">
        <v>2116.3000000000002</v>
      </c>
      <c r="P84" s="3">
        <f t="shared" ca="1" si="59"/>
        <v>1.0210227604740238E-2</v>
      </c>
      <c r="Q84" s="3">
        <f t="shared" ca="1" si="60"/>
        <v>4.1025214921091759E-3</v>
      </c>
      <c r="U84" s="1">
        <v>42989</v>
      </c>
      <c r="V84">
        <v>2124.25</v>
      </c>
      <c r="W84">
        <v>2130</v>
      </c>
      <c r="X84">
        <v>2105</v>
      </c>
      <c r="Y84" s="3">
        <f t="shared" ca="1" si="61"/>
        <v>1.0291686036547506E-2</v>
      </c>
      <c r="Z84" s="3">
        <f t="shared" ca="1" si="62"/>
        <v>1.1806512586989044E-2</v>
      </c>
      <c r="AC84" s="1">
        <v>42989</v>
      </c>
      <c r="AD84">
        <v>2128.5</v>
      </c>
      <c r="AE84">
        <v>2128.5</v>
      </c>
      <c r="AF84">
        <v>2128.5</v>
      </c>
      <c r="AG84" s="3">
        <f t="shared" ca="1" si="63"/>
        <v>1.0271030615744364E-2</v>
      </c>
      <c r="AH84" s="3">
        <f t="shared" ca="1" si="64"/>
        <v>0</v>
      </c>
      <c r="AK84" s="1">
        <v>42989</v>
      </c>
      <c r="AL84">
        <v>2141.25</v>
      </c>
      <c r="AM84">
        <v>2141.4</v>
      </c>
      <c r="AN84">
        <v>2141.25</v>
      </c>
      <c r="AO84" s="3">
        <f t="shared" ca="1" si="65"/>
        <v>1.1389778503464542E-2</v>
      </c>
      <c r="AP84" s="3">
        <f t="shared" ca="1" si="66"/>
        <v>7.0050085840065628E-5</v>
      </c>
    </row>
    <row r="85" spans="3:42">
      <c r="C85" s="1">
        <v>42990</v>
      </c>
      <c r="D85">
        <v>2137</v>
      </c>
      <c r="E85">
        <v>2143</v>
      </c>
      <c r="F85">
        <v>2108</v>
      </c>
      <c r="G85" s="3">
        <f t="shared" ca="1" si="56"/>
        <v>7.0439361452191949E-3</v>
      </c>
      <c r="H85" s="3">
        <f t="shared" ca="1" si="57"/>
        <v>1.6467085812324072E-2</v>
      </c>
      <c r="I85" s="3">
        <f t="shared" ref="I85" ca="1" si="72">STDEV(G66:G85)*SQRT(252)</f>
        <v>0.16054011885358591</v>
      </c>
      <c r="J85" s="3">
        <f t="shared" ca="1" si="11"/>
        <v>0.29689567387319965</v>
      </c>
      <c r="K85" s="3"/>
      <c r="L85" s="1">
        <v>42990</v>
      </c>
      <c r="M85">
        <v>2130.5</v>
      </c>
      <c r="N85">
        <v>2130.5</v>
      </c>
      <c r="O85">
        <v>2113.5</v>
      </c>
      <c r="P85" s="3">
        <f t="shared" ca="1" si="59"/>
        <v>6.5929129789883681E-3</v>
      </c>
      <c r="Q85" s="3">
        <f t="shared" ca="1" si="60"/>
        <v>8.0113529331221831E-3</v>
      </c>
      <c r="U85" s="1">
        <v>42990</v>
      </c>
      <c r="V85">
        <v>2139</v>
      </c>
      <c r="W85">
        <v>2141</v>
      </c>
      <c r="X85">
        <v>2122</v>
      </c>
      <c r="Y85" s="3">
        <f t="shared" ca="1" si="61"/>
        <v>6.9196311987550167E-3</v>
      </c>
      <c r="Z85" s="3">
        <f t="shared" ca="1" si="62"/>
        <v>8.9139694157544507E-3</v>
      </c>
      <c r="AC85" s="1">
        <v>42990</v>
      </c>
      <c r="AD85">
        <v>2143.5</v>
      </c>
      <c r="AE85">
        <v>2143.65</v>
      </c>
      <c r="AF85">
        <v>2143.35</v>
      </c>
      <c r="AG85" s="3">
        <f t="shared" ca="1" si="63"/>
        <v>7.0225007698246798E-3</v>
      </c>
      <c r="AH85" s="3">
        <f t="shared" ca="1" si="64"/>
        <v>1.3995801282471379E-4</v>
      </c>
      <c r="AK85" s="1">
        <v>42990</v>
      </c>
      <c r="AL85">
        <v>2156.25</v>
      </c>
      <c r="AM85">
        <v>2156.25</v>
      </c>
      <c r="AN85">
        <v>2139</v>
      </c>
      <c r="AO85" s="3">
        <f t="shared" ca="1" si="65"/>
        <v>6.9808311413401408E-3</v>
      </c>
      <c r="AP85" s="3">
        <f t="shared" ca="1" si="66"/>
        <v>8.0321716972642527E-3</v>
      </c>
    </row>
    <row r="86" spans="3:42">
      <c r="C86" s="1">
        <v>42991</v>
      </c>
      <c r="D86">
        <v>2110</v>
      </c>
      <c r="E86">
        <v>2145.5</v>
      </c>
      <c r="F86">
        <v>2103.5</v>
      </c>
      <c r="G86" s="3">
        <f t="shared" ca="1" si="56"/>
        <v>-1.2715028849035444E-2</v>
      </c>
      <c r="H86" s="3">
        <f t="shared" ca="1" si="57"/>
        <v>1.9770001401003802E-2</v>
      </c>
      <c r="I86" s="3">
        <f t="shared" ref="I86" ca="1" si="73">STDEV(G67:G86)*SQRT(252)</f>
        <v>0.16485379238457334</v>
      </c>
      <c r="J86" s="3">
        <f t="shared" ca="1" si="11"/>
        <v>0.30255367700835767</v>
      </c>
      <c r="K86" s="3"/>
      <c r="L86" s="1">
        <v>42991</v>
      </c>
      <c r="M86">
        <v>2102.5</v>
      </c>
      <c r="N86">
        <v>2120</v>
      </c>
      <c r="O86">
        <v>2102.25</v>
      </c>
      <c r="P86" s="3">
        <f t="shared" ca="1" si="59"/>
        <v>-1.3229581092863568E-2</v>
      </c>
      <c r="Q86" s="3">
        <f t="shared" ca="1" si="60"/>
        <v>8.4078889530508349E-3</v>
      </c>
      <c r="U86" s="1">
        <v>42991</v>
      </c>
      <c r="V86">
        <v>2111.5</v>
      </c>
      <c r="W86">
        <v>2137.25</v>
      </c>
      <c r="X86">
        <v>2111.35</v>
      </c>
      <c r="Y86" s="3">
        <f t="shared" ca="1" si="61"/>
        <v>-1.2939834708407396E-2</v>
      </c>
      <c r="Z86" s="3">
        <f t="shared" ca="1" si="62"/>
        <v>1.2192402601119706E-2</v>
      </c>
      <c r="AC86" s="1">
        <v>42991</v>
      </c>
      <c r="AD86">
        <v>2115.75</v>
      </c>
      <c r="AE86">
        <v>2115.9</v>
      </c>
      <c r="AF86">
        <v>2115.5500000000002</v>
      </c>
      <c r="AG86" s="3">
        <f t="shared" ca="1" si="63"/>
        <v>-1.3030647487816373E-2</v>
      </c>
      <c r="AH86" s="3">
        <f t="shared" ca="1" si="64"/>
        <v>1.6542792697439237E-4</v>
      </c>
      <c r="AK86" s="1">
        <v>42991</v>
      </c>
      <c r="AL86">
        <v>2128.25</v>
      </c>
      <c r="AM86">
        <v>2128.25</v>
      </c>
      <c r="AN86">
        <v>2128.25</v>
      </c>
      <c r="AO86" s="3">
        <f t="shared" ca="1" si="65"/>
        <v>-1.3070556015503462E-2</v>
      </c>
      <c r="AP86" s="3">
        <f t="shared" ca="1" si="66"/>
        <v>0</v>
      </c>
    </row>
    <row r="87" spans="3:42">
      <c r="C87" s="1">
        <v>42992</v>
      </c>
      <c r="D87">
        <v>2098</v>
      </c>
      <c r="E87">
        <v>2128</v>
      </c>
      <c r="F87">
        <v>2080</v>
      </c>
      <c r="G87" s="3">
        <f t="shared" ca="1" si="56"/>
        <v>-5.7034375138696426E-3</v>
      </c>
      <c r="H87" s="3">
        <f t="shared" ca="1" si="57"/>
        <v>2.2814677766171264E-2</v>
      </c>
      <c r="I87" s="3">
        <f t="shared" ref="I87" ca="1" si="74">STDEV(G68:G87)*SQRT(252)</f>
        <v>0.14804412780808573</v>
      </c>
      <c r="J87" s="3">
        <f t="shared" ca="1" si="11"/>
        <v>0.3064465913309013</v>
      </c>
      <c r="K87" s="3"/>
      <c r="L87" s="1">
        <v>42992</v>
      </c>
      <c r="M87">
        <v>2090.25</v>
      </c>
      <c r="N87">
        <v>2102</v>
      </c>
      <c r="O87">
        <v>2074.75</v>
      </c>
      <c r="P87" s="3">
        <f t="shared" ca="1" si="59"/>
        <v>-5.8434368169358155E-3</v>
      </c>
      <c r="Q87" s="3">
        <f t="shared" ca="1" si="60"/>
        <v>1.3048607958339028E-2</v>
      </c>
      <c r="U87" s="1">
        <v>42992</v>
      </c>
      <c r="V87">
        <v>2099</v>
      </c>
      <c r="W87">
        <v>2117.5</v>
      </c>
      <c r="X87">
        <v>2090</v>
      </c>
      <c r="Y87" s="3">
        <f t="shared" ca="1" si="61"/>
        <v>-5.9375545533652332E-3</v>
      </c>
      <c r="Z87" s="3">
        <f t="shared" ca="1" si="62"/>
        <v>1.3072081567352701E-2</v>
      </c>
      <c r="AC87" s="1">
        <v>42992</v>
      </c>
      <c r="AD87">
        <v>2103.25</v>
      </c>
      <c r="AE87">
        <v>2103.25</v>
      </c>
      <c r="AF87">
        <v>2103.1</v>
      </c>
      <c r="AG87" s="3">
        <f t="shared" ca="1" si="63"/>
        <v>-5.9255921192924357E-3</v>
      </c>
      <c r="AH87" s="3">
        <f t="shared" ca="1" si="64"/>
        <v>7.1320741290428186E-5</v>
      </c>
      <c r="AK87" s="1">
        <v>42992</v>
      </c>
      <c r="AL87">
        <v>2115.75</v>
      </c>
      <c r="AM87">
        <v>2115.75</v>
      </c>
      <c r="AN87">
        <v>2115.75</v>
      </c>
      <c r="AO87" s="3">
        <f t="shared" ca="1" si="65"/>
        <v>-5.8906862139510314E-3</v>
      </c>
      <c r="AP87" s="3">
        <f t="shared" ca="1" si="66"/>
        <v>0</v>
      </c>
    </row>
    <row r="88" spans="3:42">
      <c r="C88" s="1">
        <v>42993</v>
      </c>
      <c r="D88">
        <v>2086</v>
      </c>
      <c r="E88">
        <v>2107.5</v>
      </c>
      <c r="F88">
        <v>2071</v>
      </c>
      <c r="G88" s="3">
        <f t="shared" ca="1" si="56"/>
        <v>-5.7361533955247457E-3</v>
      </c>
      <c r="H88" s="3">
        <f t="shared" ca="1" si="57"/>
        <v>1.7470828480426356E-2</v>
      </c>
      <c r="I88" s="3">
        <f t="shared" ref="I88" ca="1" si="75">STDEV(G69:G88)*SQRT(252)</f>
        <v>0.14612340589359352</v>
      </c>
      <c r="J88" s="3">
        <f t="shared" ca="1" si="11"/>
        <v>0.29797316360818282</v>
      </c>
      <c r="K88" s="3"/>
      <c r="L88" s="1">
        <v>42993</v>
      </c>
      <c r="M88">
        <v>2077.75</v>
      </c>
      <c r="N88">
        <v>2091.6999999999998</v>
      </c>
      <c r="O88">
        <v>2077</v>
      </c>
      <c r="P88" s="3">
        <f t="shared" ca="1" si="59"/>
        <v>-5.9980985970315001E-3</v>
      </c>
      <c r="Q88" s="3">
        <f t="shared" ca="1" si="60"/>
        <v>7.0525875837617706E-3</v>
      </c>
      <c r="U88" s="1">
        <v>42993</v>
      </c>
      <c r="V88">
        <v>2087.25</v>
      </c>
      <c r="W88">
        <v>2100.75</v>
      </c>
      <c r="X88">
        <v>2087.1</v>
      </c>
      <c r="Y88" s="3">
        <f t="shared" ca="1" si="61"/>
        <v>-5.6136307465230921E-3</v>
      </c>
      <c r="Z88" s="3">
        <f t="shared" ca="1" si="62"/>
        <v>6.5188812106223805E-3</v>
      </c>
      <c r="AC88" s="1">
        <v>42993</v>
      </c>
      <c r="AD88">
        <v>2092</v>
      </c>
      <c r="AE88">
        <v>2105.5</v>
      </c>
      <c r="AF88">
        <v>2092</v>
      </c>
      <c r="AG88" s="3">
        <f t="shared" ca="1" si="63"/>
        <v>-5.3632212461093946E-3</v>
      </c>
      <c r="AH88" s="3">
        <f t="shared" ca="1" si="64"/>
        <v>6.4324224171688872E-3</v>
      </c>
      <c r="AK88" s="1">
        <v>42993</v>
      </c>
      <c r="AL88">
        <v>2103.25</v>
      </c>
      <c r="AM88">
        <v>2103.4</v>
      </c>
      <c r="AN88">
        <v>2103.25</v>
      </c>
      <c r="AO88" s="3">
        <f t="shared" ca="1" si="65"/>
        <v>-5.9255921192924357E-3</v>
      </c>
      <c r="AP88" s="3">
        <f t="shared" ca="1" si="66"/>
        <v>7.1315655005194117E-5</v>
      </c>
    </row>
    <row r="89" spans="3:42">
      <c r="C89" s="1">
        <v>42996</v>
      </c>
      <c r="D89">
        <v>2089.5</v>
      </c>
      <c r="E89">
        <v>2106</v>
      </c>
      <c r="F89">
        <v>2082.5</v>
      </c>
      <c r="G89" s="3">
        <f t="shared" ca="1" si="56"/>
        <v>1.6764463272523522E-3</v>
      </c>
      <c r="H89" s="3">
        <f t="shared" ca="1" si="57"/>
        <v>1.1221318652923046E-2</v>
      </c>
      <c r="I89" s="3">
        <f t="shared" ref="I89" ca="1" si="76">STDEV(G70:G89)*SQRT(252)</f>
        <v>0.14380878354105825</v>
      </c>
      <c r="J89" s="3">
        <f t="shared" ca="1" si="11"/>
        <v>0.2894433968603356</v>
      </c>
      <c r="K89" s="3"/>
      <c r="L89" s="1">
        <v>42996</v>
      </c>
      <c r="M89">
        <v>2079.75</v>
      </c>
      <c r="N89">
        <v>2087.4</v>
      </c>
      <c r="O89">
        <v>2079</v>
      </c>
      <c r="P89" s="3">
        <f t="shared" ca="1" si="59"/>
        <v>9.6211673086140791E-4</v>
      </c>
      <c r="Q89" s="3">
        <f t="shared" ca="1" si="60"/>
        <v>4.0322635279384511E-3</v>
      </c>
      <c r="U89" s="1">
        <v>42996</v>
      </c>
      <c r="V89">
        <v>2089.5</v>
      </c>
      <c r="W89">
        <v>2095</v>
      </c>
      <c r="X89">
        <v>2088</v>
      </c>
      <c r="Y89" s="3">
        <f t="shared" ca="1" si="61"/>
        <v>1.0773928138602853E-3</v>
      </c>
      <c r="Z89" s="3">
        <f t="shared" ca="1" si="62"/>
        <v>3.3468833537087404E-3</v>
      </c>
      <c r="AC89" s="1">
        <v>42996</v>
      </c>
      <c r="AD89">
        <v>2094.75</v>
      </c>
      <c r="AE89">
        <v>2097.25</v>
      </c>
      <c r="AF89">
        <v>2094.6</v>
      </c>
      <c r="AG89" s="3">
        <f t="shared" ca="1" si="63"/>
        <v>1.3136683085824138E-3</v>
      </c>
      <c r="AH89" s="3">
        <f t="shared" ca="1" si="64"/>
        <v>1.2643583873585978E-3</v>
      </c>
      <c r="AK89" s="1">
        <v>42996</v>
      </c>
      <c r="AL89">
        <v>2106.5</v>
      </c>
      <c r="AM89">
        <v>2106.5</v>
      </c>
      <c r="AN89">
        <v>2106.5</v>
      </c>
      <c r="AO89" s="3">
        <f t="shared" ca="1" si="65"/>
        <v>1.5440349881482931E-3</v>
      </c>
      <c r="AP89" s="3">
        <f t="shared" ca="1" si="66"/>
        <v>0</v>
      </c>
    </row>
    <row r="90" spans="3:42">
      <c r="C90" s="1">
        <v>42997</v>
      </c>
      <c r="D90">
        <v>2125</v>
      </c>
      <c r="E90">
        <v>2136</v>
      </c>
      <c r="F90">
        <v>2094</v>
      </c>
      <c r="G90" s="3">
        <f t="shared" ca="1" si="56"/>
        <v>1.6846999470547096E-2</v>
      </c>
      <c r="H90" s="3">
        <f t="shared" ca="1" si="57"/>
        <v>1.9858808649603255E-2</v>
      </c>
      <c r="I90" s="3">
        <f t="shared" ref="I90" ca="1" si="77">STDEV(G71:G90)*SQRT(252)</f>
        <v>0.15216965116019074</v>
      </c>
      <c r="J90" s="3">
        <f t="shared" ca="1" si="11"/>
        <v>0.28899975538259592</v>
      </c>
      <c r="K90" s="3"/>
      <c r="L90" s="1">
        <v>42997</v>
      </c>
      <c r="M90">
        <v>2115.25</v>
      </c>
      <c r="N90">
        <v>2126.4</v>
      </c>
      <c r="O90">
        <v>2103</v>
      </c>
      <c r="P90" s="3">
        <f t="shared" ca="1" si="59"/>
        <v>1.6925314640613084E-2</v>
      </c>
      <c r="Q90" s="3">
        <f t="shared" ca="1" si="60"/>
        <v>1.1065512256281169E-2</v>
      </c>
      <c r="U90" s="1">
        <v>42997</v>
      </c>
      <c r="V90">
        <v>2124.75</v>
      </c>
      <c r="W90">
        <v>2127</v>
      </c>
      <c r="X90">
        <v>2089.5</v>
      </c>
      <c r="Y90" s="3">
        <f t="shared" ca="1" si="61"/>
        <v>1.6729345490765529E-2</v>
      </c>
      <c r="Z90" s="3">
        <f t="shared" ca="1" si="62"/>
        <v>1.7787733312267202E-2</v>
      </c>
      <c r="AC90" s="1">
        <v>42997</v>
      </c>
      <c r="AD90">
        <v>2129.75</v>
      </c>
      <c r="AE90">
        <v>2129.75</v>
      </c>
      <c r="AF90">
        <v>2129.6</v>
      </c>
      <c r="AG90" s="3">
        <f t="shared" ca="1" si="63"/>
        <v>1.6570387429554023E-2</v>
      </c>
      <c r="AH90" s="3">
        <f t="shared" ca="1" si="64"/>
        <v>7.0433282102625678E-5</v>
      </c>
      <c r="AK90" s="1">
        <v>42997</v>
      </c>
      <c r="AL90">
        <v>2141.5</v>
      </c>
      <c r="AM90">
        <v>2141.5</v>
      </c>
      <c r="AN90">
        <v>2141</v>
      </c>
      <c r="AO90" s="3">
        <f t="shared" ca="1" si="65"/>
        <v>1.6478715636354484E-2</v>
      </c>
      <c r="AP90" s="3">
        <f t="shared" ca="1" si="66"/>
        <v>2.3350846574288382E-4</v>
      </c>
    </row>
    <row r="91" spans="3:42">
      <c r="C91" s="1">
        <v>42998</v>
      </c>
      <c r="D91">
        <v>2177</v>
      </c>
      <c r="E91">
        <v>2194.5</v>
      </c>
      <c r="F91">
        <v>2122</v>
      </c>
      <c r="G91" s="3">
        <f t="shared" ca="1" si="56"/>
        <v>2.4175979876030141E-2</v>
      </c>
      <c r="H91" s="3">
        <f t="shared" ca="1" si="57"/>
        <v>3.3595189954360158E-2</v>
      </c>
      <c r="I91" s="3">
        <f t="shared" ref="I91" ca="1" si="78">STDEV(G72:G91)*SQRT(252)</f>
        <v>0.17193110715513937</v>
      </c>
      <c r="J91" s="3">
        <f t="shared" ca="1" si="11"/>
        <v>0.30149799751353429</v>
      </c>
      <c r="K91" s="3"/>
      <c r="L91" s="1">
        <v>42998</v>
      </c>
      <c r="M91">
        <v>2167.25</v>
      </c>
      <c r="N91">
        <v>2182.9</v>
      </c>
      <c r="O91">
        <v>2167</v>
      </c>
      <c r="P91" s="3">
        <f t="shared" ca="1" si="59"/>
        <v>2.4286073944139598E-2</v>
      </c>
      <c r="Q91" s="3">
        <f t="shared" ca="1" si="60"/>
        <v>7.3105454439578487E-3</v>
      </c>
      <c r="U91" s="1">
        <v>42998</v>
      </c>
      <c r="V91">
        <v>2177</v>
      </c>
      <c r="W91">
        <v>2194.5</v>
      </c>
      <c r="X91">
        <v>2122</v>
      </c>
      <c r="Y91" s="3">
        <f t="shared" ca="1" si="61"/>
        <v>2.429363385581185E-2</v>
      </c>
      <c r="Z91" s="3">
        <f t="shared" ca="1" si="62"/>
        <v>3.3595189954360158E-2</v>
      </c>
      <c r="AC91" s="1">
        <v>42998</v>
      </c>
      <c r="AD91">
        <v>2181.75</v>
      </c>
      <c r="AE91">
        <v>2197</v>
      </c>
      <c r="AF91">
        <v>2181.9</v>
      </c>
      <c r="AG91" s="3">
        <f t="shared" ca="1" si="63"/>
        <v>2.4122705120470798E-2</v>
      </c>
      <c r="AH91" s="3">
        <f t="shared" ca="1" si="64"/>
        <v>6.896736556005546E-3</v>
      </c>
      <c r="AK91" s="1">
        <v>42998</v>
      </c>
      <c r="AL91">
        <v>2192.75</v>
      </c>
      <c r="AM91">
        <v>2202</v>
      </c>
      <c r="AN91">
        <v>2188</v>
      </c>
      <c r="AO91" s="3">
        <f t="shared" ca="1" si="65"/>
        <v>2.3649945776065225E-2</v>
      </c>
      <c r="AP91" s="3">
        <f t="shared" ca="1" si="66"/>
        <v>6.3781537407533928E-3</v>
      </c>
    </row>
    <row r="92" spans="3:42">
      <c r="C92" s="1">
        <v>42999</v>
      </c>
      <c r="D92">
        <v>2171</v>
      </c>
      <c r="E92">
        <v>2199</v>
      </c>
      <c r="F92">
        <v>2140</v>
      </c>
      <c r="G92" s="3">
        <f t="shared" ca="1" si="56"/>
        <v>-2.7598913562556322E-3</v>
      </c>
      <c r="H92" s="3">
        <f t="shared" ca="1" si="57"/>
        <v>2.7196882538864015E-2</v>
      </c>
      <c r="I92" s="3">
        <f t="shared" ref="I92" ca="1" si="79">STDEV(G73:G92)*SQRT(252)</f>
        <v>0.17004569076868026</v>
      </c>
      <c r="J92" s="3">
        <f t="shared" ca="1" si="11"/>
        <v>0.3131346034670825</v>
      </c>
      <c r="K92" s="3"/>
      <c r="L92" s="1">
        <v>42999</v>
      </c>
      <c r="M92">
        <v>2161.75</v>
      </c>
      <c r="N92">
        <v>2171</v>
      </c>
      <c r="O92">
        <v>2154</v>
      </c>
      <c r="P92" s="3">
        <f t="shared" ca="1" si="59"/>
        <v>-2.541003908210221E-3</v>
      </c>
      <c r="Q92" s="3">
        <f t="shared" ca="1" si="60"/>
        <v>7.8613121619579979E-3</v>
      </c>
      <c r="U92" s="1">
        <v>42999</v>
      </c>
      <c r="V92">
        <v>2171.5</v>
      </c>
      <c r="W92">
        <v>2175.3000000000002</v>
      </c>
      <c r="X92">
        <v>2162</v>
      </c>
      <c r="Y92" s="3">
        <f t="shared" ca="1" si="61"/>
        <v>-2.529609259670833E-3</v>
      </c>
      <c r="Z92" s="3">
        <f t="shared" ca="1" si="62"/>
        <v>6.1328668465031001E-3</v>
      </c>
      <c r="AC92" s="1">
        <v>42999</v>
      </c>
      <c r="AD92">
        <v>2176.75</v>
      </c>
      <c r="AE92">
        <v>2176.9</v>
      </c>
      <c r="AF92">
        <v>2176.75</v>
      </c>
      <c r="AG92" s="3">
        <f t="shared" ca="1" si="63"/>
        <v>-2.2943683346957557E-3</v>
      </c>
      <c r="AH92" s="3">
        <f t="shared" ca="1" si="64"/>
        <v>6.8907698165688344E-5</v>
      </c>
      <c r="AK92" s="1">
        <v>42999</v>
      </c>
      <c r="AL92">
        <v>2186</v>
      </c>
      <c r="AM92">
        <v>2189</v>
      </c>
      <c r="AN92">
        <v>2186</v>
      </c>
      <c r="AO92" s="3">
        <f t="shared" ca="1" si="65"/>
        <v>-3.0830740950071288E-3</v>
      </c>
      <c r="AP92" s="3">
        <f t="shared" ca="1" si="66"/>
        <v>1.3714287863791721E-3</v>
      </c>
    </row>
    <row r="93" spans="3:42">
      <c r="C93" s="1">
        <v>43000</v>
      </c>
      <c r="D93">
        <v>2158</v>
      </c>
      <c r="E93">
        <v>2170</v>
      </c>
      <c r="F93">
        <v>2112.5</v>
      </c>
      <c r="G93" s="3">
        <f t="shared" ca="1" si="56"/>
        <v>-6.0060240602119218E-3</v>
      </c>
      <c r="H93" s="3">
        <f t="shared" ca="1" si="57"/>
        <v>2.6855087303176328E-2</v>
      </c>
      <c r="I93" s="3">
        <f t="shared" ref="I93" ca="1" si="80">STDEV(G74:G93)*SQRT(252)</f>
        <v>0.17191205487614278</v>
      </c>
      <c r="J93" s="3">
        <f t="shared" ca="1" si="11"/>
        <v>0.30973409928404705</v>
      </c>
      <c r="K93" s="3"/>
      <c r="L93" s="1">
        <v>43000</v>
      </c>
      <c r="M93">
        <v>2149</v>
      </c>
      <c r="N93">
        <v>2151.4</v>
      </c>
      <c r="O93">
        <v>2137.15</v>
      </c>
      <c r="P93" s="3">
        <f t="shared" ca="1" si="59"/>
        <v>-5.9154611980290935E-3</v>
      </c>
      <c r="Q93" s="3">
        <f t="shared" ca="1" si="60"/>
        <v>6.6456272843460843E-3</v>
      </c>
      <c r="U93" s="1">
        <v>43000</v>
      </c>
      <c r="V93">
        <v>2158.75</v>
      </c>
      <c r="W93">
        <v>2167.5</v>
      </c>
      <c r="X93">
        <v>2124.9499999999998</v>
      </c>
      <c r="Y93" s="3">
        <f t="shared" ca="1" si="61"/>
        <v>-5.8888225139882263E-3</v>
      </c>
      <c r="Z93" s="3">
        <f t="shared" ca="1" si="62"/>
        <v>1.9826156984765402E-2</v>
      </c>
      <c r="AC93" s="1">
        <v>43000</v>
      </c>
      <c r="AD93">
        <v>2163.75</v>
      </c>
      <c r="AE93">
        <v>2163.75</v>
      </c>
      <c r="AF93">
        <v>2163.6</v>
      </c>
      <c r="AG93" s="3">
        <f t="shared" ca="1" si="63"/>
        <v>-5.9901112183060115E-3</v>
      </c>
      <c r="AH93" s="3">
        <f t="shared" ca="1" si="64"/>
        <v>6.9326493147222717E-5</v>
      </c>
      <c r="AK93" s="1">
        <v>43000</v>
      </c>
      <c r="AL93">
        <v>2173.25</v>
      </c>
      <c r="AM93">
        <v>2173.25</v>
      </c>
      <c r="AN93">
        <v>2173.25</v>
      </c>
      <c r="AO93" s="3">
        <f t="shared" ca="1" si="65"/>
        <v>-5.8496467773101486E-3</v>
      </c>
      <c r="AP93" s="3">
        <f t="shared" ca="1" si="66"/>
        <v>0</v>
      </c>
    </row>
    <row r="94" spans="3:42">
      <c r="C94" s="1">
        <v>43003</v>
      </c>
      <c r="D94">
        <v>2148</v>
      </c>
      <c r="E94">
        <v>2174</v>
      </c>
      <c r="F94">
        <v>2133</v>
      </c>
      <c r="G94" s="3">
        <f t="shared" ca="1" si="56"/>
        <v>-4.634994289235606E-4</v>
      </c>
      <c r="H94" s="3">
        <f t="shared" ca="1" si="57"/>
        <v>1.9039349209804293E-2</v>
      </c>
      <c r="I94" s="3">
        <f t="shared" ref="I94" ca="1" si="81">STDEV(G75:G94)*SQRT(252)</f>
        <v>0.15774744396884144</v>
      </c>
      <c r="J94" s="3">
        <f t="shared" ca="1" si="11"/>
        <v>0.31191934999105214</v>
      </c>
      <c r="K94" s="3"/>
      <c r="L94" s="1">
        <v>43003</v>
      </c>
      <c r="M94">
        <v>2137.5</v>
      </c>
      <c r="N94">
        <v>2145</v>
      </c>
      <c r="O94">
        <v>2127</v>
      </c>
      <c r="P94" s="3">
        <f t="shared" ca="1" si="59"/>
        <v>-1.0290081442273289E-2</v>
      </c>
      <c r="Q94" s="3">
        <f t="shared" ca="1" si="60"/>
        <v>8.427016161880142E-3</v>
      </c>
      <c r="U94" s="1">
        <v>43003</v>
      </c>
      <c r="V94">
        <v>2147.5</v>
      </c>
      <c r="W94">
        <v>2161</v>
      </c>
      <c r="X94">
        <v>2134</v>
      </c>
      <c r="Y94" s="3">
        <f t="shared" ca="1" si="61"/>
        <v>-7.089343422856588E-3</v>
      </c>
      <c r="Z94" s="3">
        <f t="shared" ca="1" si="62"/>
        <v>7.0044647808117384E-3</v>
      </c>
      <c r="AC94" s="2">
        <v>43003</v>
      </c>
      <c r="AD94">
        <v>2153.5</v>
      </c>
      <c r="AE94">
        <v>2153.5</v>
      </c>
      <c r="AF94">
        <v>2153.5</v>
      </c>
      <c r="AG94" s="3" t="e">
        <f t="shared" ca="1" si="63"/>
        <v>#NUM!</v>
      </c>
      <c r="AH94" s="3" t="e">
        <f t="shared" ca="1" si="64"/>
        <v>#DIV/0!</v>
      </c>
      <c r="AK94" s="2">
        <v>43003</v>
      </c>
      <c r="AL94">
        <v>2164</v>
      </c>
      <c r="AM94">
        <v>2164</v>
      </c>
      <c r="AN94">
        <v>2164</v>
      </c>
      <c r="AO94" s="3" t="e">
        <f t="shared" ca="1" si="65"/>
        <v>#NUM!</v>
      </c>
      <c r="AP94" s="3" t="e">
        <f t="shared" ca="1" si="66"/>
        <v>#DIV/0!</v>
      </c>
    </row>
    <row r="95" spans="3:42">
      <c r="C95" s="2">
        <v>43004</v>
      </c>
      <c r="D95">
        <v>2126</v>
      </c>
      <c r="E95">
        <v>2159.5</v>
      </c>
      <c r="F95">
        <v>2122</v>
      </c>
      <c r="L95" s="2">
        <v>43004</v>
      </c>
      <c r="M95">
        <v>2113.5</v>
      </c>
      <c r="N95">
        <v>2129.4</v>
      </c>
      <c r="O95">
        <v>2113.25</v>
      </c>
      <c r="U95" s="2">
        <v>43004</v>
      </c>
      <c r="V95">
        <v>2124.25</v>
      </c>
      <c r="W95">
        <v>2148</v>
      </c>
      <c r="X95">
        <v>2124.25</v>
      </c>
      <c r="AC95" s="2">
        <v>43004</v>
      </c>
      <c r="AD95">
        <v>2130.75</v>
      </c>
      <c r="AE95">
        <v>2130.9</v>
      </c>
      <c r="AF95">
        <v>2130.75</v>
      </c>
      <c r="AK95" s="2">
        <v>43004</v>
      </c>
      <c r="AL95">
        <v>2140.25</v>
      </c>
      <c r="AM95">
        <v>2147</v>
      </c>
      <c r="AN95">
        <v>2140.1</v>
      </c>
    </row>
    <row r="96" spans="3:42">
      <c r="C96" s="2">
        <v>43005</v>
      </c>
      <c r="D96">
        <v>2131.5</v>
      </c>
      <c r="E96">
        <v>2147</v>
      </c>
      <c r="F96">
        <v>2122</v>
      </c>
      <c r="L96" s="2">
        <v>43005</v>
      </c>
      <c r="M96">
        <v>2119</v>
      </c>
      <c r="N96">
        <v>2132.25</v>
      </c>
      <c r="O96">
        <v>2110.1999999999998</v>
      </c>
      <c r="U96" s="2">
        <v>43005</v>
      </c>
      <c r="V96">
        <v>2129.5</v>
      </c>
      <c r="W96">
        <v>2138</v>
      </c>
      <c r="X96">
        <v>2128.25</v>
      </c>
      <c r="AC96" s="2">
        <v>43005</v>
      </c>
      <c r="AD96">
        <v>2136.5</v>
      </c>
      <c r="AE96">
        <v>2136.65</v>
      </c>
      <c r="AF96">
        <v>2136.5</v>
      </c>
      <c r="AK96" s="2">
        <v>43005</v>
      </c>
      <c r="AL96">
        <v>2147</v>
      </c>
      <c r="AM96">
        <v>2147</v>
      </c>
      <c r="AN96">
        <v>2147</v>
      </c>
    </row>
    <row r="97" spans="3:40">
      <c r="C97" s="2">
        <v>43006</v>
      </c>
      <c r="D97">
        <v>2131</v>
      </c>
      <c r="E97">
        <v>2145</v>
      </c>
      <c r="F97">
        <v>2118</v>
      </c>
      <c r="L97" s="2">
        <v>43006</v>
      </c>
      <c r="M97">
        <v>2118.25</v>
      </c>
      <c r="N97">
        <v>2118.25</v>
      </c>
      <c r="O97">
        <v>2115.9</v>
      </c>
      <c r="U97" s="2">
        <v>43006</v>
      </c>
      <c r="V97">
        <v>2128.75</v>
      </c>
      <c r="W97">
        <v>2128.9</v>
      </c>
      <c r="X97">
        <v>2120</v>
      </c>
      <c r="AC97" s="2">
        <v>43006</v>
      </c>
      <c r="AD97">
        <v>2135.75</v>
      </c>
      <c r="AE97">
        <v>2135.9</v>
      </c>
      <c r="AF97">
        <v>2135.75</v>
      </c>
      <c r="AK97" s="2">
        <v>43006</v>
      </c>
      <c r="AL97">
        <v>2146.75</v>
      </c>
      <c r="AM97">
        <v>2146.75</v>
      </c>
      <c r="AN97">
        <v>2135.25</v>
      </c>
    </row>
    <row r="98" spans="3:40">
      <c r="C98" s="2">
        <v>43007</v>
      </c>
      <c r="D98">
        <v>2102</v>
      </c>
      <c r="E98">
        <v>2141</v>
      </c>
      <c r="F98">
        <v>2101.85</v>
      </c>
      <c r="L98" s="2">
        <v>43007</v>
      </c>
      <c r="M98">
        <v>2089</v>
      </c>
      <c r="N98">
        <v>2124.15</v>
      </c>
      <c r="O98">
        <v>2088.85</v>
      </c>
      <c r="U98" s="2">
        <v>43007</v>
      </c>
      <c r="V98">
        <v>2099.5</v>
      </c>
      <c r="W98">
        <v>2134.75</v>
      </c>
      <c r="X98">
        <v>2099.5</v>
      </c>
      <c r="AC98" s="2">
        <v>43007</v>
      </c>
      <c r="AD98">
        <v>2106.5</v>
      </c>
      <c r="AE98">
        <v>2132</v>
      </c>
      <c r="AF98">
        <v>2106.35</v>
      </c>
      <c r="AK98" s="2">
        <v>43007</v>
      </c>
      <c r="AL98">
        <v>2117.5</v>
      </c>
      <c r="AM98">
        <v>2117.5</v>
      </c>
      <c r="AN98">
        <v>2117.5</v>
      </c>
    </row>
    <row r="99" spans="3:40">
      <c r="C99" s="2">
        <v>43010</v>
      </c>
      <c r="D99">
        <v>2101</v>
      </c>
      <c r="E99">
        <v>2114</v>
      </c>
      <c r="F99">
        <v>2082</v>
      </c>
      <c r="L99" s="2">
        <v>43010</v>
      </c>
      <c r="M99">
        <v>2087.75</v>
      </c>
      <c r="N99">
        <v>2087.9</v>
      </c>
      <c r="O99">
        <v>2071</v>
      </c>
      <c r="U99" s="2">
        <v>43010</v>
      </c>
      <c r="V99">
        <v>2097.75</v>
      </c>
      <c r="W99">
        <v>2109</v>
      </c>
      <c r="X99">
        <v>2082</v>
      </c>
      <c r="AC99" s="2">
        <v>43010</v>
      </c>
      <c r="AD99">
        <v>2104.5</v>
      </c>
      <c r="AE99">
        <v>2104.65</v>
      </c>
      <c r="AF99">
        <v>2104.5</v>
      </c>
      <c r="AK99" s="2">
        <v>43010</v>
      </c>
      <c r="AL99">
        <v>2115.75</v>
      </c>
      <c r="AM99">
        <v>2115.75</v>
      </c>
      <c r="AN99">
        <v>2115.75</v>
      </c>
    </row>
    <row r="100" spans="3:40">
      <c r="C100" s="2">
        <v>43011</v>
      </c>
      <c r="D100">
        <v>2131</v>
      </c>
      <c r="E100">
        <v>2144.5</v>
      </c>
      <c r="F100">
        <v>2100</v>
      </c>
      <c r="L100" s="2">
        <v>43011</v>
      </c>
      <c r="M100">
        <v>2118.25</v>
      </c>
      <c r="N100">
        <v>2118.4</v>
      </c>
      <c r="O100">
        <v>2114.75</v>
      </c>
      <c r="U100" s="2">
        <v>43011</v>
      </c>
      <c r="V100">
        <v>2127.75</v>
      </c>
      <c r="W100">
        <v>2127.9</v>
      </c>
      <c r="X100">
        <v>2122.5</v>
      </c>
      <c r="AC100" s="2">
        <v>43011</v>
      </c>
      <c r="AD100">
        <v>2134.25</v>
      </c>
      <c r="AE100">
        <v>2134.4</v>
      </c>
      <c r="AF100">
        <v>2120.25</v>
      </c>
      <c r="AK100" s="2">
        <v>43011</v>
      </c>
      <c r="AL100">
        <v>2145</v>
      </c>
      <c r="AM100">
        <v>2145</v>
      </c>
      <c r="AN100">
        <v>2145</v>
      </c>
    </row>
    <row r="101" spans="3:40">
      <c r="C101" s="2">
        <v>43012</v>
      </c>
      <c r="D101">
        <v>2166</v>
      </c>
      <c r="E101">
        <v>2169</v>
      </c>
      <c r="F101">
        <v>2138</v>
      </c>
      <c r="L101" s="2">
        <v>43012</v>
      </c>
      <c r="M101">
        <v>2153.25</v>
      </c>
      <c r="N101">
        <v>2153.4</v>
      </c>
      <c r="O101">
        <v>2131</v>
      </c>
      <c r="U101" s="2">
        <v>43012</v>
      </c>
      <c r="V101">
        <v>2163</v>
      </c>
      <c r="W101">
        <v>2163.15</v>
      </c>
      <c r="X101">
        <v>2141</v>
      </c>
      <c r="AC101" s="2">
        <v>43012</v>
      </c>
      <c r="AD101">
        <v>2169.25</v>
      </c>
      <c r="AE101">
        <v>2169.25</v>
      </c>
      <c r="AF101">
        <v>2156.5</v>
      </c>
      <c r="AK101" s="2">
        <v>43012</v>
      </c>
      <c r="AL101">
        <v>2179.75</v>
      </c>
      <c r="AM101">
        <v>2179.75</v>
      </c>
      <c r="AN101">
        <v>2179.75</v>
      </c>
    </row>
    <row r="102" spans="3:40">
      <c r="C102" s="2">
        <v>43013</v>
      </c>
      <c r="D102">
        <v>2171.5</v>
      </c>
      <c r="E102">
        <v>2173</v>
      </c>
      <c r="F102">
        <v>2145.5</v>
      </c>
      <c r="L102" s="2">
        <v>43013</v>
      </c>
      <c r="M102">
        <v>2159</v>
      </c>
      <c r="N102">
        <v>2159.25</v>
      </c>
      <c r="O102">
        <v>2133.15</v>
      </c>
      <c r="U102" s="2">
        <v>43013</v>
      </c>
      <c r="V102">
        <v>2168.5</v>
      </c>
      <c r="W102">
        <v>2168.65</v>
      </c>
      <c r="X102">
        <v>2149</v>
      </c>
      <c r="AC102" s="2">
        <v>43013</v>
      </c>
      <c r="AD102">
        <v>2174.5</v>
      </c>
      <c r="AE102">
        <v>2174.5</v>
      </c>
      <c r="AF102">
        <v>2164</v>
      </c>
      <c r="AK102" s="2">
        <v>43013</v>
      </c>
      <c r="AL102">
        <v>2184.75</v>
      </c>
      <c r="AM102">
        <v>2184.9</v>
      </c>
      <c r="AN102">
        <v>2168</v>
      </c>
    </row>
    <row r="103" spans="3:40">
      <c r="C103" s="2">
        <v>43014</v>
      </c>
      <c r="D103">
        <v>2153</v>
      </c>
      <c r="E103">
        <v>2171</v>
      </c>
      <c r="F103">
        <v>2136.5</v>
      </c>
      <c r="L103" s="2">
        <v>43014</v>
      </c>
      <c r="M103">
        <v>2141.25</v>
      </c>
      <c r="N103">
        <v>2141.25</v>
      </c>
      <c r="O103">
        <v>2132.9</v>
      </c>
      <c r="U103" s="2">
        <v>43014</v>
      </c>
      <c r="V103">
        <v>2151</v>
      </c>
      <c r="W103">
        <v>2162.5</v>
      </c>
      <c r="X103">
        <v>2139</v>
      </c>
      <c r="AC103" s="2">
        <v>43014</v>
      </c>
      <c r="AD103">
        <v>2156.25</v>
      </c>
      <c r="AE103">
        <v>2163</v>
      </c>
      <c r="AF103">
        <v>2156.1</v>
      </c>
      <c r="AK103" s="2">
        <v>43014</v>
      </c>
      <c r="AL103">
        <v>2167</v>
      </c>
      <c r="AM103">
        <v>2167</v>
      </c>
      <c r="AN103">
        <v>2167</v>
      </c>
    </row>
    <row r="104" spans="3:40">
      <c r="C104" s="2">
        <v>43017</v>
      </c>
      <c r="D104">
        <v>2173.5</v>
      </c>
      <c r="E104">
        <v>2175</v>
      </c>
      <c r="F104">
        <v>2143</v>
      </c>
      <c r="L104" s="2">
        <v>43017</v>
      </c>
      <c r="M104">
        <v>2160.75</v>
      </c>
      <c r="N104">
        <v>2160.75</v>
      </c>
      <c r="O104">
        <v>2145</v>
      </c>
      <c r="U104" s="2">
        <v>43017</v>
      </c>
      <c r="V104">
        <v>2170.5</v>
      </c>
      <c r="W104">
        <v>2170.65</v>
      </c>
      <c r="X104">
        <v>2152</v>
      </c>
      <c r="AC104" s="2">
        <v>43017</v>
      </c>
      <c r="AD104">
        <v>2175.75</v>
      </c>
      <c r="AE104">
        <v>2176.25</v>
      </c>
      <c r="AF104">
        <v>2149</v>
      </c>
      <c r="AK104" s="2">
        <v>43017</v>
      </c>
      <c r="AL104">
        <v>2186.5</v>
      </c>
      <c r="AM104">
        <v>2186.65</v>
      </c>
      <c r="AN104">
        <v>2172.3000000000002</v>
      </c>
    </row>
    <row r="105" spans="3:40">
      <c r="C105" s="2">
        <v>43018</v>
      </c>
      <c r="D105">
        <v>2163</v>
      </c>
      <c r="E105">
        <v>2172</v>
      </c>
      <c r="F105">
        <v>2148</v>
      </c>
      <c r="L105" s="2">
        <v>43018</v>
      </c>
      <c r="M105">
        <v>2149.25</v>
      </c>
      <c r="N105">
        <v>2149.25</v>
      </c>
      <c r="O105">
        <v>2149</v>
      </c>
      <c r="U105" s="2">
        <v>43018</v>
      </c>
      <c r="V105">
        <v>2159.75</v>
      </c>
      <c r="W105">
        <v>2162</v>
      </c>
      <c r="X105">
        <v>2159.5</v>
      </c>
      <c r="AC105" s="2">
        <v>43018</v>
      </c>
      <c r="AD105">
        <v>2165.25</v>
      </c>
      <c r="AE105">
        <v>2167</v>
      </c>
      <c r="AF105">
        <v>2165.1</v>
      </c>
      <c r="AK105" s="2">
        <v>43018</v>
      </c>
      <c r="AL105">
        <v>2176.5</v>
      </c>
      <c r="AM105">
        <v>2176.65</v>
      </c>
      <c r="AN105">
        <v>2176.5</v>
      </c>
    </row>
    <row r="106" spans="3:40">
      <c r="C106" s="2">
        <v>43019</v>
      </c>
      <c r="D106">
        <v>2130</v>
      </c>
      <c r="E106">
        <v>2166</v>
      </c>
      <c r="F106">
        <v>2129.85</v>
      </c>
      <c r="L106" s="2">
        <v>43019</v>
      </c>
      <c r="M106">
        <v>2116.25</v>
      </c>
      <c r="N106">
        <v>2142</v>
      </c>
      <c r="O106">
        <v>2116</v>
      </c>
      <c r="U106" s="2">
        <v>43019</v>
      </c>
      <c r="V106">
        <v>2126.75</v>
      </c>
      <c r="W106">
        <v>2155.5</v>
      </c>
      <c r="X106">
        <v>2126.6</v>
      </c>
      <c r="AC106" s="2">
        <v>43019</v>
      </c>
      <c r="AD106">
        <v>2132</v>
      </c>
      <c r="AE106">
        <v>2152.25</v>
      </c>
      <c r="AF106">
        <v>2131.85</v>
      </c>
      <c r="AK106" s="2">
        <v>43019</v>
      </c>
      <c r="AL106">
        <v>2143.75</v>
      </c>
      <c r="AM106">
        <v>2143.9</v>
      </c>
      <c r="AN106">
        <v>2143.75</v>
      </c>
    </row>
    <row r="107" spans="3:40">
      <c r="C107" s="2">
        <v>43020</v>
      </c>
      <c r="D107">
        <v>2146.5</v>
      </c>
      <c r="E107">
        <v>2151.5</v>
      </c>
      <c r="F107">
        <v>2130</v>
      </c>
      <c r="L107" s="2">
        <v>43020</v>
      </c>
      <c r="M107">
        <v>2133.25</v>
      </c>
      <c r="N107">
        <v>2134</v>
      </c>
      <c r="O107">
        <v>2120.5</v>
      </c>
      <c r="U107" s="2">
        <v>43020</v>
      </c>
      <c r="V107">
        <v>2143.25</v>
      </c>
      <c r="W107">
        <v>2143.25</v>
      </c>
      <c r="X107">
        <v>2126.75</v>
      </c>
      <c r="AC107" s="2">
        <v>43020</v>
      </c>
      <c r="AD107">
        <v>2148.25</v>
      </c>
      <c r="AE107">
        <v>2150.25</v>
      </c>
      <c r="AF107">
        <v>2140.35</v>
      </c>
      <c r="AK107" s="2">
        <v>43020</v>
      </c>
      <c r="AL107">
        <v>2160</v>
      </c>
      <c r="AM107">
        <v>2160</v>
      </c>
      <c r="AN107">
        <v>2160</v>
      </c>
    </row>
    <row r="108" spans="3:40">
      <c r="C108" s="2">
        <v>43021</v>
      </c>
      <c r="D108">
        <v>2133.5</v>
      </c>
      <c r="E108">
        <v>2172</v>
      </c>
      <c r="F108">
        <v>2126</v>
      </c>
      <c r="L108" s="2">
        <v>43021</v>
      </c>
      <c r="M108">
        <v>2119.75</v>
      </c>
      <c r="N108">
        <v>2150</v>
      </c>
      <c r="O108">
        <v>2119.5</v>
      </c>
      <c r="U108" s="2">
        <v>43021</v>
      </c>
      <c r="V108">
        <v>2130.5</v>
      </c>
      <c r="W108">
        <v>2162</v>
      </c>
      <c r="X108">
        <v>2130.5</v>
      </c>
      <c r="AC108" s="2">
        <v>43021</v>
      </c>
      <c r="AD108">
        <v>2135.75</v>
      </c>
      <c r="AE108">
        <v>2171.5</v>
      </c>
      <c r="AF108">
        <v>2135.75</v>
      </c>
      <c r="AK108" s="2">
        <v>43021</v>
      </c>
      <c r="AL108">
        <v>2147</v>
      </c>
      <c r="AM108">
        <v>2147</v>
      </c>
      <c r="AN108">
        <v>2147</v>
      </c>
    </row>
    <row r="109" spans="3:40">
      <c r="C109" s="2">
        <v>43024</v>
      </c>
      <c r="D109">
        <v>2136</v>
      </c>
      <c r="E109">
        <v>2165.75</v>
      </c>
      <c r="F109">
        <v>2127</v>
      </c>
      <c r="L109" s="2">
        <v>43024</v>
      </c>
      <c r="M109">
        <v>2119.5</v>
      </c>
      <c r="N109">
        <v>2152.4</v>
      </c>
      <c r="O109">
        <v>2119.25</v>
      </c>
      <c r="U109" s="2">
        <v>43024</v>
      </c>
      <c r="V109">
        <v>2130.25</v>
      </c>
      <c r="W109">
        <v>2162.85</v>
      </c>
      <c r="X109">
        <v>2130.1</v>
      </c>
      <c r="AC109" s="2">
        <v>43024</v>
      </c>
      <c r="AD109">
        <v>2136</v>
      </c>
      <c r="AE109">
        <v>2158</v>
      </c>
      <c r="AF109">
        <v>2135.85</v>
      </c>
      <c r="AK109" s="2">
        <v>43024</v>
      </c>
      <c r="AL109">
        <v>2147</v>
      </c>
      <c r="AM109">
        <v>2160.15</v>
      </c>
      <c r="AN109">
        <v>2147</v>
      </c>
    </row>
    <row r="110" spans="3:40">
      <c r="C110" s="2">
        <v>43025</v>
      </c>
      <c r="D110">
        <v>2140</v>
      </c>
      <c r="E110">
        <v>2154.25</v>
      </c>
      <c r="F110">
        <v>2130</v>
      </c>
      <c r="L110" s="2">
        <v>43025</v>
      </c>
      <c r="M110">
        <v>2123.75</v>
      </c>
      <c r="N110">
        <v>2123.75</v>
      </c>
      <c r="O110">
        <v>2121</v>
      </c>
      <c r="U110" s="2">
        <v>43025</v>
      </c>
      <c r="V110">
        <v>2134</v>
      </c>
      <c r="W110">
        <v>2134</v>
      </c>
      <c r="X110">
        <v>2126.5</v>
      </c>
      <c r="AC110" s="2">
        <v>43025</v>
      </c>
      <c r="AD110">
        <v>2140</v>
      </c>
      <c r="AE110">
        <v>2154.25</v>
      </c>
      <c r="AF110">
        <v>2130</v>
      </c>
      <c r="AK110" s="2">
        <v>43025</v>
      </c>
      <c r="AL110">
        <v>2151</v>
      </c>
      <c r="AM110">
        <v>2151.1999999999998</v>
      </c>
      <c r="AN110">
        <v>2146.35</v>
      </c>
    </row>
    <row r="111" spans="3:40">
      <c r="C111" s="2">
        <v>43026</v>
      </c>
      <c r="D111">
        <v>2121</v>
      </c>
      <c r="E111">
        <v>2149.5</v>
      </c>
      <c r="F111">
        <v>2114.5</v>
      </c>
      <c r="L111" s="2">
        <v>43026</v>
      </c>
      <c r="M111">
        <v>2106.5</v>
      </c>
      <c r="N111">
        <v>2112.9499999999998</v>
      </c>
      <c r="O111">
        <v>2100</v>
      </c>
      <c r="U111" s="2">
        <v>43026</v>
      </c>
      <c r="V111">
        <v>2115.5</v>
      </c>
      <c r="W111">
        <v>2122</v>
      </c>
      <c r="X111">
        <v>2112</v>
      </c>
      <c r="AC111" s="2">
        <v>43026</v>
      </c>
      <c r="AD111">
        <v>2121.5</v>
      </c>
      <c r="AE111">
        <v>2127.8000000000002</v>
      </c>
      <c r="AF111">
        <v>2119.5</v>
      </c>
      <c r="AK111" s="2">
        <v>43026</v>
      </c>
      <c r="AL111">
        <v>2132.5</v>
      </c>
      <c r="AM111">
        <v>2132.6999999999998</v>
      </c>
      <c r="AN111">
        <v>2130</v>
      </c>
    </row>
    <row r="112" spans="3:40">
      <c r="C112" s="2">
        <v>43027</v>
      </c>
      <c r="D112">
        <v>2153</v>
      </c>
      <c r="E112">
        <v>2157</v>
      </c>
      <c r="F112">
        <v>2118</v>
      </c>
      <c r="L112" s="2">
        <v>43027</v>
      </c>
      <c r="M112">
        <v>2143</v>
      </c>
      <c r="N112">
        <v>2143.15</v>
      </c>
      <c r="O112">
        <v>2117</v>
      </c>
      <c r="U112" s="2">
        <v>43027</v>
      </c>
      <c r="V112">
        <v>2148.5</v>
      </c>
      <c r="W112">
        <v>2148.65</v>
      </c>
      <c r="X112">
        <v>2119.5</v>
      </c>
      <c r="AC112" s="2">
        <v>43027</v>
      </c>
      <c r="AD112">
        <v>2154</v>
      </c>
      <c r="AE112">
        <v>2154.15</v>
      </c>
      <c r="AF112">
        <v>2128</v>
      </c>
      <c r="AK112" s="2">
        <v>43027</v>
      </c>
      <c r="AL112">
        <v>2163.75</v>
      </c>
      <c r="AM112">
        <v>2163.75</v>
      </c>
      <c r="AN112">
        <v>2156.42</v>
      </c>
    </row>
    <row r="113" spans="3:40">
      <c r="C113" s="2">
        <v>43028</v>
      </c>
      <c r="D113">
        <v>2136</v>
      </c>
      <c r="E113">
        <v>2169</v>
      </c>
      <c r="F113">
        <v>2130</v>
      </c>
      <c r="L113" s="2">
        <v>43028</v>
      </c>
      <c r="M113">
        <v>2125.25</v>
      </c>
      <c r="N113">
        <v>2146</v>
      </c>
      <c r="O113">
        <v>2125</v>
      </c>
      <c r="U113" s="2">
        <v>43028</v>
      </c>
      <c r="V113">
        <v>2131</v>
      </c>
      <c r="W113">
        <v>2163.75</v>
      </c>
      <c r="X113">
        <v>2130.8000000000002</v>
      </c>
      <c r="AC113" s="2">
        <v>43028</v>
      </c>
      <c r="AD113">
        <v>2136.5</v>
      </c>
      <c r="AE113">
        <v>2166.5</v>
      </c>
      <c r="AF113">
        <v>2136.35</v>
      </c>
      <c r="AK113" s="2">
        <v>43028</v>
      </c>
      <c r="AL113">
        <v>2147</v>
      </c>
      <c r="AM113">
        <v>2146.85</v>
      </c>
      <c r="AN113">
        <v>2146.85</v>
      </c>
    </row>
    <row r="114" spans="3:40">
      <c r="C114" s="2">
        <v>43031</v>
      </c>
      <c r="D114">
        <v>2137</v>
      </c>
      <c r="E114">
        <v>2149</v>
      </c>
      <c r="F114">
        <v>2130</v>
      </c>
      <c r="L114" s="2">
        <v>43031</v>
      </c>
      <c r="M114">
        <v>2125.75</v>
      </c>
      <c r="N114">
        <v>2134</v>
      </c>
      <c r="O114">
        <v>2125.5</v>
      </c>
      <c r="U114" s="2">
        <v>43031</v>
      </c>
      <c r="V114">
        <v>2131.5</v>
      </c>
      <c r="W114">
        <v>2140.65</v>
      </c>
      <c r="X114">
        <v>2130</v>
      </c>
      <c r="AC114" s="2">
        <v>43031</v>
      </c>
      <c r="AD114">
        <v>2137</v>
      </c>
      <c r="AE114">
        <v>2147</v>
      </c>
      <c r="AF114">
        <v>2136.85</v>
      </c>
      <c r="AK114" s="2">
        <v>43031</v>
      </c>
      <c r="AL114">
        <v>2147.25</v>
      </c>
      <c r="AM114">
        <v>2147.25</v>
      </c>
      <c r="AN114">
        <v>2147.25</v>
      </c>
    </row>
    <row r="115" spans="3:40">
      <c r="C115" s="2">
        <v>43032</v>
      </c>
      <c r="D115">
        <v>2155</v>
      </c>
      <c r="E115">
        <v>2165</v>
      </c>
      <c r="F115">
        <v>2136.5</v>
      </c>
      <c r="L115" s="2">
        <v>43032</v>
      </c>
      <c r="M115">
        <v>2144.5</v>
      </c>
      <c r="N115">
        <v>2144.65</v>
      </c>
      <c r="O115">
        <v>2144.25</v>
      </c>
      <c r="U115" s="2">
        <v>43032</v>
      </c>
      <c r="V115">
        <v>2150.25</v>
      </c>
      <c r="W115">
        <v>2155</v>
      </c>
      <c r="X115">
        <v>2138</v>
      </c>
      <c r="AC115" s="2">
        <v>43032</v>
      </c>
      <c r="AD115">
        <v>2155</v>
      </c>
      <c r="AE115">
        <v>2159</v>
      </c>
      <c r="AF115">
        <v>2143.6999999999998</v>
      </c>
      <c r="AK115" s="2">
        <v>43032</v>
      </c>
      <c r="AL115">
        <v>2164.75</v>
      </c>
      <c r="AM115">
        <v>2164.75</v>
      </c>
      <c r="AN115">
        <v>2162.35</v>
      </c>
    </row>
    <row r="116" spans="3:40">
      <c r="C116" s="2">
        <v>43033</v>
      </c>
      <c r="D116">
        <v>2161.5</v>
      </c>
      <c r="E116">
        <v>2167.5</v>
      </c>
      <c r="F116">
        <v>2149</v>
      </c>
      <c r="L116" s="2">
        <v>43033</v>
      </c>
      <c r="M116">
        <v>2144</v>
      </c>
      <c r="N116">
        <v>2148</v>
      </c>
      <c r="O116">
        <v>2144</v>
      </c>
      <c r="U116" s="2">
        <v>43033</v>
      </c>
      <c r="V116">
        <v>2150.25</v>
      </c>
      <c r="W116">
        <v>2155</v>
      </c>
      <c r="X116">
        <v>2149</v>
      </c>
      <c r="AC116" s="2">
        <v>43033</v>
      </c>
      <c r="AD116">
        <v>2159</v>
      </c>
      <c r="AE116">
        <v>2159</v>
      </c>
      <c r="AF116">
        <v>2153.1999999999998</v>
      </c>
      <c r="AK116" s="2">
        <v>43033</v>
      </c>
      <c r="AL116">
        <v>2170</v>
      </c>
      <c r="AM116">
        <v>2170</v>
      </c>
      <c r="AN116">
        <v>2170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68"/>
  <sheetViews>
    <sheetView topLeftCell="C1" workbookViewId="0">
      <selection activeCell="N10" sqref="N10"/>
    </sheetView>
  </sheetViews>
  <sheetFormatPr defaultRowHeight="12.75"/>
  <cols>
    <col min="2" max="2" width="10.140625" bestFit="1" customWidth="1"/>
    <col min="3" max="3" width="11.7109375" bestFit="1" customWidth="1"/>
    <col min="4" max="4" width="10.140625" bestFit="1" customWidth="1"/>
    <col min="9" max="9" width="10.7109375" customWidth="1"/>
    <col min="12" max="12" width="10.140625" bestFit="1" customWidth="1"/>
    <col min="14" max="14" width="23.42578125" bestFit="1" customWidth="1"/>
    <col min="18" max="18" width="11.7109375" bestFit="1" customWidth="1"/>
    <col min="19" max="19" width="11.85546875" bestFit="1" customWidth="1"/>
    <col min="20" max="20" width="18.28515625" bestFit="1" customWidth="1"/>
    <col min="21" max="21" width="10.140625" bestFit="1" customWidth="1"/>
    <col min="30" max="30" width="10.140625" bestFit="1" customWidth="1"/>
  </cols>
  <sheetData>
    <row r="1" spans="1:20">
      <c r="A1" t="s">
        <v>29</v>
      </c>
      <c r="B1" s="1">
        <f ca="1">TODAY()</f>
        <v>43082</v>
      </c>
      <c r="E1" s="4" t="s">
        <v>16</v>
      </c>
      <c r="F1" s="6" t="s">
        <v>17</v>
      </c>
      <c r="G1" s="6" t="s">
        <v>18</v>
      </c>
      <c r="H1" s="6" t="s">
        <v>19</v>
      </c>
      <c r="I1" s="7" t="s">
        <v>20</v>
      </c>
      <c r="J1" s="7" t="s">
        <v>21</v>
      </c>
    </row>
    <row r="2" spans="1:20">
      <c r="E2" s="5" t="s">
        <v>22</v>
      </c>
      <c r="F2" s="9" t="s">
        <v>23</v>
      </c>
      <c r="G2" s="9" t="s">
        <v>24</v>
      </c>
      <c r="H2" s="9" t="s">
        <v>25</v>
      </c>
      <c r="I2" s="8" t="s">
        <v>26</v>
      </c>
      <c r="J2" s="8" t="s">
        <v>27</v>
      </c>
      <c r="R2" s="2">
        <v>43039</v>
      </c>
    </row>
    <row r="3" spans="1:20">
      <c r="B3" s="1">
        <f ca="1">datefromdefinition(C3)</f>
        <v>43103</v>
      </c>
      <c r="C3" t="str">
        <f t="array" aca="1" ref="C3:C18" ca="1">TRANSPOSE(_xll.feMarketMurexPillarLabels("C LME COPP / GBP LME"))</f>
        <v>JAN 180103</v>
      </c>
      <c r="D3" t="str">
        <f ca="1">RIGHT(fm(B3,"LX"),2)</f>
        <v>F8</v>
      </c>
      <c r="E3" t="str">
        <f ca="1">E$2&amp;$D3&amp;" Comdty"</f>
        <v>DF8 Comdty</v>
      </c>
      <c r="F3" t="str">
        <f t="shared" ref="F3:J18" ca="1" si="0">F$2&amp;$D3&amp;" Comdty"</f>
        <v>CF8 Comdty</v>
      </c>
      <c r="G3" t="str">
        <f t="shared" ca="1" si="0"/>
        <v>EF8 Comdty</v>
      </c>
      <c r="H3" t="str">
        <f t="shared" ca="1" si="0"/>
        <v>PF8 Comdty</v>
      </c>
      <c r="I3" t="str">
        <f t="shared" ca="1" si="0"/>
        <v>OF8 Comdty</v>
      </c>
      <c r="J3" t="str">
        <f t="shared" ca="1" si="0"/>
        <v>RF8 Comdty</v>
      </c>
      <c r="N3" t="s">
        <v>31</v>
      </c>
      <c r="R3" t="s">
        <v>98</v>
      </c>
      <c r="S3" t="s">
        <v>99</v>
      </c>
      <c r="T3" s="65">
        <f ca="1">_xll.BDH($E$20&amp;S3,"Last Trade",$R$2,$R$2)</f>
        <v>19.71</v>
      </c>
    </row>
    <row r="4" spans="1:20">
      <c r="B4" s="1">
        <f t="shared" ref="B4:B18" ca="1" si="1">datefromdefinition(C4)</f>
        <v>43138</v>
      </c>
      <c r="C4" t="str">
        <f ca="1"/>
        <v>FEB 180207</v>
      </c>
      <c r="D4" t="str">
        <f t="shared" ref="D4:D18" ca="1" si="2">RIGHT(fm(B4,"LX"),2)</f>
        <v>G8</v>
      </c>
      <c r="E4" t="str">
        <f t="shared" ref="E4:E18" ca="1" si="3">E$2&amp;$D4&amp;" Comdty"</f>
        <v>DG8 Comdty</v>
      </c>
      <c r="F4" t="str">
        <f t="shared" ca="1" si="0"/>
        <v>CG8 Comdty</v>
      </c>
      <c r="G4" t="str">
        <f t="shared" ca="1" si="0"/>
        <v>EG8 Comdty</v>
      </c>
      <c r="H4" t="str">
        <f t="shared" ca="1" si="0"/>
        <v>PG8 Comdty</v>
      </c>
      <c r="I4" t="str">
        <f t="shared" ca="1" si="0"/>
        <v>OG8 Comdty</v>
      </c>
      <c r="J4" t="str">
        <f t="shared" ca="1" si="0"/>
        <v>RG8 Comdty</v>
      </c>
      <c r="N4" t="s">
        <v>32</v>
      </c>
      <c r="R4" t="s">
        <v>100</v>
      </c>
      <c r="S4" t="s">
        <v>101</v>
      </c>
      <c r="T4" s="65">
        <f ca="1">_xll.BDH($E$20&amp;S4,"Last Trade",$R$2,$R$2)</f>
        <v>18.79</v>
      </c>
    </row>
    <row r="5" spans="1:20">
      <c r="B5" s="1">
        <f t="shared" ca="1" si="1"/>
        <v>43166</v>
      </c>
      <c r="C5" t="str">
        <f ca="1"/>
        <v>MAR 180307</v>
      </c>
      <c r="D5" t="str">
        <f t="shared" ca="1" si="2"/>
        <v>H8</v>
      </c>
      <c r="E5" t="str">
        <f t="shared" ca="1" si="3"/>
        <v>DH8 Comdty</v>
      </c>
      <c r="F5" t="str">
        <f t="shared" ca="1" si="0"/>
        <v>CH8 Comdty</v>
      </c>
      <c r="G5" t="str">
        <f t="shared" ca="1" si="0"/>
        <v>EH8 Comdty</v>
      </c>
      <c r="H5" t="str">
        <f t="shared" ca="1" si="0"/>
        <v>PH8 Comdty</v>
      </c>
      <c r="I5" t="str">
        <f t="shared" ca="1" si="0"/>
        <v>OH8 Comdty</v>
      </c>
      <c r="J5" t="str">
        <f t="shared" ca="1" si="0"/>
        <v>RH8 Comdty</v>
      </c>
      <c r="R5" t="s">
        <v>102</v>
      </c>
      <c r="S5" t="s">
        <v>103</v>
      </c>
      <c r="T5" s="65">
        <f ca="1">_xll.BDH($E$20&amp;S5,"Last Trade",$R$2,$R$2)</f>
        <v>18.73</v>
      </c>
    </row>
    <row r="6" spans="1:20">
      <c r="B6" s="1">
        <f t="shared" ca="1" si="1"/>
        <v>43194</v>
      </c>
      <c r="C6" t="str">
        <f ca="1"/>
        <v>APR 180404</v>
      </c>
      <c r="D6" t="str">
        <f t="shared" ca="1" si="2"/>
        <v>J8</v>
      </c>
      <c r="E6" t="str">
        <f t="shared" ca="1" si="3"/>
        <v>DJ8 Comdty</v>
      </c>
      <c r="F6" t="str">
        <f t="shared" ca="1" si="0"/>
        <v>CJ8 Comdty</v>
      </c>
      <c r="G6" t="str">
        <f t="shared" ca="1" si="0"/>
        <v>EJ8 Comdty</v>
      </c>
      <c r="H6" t="str">
        <f t="shared" ca="1" si="0"/>
        <v>PJ8 Comdty</v>
      </c>
      <c r="I6" t="str">
        <f t="shared" ca="1" si="0"/>
        <v>OJ8 Comdty</v>
      </c>
      <c r="J6" t="str">
        <f t="shared" ca="1" si="0"/>
        <v>RJ8 Comdty</v>
      </c>
      <c r="R6" t="s">
        <v>104</v>
      </c>
      <c r="S6" t="s">
        <v>105</v>
      </c>
      <c r="T6" s="65">
        <f ca="1">_xll.BDH($E$20&amp;S6,"Last Trade",$R$2,$R$2)</f>
        <v>18.579999999999998</v>
      </c>
    </row>
    <row r="7" spans="1:20">
      <c r="B7" s="1">
        <f t="shared" ca="1" si="1"/>
        <v>43222</v>
      </c>
      <c r="C7" t="str">
        <f ca="1"/>
        <v>MAY 180502</v>
      </c>
      <c r="D7" t="str">
        <f t="shared" ca="1" si="2"/>
        <v>K8</v>
      </c>
      <c r="E7" t="str">
        <f t="shared" ca="1" si="3"/>
        <v>DK8 Comdty</v>
      </c>
      <c r="F7" t="str">
        <f t="shared" ca="1" si="0"/>
        <v>CK8 Comdty</v>
      </c>
      <c r="G7" t="str">
        <f t="shared" ca="1" si="0"/>
        <v>EK8 Comdty</v>
      </c>
      <c r="H7" t="str">
        <f t="shared" ca="1" si="0"/>
        <v>PK8 Comdty</v>
      </c>
      <c r="I7" t="str">
        <f t="shared" ca="1" si="0"/>
        <v>OK8 Comdty</v>
      </c>
      <c r="J7" t="str">
        <f t="shared" ca="1" si="0"/>
        <v>RK8 Comdty</v>
      </c>
      <c r="R7" t="s">
        <v>106</v>
      </c>
      <c r="S7" t="s">
        <v>107</v>
      </c>
      <c r="T7" s="65">
        <f ca="1">_xll.BDH($E$20&amp;S7,"Last Trade",$R$2,$R$2)</f>
        <v>18.46</v>
      </c>
    </row>
    <row r="8" spans="1:20">
      <c r="B8" s="1">
        <f t="shared" ca="1" si="1"/>
        <v>43257</v>
      </c>
      <c r="C8" t="str">
        <f ca="1"/>
        <v>JUN 180606</v>
      </c>
      <c r="D8" t="str">
        <f t="shared" ca="1" si="2"/>
        <v>M8</v>
      </c>
      <c r="E8" t="str">
        <f t="shared" ca="1" si="3"/>
        <v>DM8 Comdty</v>
      </c>
      <c r="F8" t="str">
        <f t="shared" ca="1" si="0"/>
        <v>CM8 Comdty</v>
      </c>
      <c r="G8" t="str">
        <f t="shared" ca="1" si="0"/>
        <v>EM8 Comdty</v>
      </c>
      <c r="H8" t="str">
        <f t="shared" ca="1" si="0"/>
        <v>PM8 Comdty</v>
      </c>
      <c r="I8" t="str">
        <f t="shared" ca="1" si="0"/>
        <v>OM8 Comdty</v>
      </c>
      <c r="J8" t="str">
        <f t="shared" ca="1" si="0"/>
        <v>RM8 Comdty</v>
      </c>
      <c r="R8" t="s">
        <v>108</v>
      </c>
      <c r="S8" t="s">
        <v>109</v>
      </c>
      <c r="T8" s="65">
        <f ca="1">_xll.BDH($E$20&amp;S8,"Last Trade",$R$2,$R$2)</f>
        <v>18.309999999999999</v>
      </c>
    </row>
    <row r="9" spans="1:20">
      <c r="B9" s="1">
        <f t="shared" ca="1" si="1"/>
        <v>43285</v>
      </c>
      <c r="C9" t="str">
        <f ca="1"/>
        <v>JUL 180704</v>
      </c>
      <c r="D9" t="str">
        <f t="shared" ca="1" si="2"/>
        <v>N8</v>
      </c>
      <c r="E9" t="str">
        <f t="shared" ca="1" si="3"/>
        <v>DN8 Comdty</v>
      </c>
      <c r="F9" t="str">
        <f t="shared" ca="1" si="0"/>
        <v>CN8 Comdty</v>
      </c>
      <c r="G9" t="str">
        <f t="shared" ca="1" si="0"/>
        <v>EN8 Comdty</v>
      </c>
      <c r="H9" t="str">
        <f t="shared" ca="1" si="0"/>
        <v>PN8 Comdty</v>
      </c>
      <c r="I9" t="str">
        <f t="shared" ca="1" si="0"/>
        <v>ON8 Comdty</v>
      </c>
      <c r="J9" t="str">
        <f t="shared" ca="1" si="0"/>
        <v>RN8 Comdty</v>
      </c>
      <c r="N9" t="str">
        <f t="array" aca="1" ref="N9:P9" ca="1">HL()</f>
        <v>LME ALUMINUM  3MO ($)</v>
      </c>
      <c r="O9">
        <f ca="1"/>
        <v>2141</v>
      </c>
      <c r="P9">
        <f ca="1"/>
        <v>2201</v>
      </c>
      <c r="R9" t="s">
        <v>110</v>
      </c>
      <c r="S9" t="s">
        <v>111</v>
      </c>
      <c r="T9" s="65">
        <f ca="1">_xll.BDH($E$20&amp;S9,"Last Trade",$R$2,$R$2)</f>
        <v>18.21</v>
      </c>
    </row>
    <row r="10" spans="1:20">
      <c r="B10" s="1">
        <f t="shared" ca="1" si="1"/>
        <v>43313</v>
      </c>
      <c r="C10" t="str">
        <f ca="1"/>
        <v>AUG 180801</v>
      </c>
      <c r="D10" t="str">
        <f t="shared" ca="1" si="2"/>
        <v>Q8</v>
      </c>
      <c r="E10" t="str">
        <f t="shared" ca="1" si="3"/>
        <v>DQ8 Comdty</v>
      </c>
      <c r="F10" t="str">
        <f t="shared" ca="1" si="0"/>
        <v>CQ8 Comdty</v>
      </c>
      <c r="G10" t="str">
        <f t="shared" ca="1" si="0"/>
        <v>EQ8 Comdty</v>
      </c>
      <c r="H10" t="str">
        <f t="shared" ca="1" si="0"/>
        <v>PQ8 Comdty</v>
      </c>
      <c r="I10" t="str">
        <f t="shared" ca="1" si="0"/>
        <v>OQ8 Comdty</v>
      </c>
      <c r="J10" t="str">
        <f t="shared" ca="1" si="0"/>
        <v>RQ8 Comdty</v>
      </c>
      <c r="R10" t="s">
        <v>112</v>
      </c>
      <c r="S10" t="s">
        <v>113</v>
      </c>
      <c r="T10" s="65">
        <f ca="1">_xll.BDH($E$20&amp;S10,"Last Trade",$R$2,$R$2)</f>
        <v>18.05</v>
      </c>
    </row>
    <row r="11" spans="1:20">
      <c r="B11" s="1">
        <f t="shared" ca="1" si="1"/>
        <v>43348</v>
      </c>
      <c r="C11" t="str">
        <f ca="1"/>
        <v>SEP 180905</v>
      </c>
      <c r="D11" t="str">
        <f t="shared" ca="1" si="2"/>
        <v>U8</v>
      </c>
      <c r="E11" t="str">
        <f t="shared" ca="1" si="3"/>
        <v>DU8 Comdty</v>
      </c>
      <c r="F11" t="str">
        <f t="shared" ca="1" si="0"/>
        <v>CU8 Comdty</v>
      </c>
      <c r="G11" t="str">
        <f t="shared" ca="1" si="0"/>
        <v>EU8 Comdty</v>
      </c>
      <c r="H11" t="str">
        <f t="shared" ca="1" si="0"/>
        <v>PU8 Comdty</v>
      </c>
      <c r="I11" t="str">
        <f t="shared" ca="1" si="0"/>
        <v>OU8 Comdty</v>
      </c>
      <c r="J11" t="str">
        <f t="shared" ca="1" si="0"/>
        <v>RU8 Comdty</v>
      </c>
      <c r="R11" t="s">
        <v>114</v>
      </c>
      <c r="S11" t="s">
        <v>115</v>
      </c>
      <c r="T11" s="65">
        <f ca="1">_xll.BDH($E$20&amp;S11,"Last Trade",$R$2,$R$2)</f>
        <v>17.899999999999999</v>
      </c>
    </row>
    <row r="12" spans="1:20">
      <c r="B12" s="1">
        <f t="shared" ca="1" si="1"/>
        <v>43376</v>
      </c>
      <c r="C12" t="str">
        <f ca="1"/>
        <v>OCT 181003</v>
      </c>
      <c r="D12" t="str">
        <f t="shared" ca="1" si="2"/>
        <v>V8</v>
      </c>
      <c r="E12" t="str">
        <f t="shared" ca="1" si="3"/>
        <v>DV8 Comdty</v>
      </c>
      <c r="F12" t="str">
        <f t="shared" ca="1" si="0"/>
        <v>CV8 Comdty</v>
      </c>
      <c r="G12" t="str">
        <f t="shared" ca="1" si="0"/>
        <v>EV8 Comdty</v>
      </c>
      <c r="H12" t="str">
        <f t="shared" ca="1" si="0"/>
        <v>PV8 Comdty</v>
      </c>
      <c r="I12" t="str">
        <f t="shared" ca="1" si="0"/>
        <v>OV8 Comdty</v>
      </c>
      <c r="J12" t="str">
        <f t="shared" ca="1" si="0"/>
        <v>RV8 Comdty</v>
      </c>
      <c r="R12" t="s">
        <v>116</v>
      </c>
      <c r="S12" t="s">
        <v>117</v>
      </c>
      <c r="T12" s="65">
        <f ca="1">_xll.BDH($E$20&amp;S12,"Last Trade",$R$2,$R$2)</f>
        <v>17.72</v>
      </c>
    </row>
    <row r="13" spans="1:20">
      <c r="B13" s="1">
        <f t="shared" ca="1" si="1"/>
        <v>43411</v>
      </c>
      <c r="C13" t="str">
        <f ca="1"/>
        <v>NOV 181107</v>
      </c>
      <c r="D13" t="str">
        <f t="shared" ca="1" si="2"/>
        <v>X8</v>
      </c>
      <c r="E13" t="str">
        <f t="shared" ca="1" si="3"/>
        <v>DX8 Comdty</v>
      </c>
      <c r="F13" t="str">
        <f t="shared" ca="1" si="0"/>
        <v>CX8 Comdty</v>
      </c>
      <c r="G13" t="str">
        <f t="shared" ca="1" si="0"/>
        <v>EX8 Comdty</v>
      </c>
      <c r="H13" t="str">
        <f t="shared" ca="1" si="0"/>
        <v>PX8 Comdty</v>
      </c>
      <c r="I13" t="str">
        <f t="shared" ca="1" si="0"/>
        <v>OX8 Comdty</v>
      </c>
      <c r="J13" t="str">
        <f t="shared" ca="1" si="0"/>
        <v>RX8 Comdty</v>
      </c>
      <c r="R13" t="s">
        <v>118</v>
      </c>
      <c r="S13" t="s">
        <v>119</v>
      </c>
      <c r="T13" s="65">
        <f ca="1">_xll.BDH($E$20&amp;S13,"Last Trade",$R$2,$R$2)</f>
        <v>17.59</v>
      </c>
    </row>
    <row r="14" spans="1:20">
      <c r="B14" s="1">
        <f t="shared" ca="1" si="1"/>
        <v>43439</v>
      </c>
      <c r="C14" t="str">
        <f ca="1"/>
        <v>DEC 181205</v>
      </c>
      <c r="D14" t="str">
        <f t="shared" ca="1" si="2"/>
        <v>Z8</v>
      </c>
      <c r="E14" t="str">
        <f t="shared" ca="1" si="3"/>
        <v>DZ8 Comdty</v>
      </c>
      <c r="F14" t="str">
        <f t="shared" ca="1" si="0"/>
        <v>CZ8 Comdty</v>
      </c>
      <c r="G14" t="str">
        <f t="shared" ca="1" si="0"/>
        <v>EZ8 Comdty</v>
      </c>
      <c r="H14" t="str">
        <f t="shared" ca="1" si="0"/>
        <v>PZ8 Comdty</v>
      </c>
      <c r="I14" t="str">
        <f t="shared" ca="1" si="0"/>
        <v>OZ8 Comdty</v>
      </c>
      <c r="J14" t="str">
        <f t="shared" ca="1" si="0"/>
        <v>RZ8 Comdty</v>
      </c>
      <c r="R14" t="s">
        <v>120</v>
      </c>
      <c r="S14" t="s">
        <v>121</v>
      </c>
      <c r="T14" s="65">
        <f ca="1">_xll.BDH($E$20&amp;S14,"Last Trade",$R$2,$R$2)</f>
        <v>17.43</v>
      </c>
    </row>
    <row r="15" spans="1:20">
      <c r="B15" s="1">
        <f t="shared" ca="1" si="1"/>
        <v>43530</v>
      </c>
      <c r="C15" t="str">
        <f ca="1"/>
        <v>MAR 190306</v>
      </c>
      <c r="D15" t="str">
        <f t="shared" ca="1" si="2"/>
        <v>H9</v>
      </c>
      <c r="E15" t="str">
        <f t="shared" ca="1" si="3"/>
        <v>DH9 Comdty</v>
      </c>
      <c r="F15" t="str">
        <f t="shared" ca="1" si="0"/>
        <v>CH9 Comdty</v>
      </c>
      <c r="G15" t="str">
        <f t="shared" ca="1" si="0"/>
        <v>EH9 Comdty</v>
      </c>
      <c r="H15" t="str">
        <f t="shared" ca="1" si="0"/>
        <v>PH9 Comdty</v>
      </c>
      <c r="I15" t="str">
        <f t="shared" ca="1" si="0"/>
        <v>OH9 Comdty</v>
      </c>
      <c r="J15" t="str">
        <f t="shared" ca="1" si="0"/>
        <v>RH9 Comdty</v>
      </c>
      <c r="R15" t="s">
        <v>122</v>
      </c>
      <c r="S15" t="s">
        <v>123</v>
      </c>
      <c r="T15" s="65">
        <f ca="1">_xll.BDH($E$20&amp;S15,"Last Trade",$R$2,$R$2)</f>
        <v>17.32</v>
      </c>
    </row>
    <row r="16" spans="1:20">
      <c r="B16" s="1">
        <f t="shared" ca="1" si="1"/>
        <v>43621</v>
      </c>
      <c r="C16" t="str">
        <f ca="1"/>
        <v>JUN 190605</v>
      </c>
      <c r="D16" t="str">
        <f t="shared" ca="1" si="2"/>
        <v>M9</v>
      </c>
      <c r="E16" t="str">
        <f t="shared" ca="1" si="3"/>
        <v>DM9 Comdty</v>
      </c>
      <c r="F16" t="str">
        <f t="shared" ca="1" si="0"/>
        <v>CM9 Comdty</v>
      </c>
      <c r="G16" t="str">
        <f t="shared" ca="1" si="0"/>
        <v>EM9 Comdty</v>
      </c>
      <c r="H16" t="str">
        <f t="shared" ca="1" si="0"/>
        <v>PM9 Comdty</v>
      </c>
      <c r="I16" t="str">
        <f t="shared" ca="1" si="0"/>
        <v>OM9 Comdty</v>
      </c>
      <c r="J16" t="str">
        <f t="shared" ca="1" si="0"/>
        <v>RM9 Comdty</v>
      </c>
      <c r="R16" t="s">
        <v>124</v>
      </c>
      <c r="S16" t="s">
        <v>125</v>
      </c>
      <c r="T16" s="65">
        <f ca="1">_xll.BDH($E$20&amp;S16,"Last Trade",$R$2,$R$2)</f>
        <v>17.100000000000001</v>
      </c>
    </row>
    <row r="17" spans="2:36">
      <c r="B17" s="1">
        <f t="shared" ca="1" si="1"/>
        <v>43803</v>
      </c>
      <c r="C17" t="str">
        <f ca="1"/>
        <v>DEC 191204</v>
      </c>
      <c r="D17" t="str">
        <f t="shared" ca="1" si="2"/>
        <v>Z9</v>
      </c>
      <c r="E17" t="str">
        <f t="shared" ca="1" si="3"/>
        <v>DZ9 Comdty</v>
      </c>
      <c r="F17" t="str">
        <f t="shared" ca="1" si="0"/>
        <v>CZ9 Comdty</v>
      </c>
      <c r="G17" t="str">
        <f t="shared" ca="1" si="0"/>
        <v>EZ9 Comdty</v>
      </c>
      <c r="H17" t="str">
        <f t="shared" ca="1" si="0"/>
        <v>PZ9 Comdty</v>
      </c>
      <c r="I17" t="str">
        <f t="shared" ca="1" si="0"/>
        <v>OZ9 Comdty</v>
      </c>
      <c r="J17" t="str">
        <f t="shared" ca="1" si="0"/>
        <v>RZ9 Comdty</v>
      </c>
      <c r="R17" t="s">
        <v>126</v>
      </c>
      <c r="S17" t="s">
        <v>127</v>
      </c>
      <c r="T17" s="65">
        <f ca="1">_xll.BDH($E$20&amp;S17,"Last Trade",$R$2,$R$2)</f>
        <v>16.98</v>
      </c>
    </row>
    <row r="18" spans="2:36">
      <c r="B18" s="1">
        <f t="shared" ca="1" si="1"/>
        <v>44167</v>
      </c>
      <c r="C18" t="str">
        <f ca="1"/>
        <v>DEC 201202</v>
      </c>
      <c r="D18" t="str">
        <f t="shared" ca="1" si="2"/>
        <v>Z0</v>
      </c>
      <c r="E18" t="str">
        <f t="shared" ca="1" si="3"/>
        <v>DZ0 Comdty</v>
      </c>
      <c r="F18" t="str">
        <f t="shared" ca="1" si="0"/>
        <v>CZ0 Comdty</v>
      </c>
      <c r="G18" t="str">
        <f t="shared" ca="1" si="0"/>
        <v>EZ0 Comdty</v>
      </c>
      <c r="H18" t="str">
        <f t="shared" ca="1" si="0"/>
        <v>PZ0 Comdty</v>
      </c>
      <c r="I18" t="str">
        <f t="shared" ca="1" si="0"/>
        <v>OZ0 Comdty</v>
      </c>
      <c r="J18" t="str">
        <f t="shared" ca="1" si="0"/>
        <v>RZ0 Comdty</v>
      </c>
      <c r="R18" t="s">
        <v>128</v>
      </c>
      <c r="S18" t="s">
        <v>129</v>
      </c>
      <c r="T18" s="65">
        <f ca="1">_xll.BDH($E$20&amp;S18,"Last Trade",$R$2,$R$2)</f>
        <v>16.86</v>
      </c>
    </row>
    <row r="20" spans="2:36">
      <c r="E20" t="s">
        <v>28</v>
      </c>
    </row>
    <row r="21" spans="2:36">
      <c r="D21" s="10" t="str">
        <f ca="1">C3</f>
        <v>JAN 180103</v>
      </c>
      <c r="E21" s="4" t="s">
        <v>16</v>
      </c>
      <c r="F21" s="6" t="s">
        <v>17</v>
      </c>
      <c r="G21" s="6" t="s">
        <v>18</v>
      </c>
      <c r="H21" s="6" t="s">
        <v>19</v>
      </c>
      <c r="I21" s="7" t="s">
        <v>20</v>
      </c>
      <c r="J21" s="7" t="s">
        <v>21</v>
      </c>
      <c r="L21" s="10" t="str">
        <f ca="1">C4</f>
        <v>FEB 180207</v>
      </c>
      <c r="M21" s="4" t="s">
        <v>16</v>
      </c>
      <c r="N21" s="6" t="s">
        <v>17</v>
      </c>
      <c r="O21" s="6" t="s">
        <v>18</v>
      </c>
      <c r="P21" s="6" t="s">
        <v>19</v>
      </c>
      <c r="Q21" s="7" t="s">
        <v>20</v>
      </c>
      <c r="R21" s="7" t="s">
        <v>21</v>
      </c>
      <c r="U21" s="10"/>
      <c r="V21" s="4" t="s">
        <v>16</v>
      </c>
      <c r="W21" s="6" t="s">
        <v>17</v>
      </c>
      <c r="X21" s="6" t="s">
        <v>18</v>
      </c>
      <c r="Y21" s="6" t="s">
        <v>19</v>
      </c>
      <c r="Z21" s="7" t="s">
        <v>20</v>
      </c>
      <c r="AA21" s="7" t="s">
        <v>21</v>
      </c>
      <c r="AD21" s="10" t="str">
        <f ca="1">C10</f>
        <v>AUG 180801</v>
      </c>
      <c r="AE21" s="4" t="s">
        <v>16</v>
      </c>
      <c r="AF21" s="6" t="s">
        <v>17</v>
      </c>
      <c r="AG21" s="6" t="s">
        <v>18</v>
      </c>
      <c r="AH21" s="6" t="s">
        <v>19</v>
      </c>
      <c r="AI21" s="7" t="s">
        <v>20</v>
      </c>
      <c r="AJ21" s="7" t="s">
        <v>21</v>
      </c>
    </row>
    <row r="22" spans="2:36">
      <c r="D22" s="1">
        <f ca="1">_xll.feSubtractPeriod(B1,"1b","P","LME")</f>
        <v>43081</v>
      </c>
      <c r="E22">
        <f ca="1">_xll.BDH($E$20&amp;E$3,"Last Trade",$D22,$D22)</f>
        <v>-0.15</v>
      </c>
      <c r="F22">
        <f ca="1">_xll.BDH($E$20&amp;F$3,"Last Trade",$D22,$D22)</f>
        <v>-0.35</v>
      </c>
      <c r="G22">
        <f ca="1">_xll.BDH($E$20&amp;G$3,"Last Trade",$D22,$D22)</f>
        <v>13.65</v>
      </c>
      <c r="H22">
        <f ca="1">_xll.BDH($E$20&amp;H$3,"Last Trade",$D22,$D22)</f>
        <v>1.32</v>
      </c>
      <c r="I22">
        <f ca="1">_xll.BDH($E$20&amp;I$3,"Last Trade",$D22,$D22)</f>
        <v>2.99</v>
      </c>
      <c r="J22">
        <f ca="1">_xll.BDH($E$20&amp;J$3,"Last Trade",$D22,$D22)</f>
        <v>13.64</v>
      </c>
      <c r="L22" s="1">
        <f ca="1">D22</f>
        <v>43081</v>
      </c>
      <c r="M22">
        <f ca="1">_xll.BDH($E$20&amp;E$4,"Last Trade",$L22,$L22)</f>
        <v>-0.02</v>
      </c>
      <c r="N22">
        <f ca="1">_xll.BDH($E$20&amp;F$4,"Last Trade",$L22,$L22)</f>
        <v>-0.25</v>
      </c>
      <c r="O22">
        <f ca="1">_xll.BDH($E$20&amp;G$4,"Last Trade",$L22,$L22)</f>
        <v>15.9</v>
      </c>
      <c r="P22">
        <f ca="1">_xll.BDH($E$20&amp;H$4,"Last Trade",$L22,$L22)</f>
        <v>1.34</v>
      </c>
      <c r="Q22">
        <f ca="1">_xll.BDH($E$20&amp;I$4,"Last Trade",$L22,$L22)</f>
        <v>3.01</v>
      </c>
      <c r="R22">
        <f ca="1">_xll.BDH($E$20&amp;J$4,"Last Trade",$L22,$L22)</f>
        <v>15.89</v>
      </c>
      <c r="U22" s="1">
        <f ca="1">L22</f>
        <v>43081</v>
      </c>
      <c r="V22">
        <f ca="1">_xll.BDH($E$20&amp;E$6,"Last Trade",$U22,$U22)</f>
        <v>0.19</v>
      </c>
      <c r="W22">
        <f ca="1">_xll.BDH($E$20&amp;F$6,"Last Trade",$U22,$U22)</f>
        <v>-0.11</v>
      </c>
      <c r="X22">
        <f ca="1">_xll.BDH($E$20&amp;G$6,"Last Trade",$U22,$U22)</f>
        <v>16.649999999999999</v>
      </c>
      <c r="Y22">
        <f ca="1">_xll.BDH($E$20&amp;H$6,"Last Trade",$U22,$U22)</f>
        <v>1.19</v>
      </c>
      <c r="Z22">
        <f ca="1">_xll.BDH($E$20&amp;I$6,"Last Trade",$U22,$U22)</f>
        <v>2.66</v>
      </c>
      <c r="AA22">
        <f ca="1">_xll.BDH($E$20&amp;J$6,"Last Trade",$U22,$U22)</f>
        <v>16.64</v>
      </c>
      <c r="AD22" s="1">
        <f ca="1">U22</f>
        <v>43081</v>
      </c>
      <c r="AE22">
        <f ca="1">_xll.BDH($E$20&amp;E$10,"Last Trade",$AD22,$AD22)</f>
        <v>0.74</v>
      </c>
      <c r="AF22">
        <f ca="1">_xll.BDH($E$20&amp;F$10,"Last Trade",$AD22,$AD22)</f>
        <v>0.15</v>
      </c>
      <c r="AG22">
        <f ca="1">_xll.BDH($E$20&amp;G$10,"Last Trade",$AD22,$AD22)</f>
        <v>16.96</v>
      </c>
      <c r="AH22">
        <f ca="1">_xll.BDH($E$20&amp;H$10,"Last Trade",$AD22,$AD22)</f>
        <v>0.99</v>
      </c>
      <c r="AI22">
        <f ca="1">_xll.BDH($E$20&amp;I$10,"Last Trade",$AD22,$AD22)</f>
        <v>2.0699999999999998</v>
      </c>
      <c r="AJ22">
        <f ca="1">_xll.BDH($E$20&amp;J$10,"Last Trade",$AD22,$AD22)</f>
        <v>16.98</v>
      </c>
    </row>
    <row r="23" spans="2:36">
      <c r="D23" s="1">
        <f ca="1">_xll.feSubtractPeriod(D22,"1b","P","LME")</f>
        <v>43080</v>
      </c>
      <c r="E23">
        <f ca="1">_xll.BDH($E$20&amp;E$3,"Last Trade",$D23,$D23)</f>
        <v>-0.11</v>
      </c>
      <c r="F23">
        <f ca="1">_xll.BDH($E$20&amp;F$3,"Last Trade",$D23,$D23)</f>
        <v>-0.39</v>
      </c>
      <c r="G23">
        <f ca="1">_xll.BDH($E$20&amp;G$3,"Last Trade",$D23,$D23)</f>
        <v>15.07</v>
      </c>
      <c r="H23">
        <f ca="1">_xll.BDH($E$20&amp;H$3,"Last Trade",$D23,$D23)</f>
        <v>1.38</v>
      </c>
      <c r="I23">
        <f ca="1">_xll.BDH($E$20&amp;I$3,"Last Trade",$D23,$D23)</f>
        <v>3.14</v>
      </c>
      <c r="J23">
        <f ca="1">_xll.BDH($E$20&amp;J$3,"Last Trade",$D23,$D23)</f>
        <v>15.06</v>
      </c>
      <c r="L23" s="1">
        <f ca="1">D23</f>
        <v>43080</v>
      </c>
      <c r="M23">
        <f ca="1">_xll.BDH($E$20&amp;E$4,"Last Trade",$L23,$L23)</f>
        <v>0</v>
      </c>
      <c r="N23">
        <f ca="1">_xll.BDH($E$20&amp;F$4,"Last Trade",$L23,$L23)</f>
        <v>-0.24</v>
      </c>
      <c r="O23">
        <f ca="1">_xll.BDH($E$20&amp;G$4,"Last Trade",$L23,$L23)</f>
        <v>16.12</v>
      </c>
      <c r="P23">
        <f ca="1">_xll.BDH($E$20&amp;H$4,"Last Trade",$L23,$L23)</f>
        <v>1.3599999999999999</v>
      </c>
      <c r="Q23">
        <f ca="1">_xll.BDH($E$20&amp;I$4,"Last Trade",$L23,$L23)</f>
        <v>3.05</v>
      </c>
      <c r="R23">
        <f ca="1">_xll.BDH($E$20&amp;J$4,"Last Trade",$L23,$L23)</f>
        <v>16.11</v>
      </c>
      <c r="U23" s="1">
        <f ca="1">L23</f>
        <v>43080</v>
      </c>
      <c r="V23">
        <f ca="1">_xll.BDH($E$20&amp;E$5,"Last Trade",$U23,$U23)</f>
        <v>0.05</v>
      </c>
      <c r="W23">
        <f ca="1">_xll.BDH($E$20&amp;F$5,"Last Trade",$U23,$U23)</f>
        <v>-0.17</v>
      </c>
      <c r="X23">
        <f ca="1">_xll.BDH($E$20&amp;G$5,"Last Trade",$U23,$U23)</f>
        <v>16.510000000000002</v>
      </c>
      <c r="Y23">
        <f ca="1">_xll.BDH($E$20&amp;H$5,"Last Trade",$U23,$U23)</f>
        <v>1.32</v>
      </c>
      <c r="Z23">
        <f ca="1">_xll.BDH($E$20&amp;I$5,"Last Trade",$U23,$U23)</f>
        <v>2.9</v>
      </c>
      <c r="AA23">
        <f ca="1">_xll.BDH($E$20&amp;J$5,"Last Trade",$U23,$U23)</f>
        <v>16.5</v>
      </c>
      <c r="AD23" s="1">
        <f ca="1">U23</f>
        <v>43080</v>
      </c>
      <c r="AE23">
        <f ca="1">_xll.BDH($E$20&amp;E$10,"Last Trade",$AD23,$AD23)</f>
        <v>0.75</v>
      </c>
      <c r="AF23">
        <f ca="1">_xll.BDH($E$20&amp;F$10,"Last Trade",$AD23,$AD23)</f>
        <v>0.15</v>
      </c>
      <c r="AG23">
        <f ca="1">_xll.BDH($E$20&amp;G$10,"Last Trade",$AD23,$AD23)</f>
        <v>17.03</v>
      </c>
      <c r="AH23">
        <f ca="1">_xll.BDH($E$20&amp;H$10,"Last Trade",$AD23,$AD23)</f>
        <v>0.99</v>
      </c>
      <c r="AI23">
        <f ca="1">_xll.BDH($E$20&amp;I$10,"Last Trade",$AD23,$AD23)</f>
        <v>2.0699999999999998</v>
      </c>
      <c r="AJ23">
        <f ca="1">_xll.BDH($E$20&amp;J$10,"Last Trade",$AD23,$AD23)</f>
        <v>17.05</v>
      </c>
    </row>
    <row r="24" spans="2:36">
      <c r="D24" s="1">
        <f ca="1">_xll.feSubtractPeriod(D23,"1b","P","LME")</f>
        <v>43077</v>
      </c>
      <c r="E24">
        <f ca="1">_xll.BDH($E$20&amp;E$3,"Last Trade",$D24,$D24)</f>
        <v>0.05</v>
      </c>
      <c r="F24">
        <f ca="1">_xll.BDH($E$20&amp;F$3,"Last Trade",$D24,$D24)</f>
        <v>-0.24</v>
      </c>
      <c r="G24">
        <f ca="1">_xll.BDH($E$20&amp;G$3,"Last Trade",$D24,$D24)</f>
        <v>15.24</v>
      </c>
      <c r="H24">
        <f ca="1">_xll.BDH($E$20&amp;H$3,"Last Trade",$D24,$D24)</f>
        <v>1.31</v>
      </c>
      <c r="I24">
        <f ca="1">_xll.BDH($E$20&amp;I$3,"Last Trade",$D24,$D24)</f>
        <v>2.95</v>
      </c>
      <c r="J24">
        <f ca="1">_xll.BDH($E$20&amp;J$3,"Last Trade",$D24,$D24)</f>
        <v>15.23</v>
      </c>
      <c r="L24" s="1">
        <f t="shared" ref="L24:L68" ca="1" si="4">D24</f>
        <v>43077</v>
      </c>
      <c r="M24">
        <f ca="1">_xll.BDH($E$20&amp;E$4,"Last Trade",$L24,$L24)</f>
        <v>0.04</v>
      </c>
      <c r="N24">
        <f ca="1">_xll.BDH($E$20&amp;F$4,"Last Trade",$L24,$L24)</f>
        <v>-0.22</v>
      </c>
      <c r="O24">
        <f ca="1">_xll.BDH($E$20&amp;G$4,"Last Trade",$L24,$L24)</f>
        <v>16.22</v>
      </c>
      <c r="P24">
        <f ca="1">_xll.BDH($E$20&amp;H$4,"Last Trade",$L24,$L24)</f>
        <v>1.32</v>
      </c>
      <c r="Q24">
        <f ca="1">_xll.BDH($E$20&amp;I$4,"Last Trade",$L24,$L24)</f>
        <v>2.94</v>
      </c>
      <c r="R24">
        <f ca="1">_xll.BDH($E$20&amp;J$4,"Last Trade",$L24,$L24)</f>
        <v>16.21</v>
      </c>
      <c r="U24" s="1">
        <f t="shared" ref="U24:U68" ca="1" si="5">L24</f>
        <v>43077</v>
      </c>
      <c r="V24">
        <f ca="1">_xll.BDH($E$20&amp;E$5,"Last Trade",$U24,$U24)</f>
        <v>0.08</v>
      </c>
      <c r="W24">
        <f ca="1">_xll.BDH($E$20&amp;F$5,"Last Trade",$U24,$U24)</f>
        <v>-0.18</v>
      </c>
      <c r="X24">
        <f ca="1">_xll.BDH($E$20&amp;G$5,"Last Trade",$U24,$U24)</f>
        <v>16.579999999999998</v>
      </c>
      <c r="Y24">
        <f ca="1">_xll.BDH($E$20&amp;H$5,"Last Trade",$U24,$U24)</f>
        <v>1.29</v>
      </c>
      <c r="Z24">
        <f ca="1">_xll.BDH($E$20&amp;I$5,"Last Trade",$U24,$U24)</f>
        <v>2.81</v>
      </c>
      <c r="AA24">
        <f ca="1">_xll.BDH($E$20&amp;J$5,"Last Trade",$U24,$U24)</f>
        <v>16.57</v>
      </c>
      <c r="AD24" s="1">
        <f t="shared" ref="AD24:AD68" ca="1" si="6">U24</f>
        <v>43077</v>
      </c>
      <c r="AE24">
        <f ca="1">_xll.BDH($E$20&amp;E$10,"Last Trade",$AD24,$AD24)</f>
        <v>0.75</v>
      </c>
      <c r="AF24">
        <f ca="1">_xll.BDH($E$20&amp;F$10,"Last Trade",$AD24,$AD24)</f>
        <v>0.15</v>
      </c>
      <c r="AG24">
        <f ca="1">_xll.BDH($E$20&amp;G$10,"Last Trade",$AD24,$AD24)</f>
        <v>17.04</v>
      </c>
      <c r="AH24">
        <f ca="1">_xll.BDH($E$20&amp;H$10,"Last Trade",$AD24,$AD24)</f>
        <v>0.99</v>
      </c>
      <c r="AI24">
        <f ca="1">_xll.BDH($E$20&amp;I$10,"Last Trade",$AD24,$AD24)</f>
        <v>2.0699999999999998</v>
      </c>
      <c r="AJ24">
        <f ca="1">_xll.BDH($E$20&amp;J$10,"Last Trade",$AD24,$AD24)</f>
        <v>17.059999999999999</v>
      </c>
    </row>
    <row r="25" spans="2:36">
      <c r="D25" s="1">
        <f ca="1">_xll.feSubtractPeriod(D24,"1b","P","LME")</f>
        <v>43076</v>
      </c>
      <c r="E25">
        <f ca="1">_xll.BDH($E$20&amp;E$3,"Last Trade",$D25,$D25)</f>
        <v>-0.06</v>
      </c>
      <c r="F25">
        <f ca="1">_xll.BDH($E$20&amp;F$3,"Last Trade",$D25,$D25)</f>
        <v>-0.28999999999999998</v>
      </c>
      <c r="G25">
        <f ca="1">_xll.BDH($E$20&amp;G$3,"Last Trade",$D25,$D25)</f>
        <v>15.28</v>
      </c>
      <c r="H25">
        <f ca="1">_xll.BDH($E$20&amp;H$3,"Last Trade",$D25,$D25)</f>
        <v>1.26</v>
      </c>
      <c r="I25">
        <f ca="1">_xll.BDH($E$20&amp;I$3,"Last Trade",$D25,$D25)</f>
        <v>2.8</v>
      </c>
      <c r="J25">
        <f ca="1">_xll.BDH($E$20&amp;J$3,"Last Trade",$D25,$D25)</f>
        <v>15.27</v>
      </c>
      <c r="L25" s="1">
        <f t="shared" ca="1" si="4"/>
        <v>43076</v>
      </c>
      <c r="M25">
        <f ca="1">_xll.BDH($E$20&amp;E$4,"Last Trade",$L25,$L25)</f>
        <v>-0.02</v>
      </c>
      <c r="N25">
        <f ca="1">_xll.BDH($E$20&amp;F$4,"Last Trade",$L25,$L25)</f>
        <v>-0.25</v>
      </c>
      <c r="O25">
        <f ca="1">_xll.BDH($E$20&amp;G$4,"Last Trade",$L25,$L25)</f>
        <v>16.18</v>
      </c>
      <c r="P25">
        <f ca="1">_xll.BDH($E$20&amp;H$4,"Last Trade",$L25,$L25)</f>
        <v>1.31</v>
      </c>
      <c r="Q25">
        <f ca="1">_xll.BDH($E$20&amp;I$4,"Last Trade",$L25,$L25)</f>
        <v>2.91</v>
      </c>
      <c r="R25">
        <f ca="1">_xll.BDH($E$20&amp;J$4,"Last Trade",$L25,$L25)</f>
        <v>16.170000000000002</v>
      </c>
      <c r="U25" s="1">
        <f t="shared" ca="1" si="5"/>
        <v>43076</v>
      </c>
      <c r="V25">
        <f ca="1">_xll.BDH($E$20&amp;E$5,"Last Trade",$U25,$U25)</f>
        <v>0.05</v>
      </c>
      <c r="W25">
        <f ca="1">_xll.BDH($E$20&amp;F$5,"Last Trade",$U25,$U25)</f>
        <v>-0.19</v>
      </c>
      <c r="X25">
        <f ca="1">_xll.BDH($E$20&amp;G$5,"Last Trade",$U25,$U25)</f>
        <v>16.579999999999998</v>
      </c>
      <c r="Y25">
        <f ca="1">_xll.BDH($E$20&amp;H$5,"Last Trade",$U25,$U25)</f>
        <v>1.29</v>
      </c>
      <c r="Z25">
        <f ca="1">_xll.BDH($E$20&amp;I$5,"Last Trade",$U25,$U25)</f>
        <v>2.82</v>
      </c>
      <c r="AA25">
        <f ca="1">_xll.BDH($E$20&amp;J$5,"Last Trade",$U25,$U25)</f>
        <v>16.57</v>
      </c>
      <c r="AD25" s="1">
        <f t="shared" ca="1" si="6"/>
        <v>43076</v>
      </c>
      <c r="AE25">
        <f ca="1">_xll.BDH($E$20&amp;E$10,"Last Trade",$AD25,$AD25)</f>
        <v>0.75</v>
      </c>
      <c r="AF25">
        <f ca="1">_xll.BDH($E$20&amp;F$10,"Last Trade",$AD25,$AD25)</f>
        <v>0.15</v>
      </c>
      <c r="AG25">
        <f ca="1">_xll.BDH($E$20&amp;G$10,"Last Trade",$AD25,$AD25)</f>
        <v>17.04</v>
      </c>
      <c r="AH25">
        <f ca="1">_xll.BDH($E$20&amp;H$10,"Last Trade",$AD25,$AD25)</f>
        <v>0.99</v>
      </c>
      <c r="AI25">
        <f ca="1">_xll.BDH($E$20&amp;I$10,"Last Trade",$AD25,$AD25)</f>
        <v>2.0699999999999998</v>
      </c>
      <c r="AJ25">
        <f ca="1">_xll.BDH($E$20&amp;J$10,"Last Trade",$AD25,$AD25)</f>
        <v>17.059999999999999</v>
      </c>
    </row>
    <row r="26" spans="2:36">
      <c r="D26" s="1">
        <f ca="1">_xll.feSubtractPeriod(D25,"1b","P","LME")</f>
        <v>43075</v>
      </c>
      <c r="E26">
        <f ca="1">_xll.BDH($E$20&amp;E$3,"Last Trade",$D26,$D26)</f>
        <v>-0.14000000000000001</v>
      </c>
      <c r="F26">
        <f ca="1">_xll.BDH($E$20&amp;F$3,"Last Trade",$D26,$D26)</f>
        <v>-0.33</v>
      </c>
      <c r="G26">
        <f ca="1">_xll.BDH($E$20&amp;G$3,"Last Trade",$D26,$D26)</f>
        <v>15.39</v>
      </c>
      <c r="H26">
        <f ca="1">_xll.BDH($E$20&amp;H$3,"Last Trade",$D26,$D26)</f>
        <v>1.27</v>
      </c>
      <c r="I26">
        <f ca="1">_xll.BDH($E$20&amp;I$3,"Last Trade",$D26,$D26)</f>
        <v>2.82</v>
      </c>
      <c r="J26">
        <f ca="1">_xll.BDH($E$20&amp;J$3,"Last Trade",$D26,$D26)</f>
        <v>15.38</v>
      </c>
      <c r="L26" s="1">
        <f t="shared" ca="1" si="4"/>
        <v>43075</v>
      </c>
      <c r="M26">
        <f ca="1">_xll.BDH($E$20&amp;E$4,"Last Trade",$L26,$L26)</f>
        <v>-0.16</v>
      </c>
      <c r="N26">
        <f ca="1">_xll.BDH($E$20&amp;F$4,"Last Trade",$L26,$L26)</f>
        <v>-0.33</v>
      </c>
      <c r="O26">
        <f ca="1">_xll.BDH($E$20&amp;G$4,"Last Trade",$L26,$L26)</f>
        <v>16.27</v>
      </c>
      <c r="P26">
        <f ca="1">_xll.BDH($E$20&amp;H$4,"Last Trade",$L26,$L26)</f>
        <v>1.34</v>
      </c>
      <c r="Q26">
        <f ca="1">_xll.BDH($E$20&amp;I$4,"Last Trade",$L26,$L26)</f>
        <v>2.98</v>
      </c>
      <c r="R26">
        <f ca="1">_xll.BDH($E$20&amp;J$4,"Last Trade",$L26,$L26)</f>
        <v>16.25</v>
      </c>
      <c r="U26" s="1">
        <f t="shared" ca="1" si="5"/>
        <v>43075</v>
      </c>
      <c r="V26">
        <f ca="1">_xll.BDH($E$20&amp;E$5,"Last Trade",$U26,$U26)</f>
        <v>-7.0000000000000007E-2</v>
      </c>
      <c r="W26">
        <f ca="1">_xll.BDH($E$20&amp;F$5,"Last Trade",$U26,$U26)</f>
        <v>-0.24</v>
      </c>
      <c r="X26">
        <f ca="1">_xll.BDH($E$20&amp;G$5,"Last Trade",$U26,$U26)</f>
        <v>16.64</v>
      </c>
      <c r="Y26">
        <f ca="1">_xll.BDH($E$20&amp;H$5,"Last Trade",$U26,$U26)</f>
        <v>1.31</v>
      </c>
      <c r="Z26">
        <f ca="1">_xll.BDH($E$20&amp;I$5,"Last Trade",$U26,$U26)</f>
        <v>2.87</v>
      </c>
      <c r="AA26">
        <f ca="1">_xll.BDH($E$20&amp;J$5,"Last Trade",$U26,$U26)</f>
        <v>16.62</v>
      </c>
      <c r="AD26" s="1">
        <f t="shared" ca="1" si="6"/>
        <v>43075</v>
      </c>
      <c r="AE26">
        <f ca="1">_xll.BDH($E$20&amp;E$10,"Last Trade",$AD26,$AD26)</f>
        <v>0.77</v>
      </c>
      <c r="AF26">
        <f ca="1">_xll.BDH($E$20&amp;F$10,"Last Trade",$AD26,$AD26)</f>
        <v>0.15</v>
      </c>
      <c r="AG26">
        <f ca="1">_xll.BDH($E$20&amp;G$10,"Last Trade",$AD26,$AD26)</f>
        <v>17.079999999999998</v>
      </c>
      <c r="AH26">
        <f ca="1">_xll.BDH($E$20&amp;H$10,"Last Trade",$AD26,$AD26)</f>
        <v>0.99</v>
      </c>
      <c r="AI26">
        <f ca="1">_xll.BDH($E$20&amp;I$10,"Last Trade",$AD26,$AD26)</f>
        <v>2.0699999999999998</v>
      </c>
      <c r="AJ26">
        <f ca="1">_xll.BDH($E$20&amp;J$10,"Last Trade",$AD26,$AD26)</f>
        <v>17.100000000000001</v>
      </c>
    </row>
    <row r="27" spans="2:36">
      <c r="D27" s="1">
        <f ca="1">_xll.feSubtractPeriod(D26,"1b","P","LME")</f>
        <v>43074</v>
      </c>
      <c r="E27">
        <f ca="1">_xll.BDH($E$20&amp;E$3,"Last Trade",$D27,$D27)</f>
        <v>-0.27</v>
      </c>
      <c r="F27">
        <f ca="1">_xll.BDH($E$20&amp;F$3,"Last Trade",$D27,$D27)</f>
        <v>-0.42</v>
      </c>
      <c r="G27">
        <f ca="1">_xll.BDH($E$20&amp;G$3,"Last Trade",$D27,$D27)</f>
        <v>15.4</v>
      </c>
      <c r="H27">
        <f ca="1">_xll.BDH($E$20&amp;H$3,"Last Trade",$D27,$D27)</f>
        <v>1.35</v>
      </c>
      <c r="I27">
        <f ca="1">_xll.BDH($E$20&amp;I$3,"Last Trade",$D27,$D27)</f>
        <v>3.01</v>
      </c>
      <c r="J27">
        <f ca="1">_xll.BDH($E$20&amp;J$3,"Last Trade",$D27,$D27)</f>
        <v>15.39</v>
      </c>
      <c r="L27" s="1">
        <f t="shared" ca="1" si="4"/>
        <v>43074</v>
      </c>
      <c r="M27">
        <f ca="1">_xll.BDH($E$20&amp;E$4,"Last Trade",$L27,$L27)</f>
        <v>-0.13</v>
      </c>
      <c r="N27">
        <f ca="1">_xll.BDH($E$20&amp;F$4,"Last Trade",$L27,$L27)</f>
        <v>-0.32</v>
      </c>
      <c r="O27">
        <f ca="1">_xll.BDH($E$20&amp;G$4,"Last Trade",$L27,$L27)</f>
        <v>16.46</v>
      </c>
      <c r="P27">
        <f ca="1">_xll.BDH($E$20&amp;H$4,"Last Trade",$L27,$L27)</f>
        <v>1.35</v>
      </c>
      <c r="Q27">
        <f ca="1">_xll.BDH($E$20&amp;I$4,"Last Trade",$L27,$L27)</f>
        <v>3.03</v>
      </c>
      <c r="R27">
        <f ca="1">_xll.BDH($E$20&amp;J$4,"Last Trade",$L27,$L27)</f>
        <v>16.440000000000001</v>
      </c>
      <c r="U27" s="1">
        <f t="shared" ca="1" si="5"/>
        <v>43074</v>
      </c>
      <c r="V27">
        <f ca="1">_xll.BDH($E$20&amp;E$5,"Last Trade",$U27,$U27)</f>
        <v>-0.12</v>
      </c>
      <c r="W27">
        <f ca="1">_xll.BDH($E$20&amp;F$5,"Last Trade",$U27,$U27)</f>
        <v>-0.22</v>
      </c>
      <c r="X27">
        <f ca="1">_xll.BDH($E$20&amp;G$5,"Last Trade",$U27,$U27)</f>
        <v>16.739999999999998</v>
      </c>
      <c r="Y27">
        <f ca="1">_xll.BDH($E$20&amp;H$5,"Last Trade",$U27,$U27)</f>
        <v>1.3</v>
      </c>
      <c r="Z27">
        <f ca="1">_xll.BDH($E$20&amp;I$5,"Last Trade",$U27,$U27)</f>
        <v>2.85</v>
      </c>
      <c r="AA27">
        <f ca="1">_xll.BDH($E$20&amp;J$5,"Last Trade",$U27,$U27)</f>
        <v>16.72</v>
      </c>
      <c r="AD27" s="1">
        <f t="shared" ca="1" si="6"/>
        <v>43074</v>
      </c>
      <c r="AE27">
        <f ca="1">_xll.BDH($E$20&amp;E$10,"Last Trade",$AD27,$AD27)</f>
        <v>0.77</v>
      </c>
      <c r="AF27">
        <f ca="1">_xll.BDH($E$20&amp;F$10,"Last Trade",$AD27,$AD27)</f>
        <v>0.15</v>
      </c>
      <c r="AG27">
        <f ca="1">_xll.BDH($E$20&amp;G$10,"Last Trade",$AD27,$AD27)</f>
        <v>17.11</v>
      </c>
      <c r="AH27">
        <f ca="1">_xll.BDH($E$20&amp;H$10,"Last Trade",$AD27,$AD27)</f>
        <v>1</v>
      </c>
      <c r="AI27">
        <f ca="1">_xll.BDH($E$20&amp;I$10,"Last Trade",$AD27,$AD27)</f>
        <v>2.0699999999999998</v>
      </c>
      <c r="AJ27">
        <f ca="1">_xll.BDH($E$20&amp;J$10,"Last Trade",$AD27,$AD27)</f>
        <v>17.13</v>
      </c>
    </row>
    <row r="28" spans="2:36">
      <c r="D28" s="1">
        <f ca="1">_xll.feSubtractPeriod(D27,"1b","P","LME")</f>
        <v>43073</v>
      </c>
      <c r="E28">
        <f ca="1">_xll.BDH($E$20&amp;E$3,"Last Trade",$D28,$D28)</f>
        <v>-0.18</v>
      </c>
      <c r="F28">
        <f ca="1">_xll.BDH($E$20&amp;F$3,"Last Trade",$D28,$D28)</f>
        <v>-0.37</v>
      </c>
      <c r="G28">
        <f ca="1">_xll.BDH($E$20&amp;G$3,"Last Trade",$D28,$D28)</f>
        <v>15.65</v>
      </c>
      <c r="H28">
        <f ca="1">_xll.BDH($E$20&amp;H$3,"Last Trade",$D28,$D28)</f>
        <v>1.31</v>
      </c>
      <c r="I28">
        <f ca="1">_xll.BDH($E$20&amp;I$3,"Last Trade",$D28,$D28)</f>
        <v>2.93</v>
      </c>
      <c r="J28">
        <f ca="1">_xll.BDH($E$20&amp;J$3,"Last Trade",$D28,$D28)</f>
        <v>15.64</v>
      </c>
      <c r="L28" s="1">
        <f t="shared" ca="1" si="4"/>
        <v>43073</v>
      </c>
      <c r="M28">
        <f ca="1">_xll.BDH($E$20&amp;E$4,"Last Trade",$L28,$L28)</f>
        <v>-0.09</v>
      </c>
      <c r="N28">
        <f ca="1">_xll.BDH($E$20&amp;F$4,"Last Trade",$L28,$L28)</f>
        <v>-0.3</v>
      </c>
      <c r="O28">
        <f ca="1">_xll.BDH($E$20&amp;G$4,"Last Trade",$L28,$L28)</f>
        <v>16.61</v>
      </c>
      <c r="P28">
        <f ca="1">_xll.BDH($E$20&amp;H$4,"Last Trade",$L28,$L28)</f>
        <v>1.35</v>
      </c>
      <c r="Q28">
        <f ca="1">_xll.BDH($E$20&amp;I$4,"Last Trade",$L28,$L28)</f>
        <v>3.04</v>
      </c>
      <c r="R28">
        <f ca="1">_xll.BDH($E$20&amp;J$4,"Last Trade",$L28,$L28)</f>
        <v>16.59</v>
      </c>
      <c r="U28" s="1">
        <f t="shared" ca="1" si="5"/>
        <v>43073</v>
      </c>
      <c r="V28">
        <f ca="1">_xll.BDH($E$20&amp;E$5,"Last Trade",$U28,$U28)</f>
        <v>-7.0000000000000007E-2</v>
      </c>
      <c r="W28">
        <f ca="1">_xll.BDH($E$20&amp;F$5,"Last Trade",$U28,$U28)</f>
        <v>-0.23</v>
      </c>
      <c r="X28">
        <f ca="1">_xll.BDH($E$20&amp;G$5,"Last Trade",$U28,$U28)</f>
        <v>16.850000000000001</v>
      </c>
      <c r="Y28">
        <f ca="1">_xll.BDH($E$20&amp;H$5,"Last Trade",$U28,$U28)</f>
        <v>1.3</v>
      </c>
      <c r="Z28">
        <f ca="1">_xll.BDH($E$20&amp;I$5,"Last Trade",$U28,$U28)</f>
        <v>2.88</v>
      </c>
      <c r="AA28">
        <f ca="1">_xll.BDH($E$20&amp;J$5,"Last Trade",$U28,$U28)</f>
        <v>16.829999999999998</v>
      </c>
      <c r="AD28" s="1">
        <f t="shared" ca="1" si="6"/>
        <v>43073</v>
      </c>
      <c r="AE28">
        <f ca="1">_xll.BDH($E$20&amp;E$10,"Last Trade",$AD28,$AD28)</f>
        <v>0.77</v>
      </c>
      <c r="AF28">
        <f ca="1">_xll.BDH($E$20&amp;F$10,"Last Trade",$AD28,$AD28)</f>
        <v>0.15</v>
      </c>
      <c r="AG28">
        <f ca="1">_xll.BDH($E$20&amp;G$10,"Last Trade",$AD28,$AD28)</f>
        <v>17.16</v>
      </c>
      <c r="AH28">
        <f ca="1">_xll.BDH($E$20&amp;H$10,"Last Trade",$AD28,$AD28)</f>
        <v>1</v>
      </c>
      <c r="AI28">
        <f ca="1">_xll.BDH($E$20&amp;I$10,"Last Trade",$AD28,$AD28)</f>
        <v>2.0699999999999998</v>
      </c>
      <c r="AJ28">
        <f ca="1">_xll.BDH($E$20&amp;J$10,"Last Trade",$AD28,$AD28)</f>
        <v>17.18</v>
      </c>
    </row>
    <row r="29" spans="2:36">
      <c r="D29" s="1">
        <f ca="1">_xll.feSubtractPeriod(D28,"1b","P","LME")</f>
        <v>43070</v>
      </c>
      <c r="E29">
        <f ca="1">_xll.BDH($E$20&amp;E$3,"Last Trade",$D29,$D29)</f>
        <v>0.06</v>
      </c>
      <c r="F29">
        <f ca="1">_xll.BDH($E$20&amp;F$3,"Last Trade",$D29,$D29)</f>
        <v>-0.24</v>
      </c>
      <c r="G29">
        <f ca="1">_xll.BDH($E$20&amp;G$3,"Last Trade",$D29,$D29)</f>
        <v>16.059999999999999</v>
      </c>
      <c r="H29">
        <f ca="1">_xll.BDH($E$20&amp;H$3,"Last Trade",$D29,$D29)</f>
        <v>1.37</v>
      </c>
      <c r="I29">
        <f ca="1">_xll.BDH($E$20&amp;I$3,"Last Trade",$D29,$D29)</f>
        <v>3.02</v>
      </c>
      <c r="J29">
        <f ca="1">_xll.BDH($E$20&amp;J$3,"Last Trade",$D29,$D29)</f>
        <v>16.05</v>
      </c>
      <c r="L29" s="1">
        <f t="shared" ca="1" si="4"/>
        <v>43070</v>
      </c>
      <c r="M29">
        <f ca="1">_xll.BDH($E$20&amp;E$4,"Last Trade",$L29,$L29)</f>
        <v>0.05</v>
      </c>
      <c r="N29">
        <f ca="1">_xll.BDH($E$20&amp;F$4,"Last Trade",$L29,$L29)</f>
        <v>-0.24</v>
      </c>
      <c r="O29">
        <f ca="1">_xll.BDH($E$20&amp;G$4,"Last Trade",$L29,$L29)</f>
        <v>16.93</v>
      </c>
      <c r="P29">
        <f ca="1">_xll.BDH($E$20&amp;H$4,"Last Trade",$L29,$L29)</f>
        <v>1.3599999999999999</v>
      </c>
      <c r="Q29">
        <f ca="1">_xll.BDH($E$20&amp;I$4,"Last Trade",$L29,$L29)</f>
        <v>3.02</v>
      </c>
      <c r="R29">
        <f ca="1">_xll.BDH($E$20&amp;J$4,"Last Trade",$L29,$L29)</f>
        <v>16.920000000000002</v>
      </c>
      <c r="U29" s="1">
        <f t="shared" ca="1" si="5"/>
        <v>43070</v>
      </c>
      <c r="V29">
        <f ca="1">_xll.BDH($E$20&amp;E$5,"Last Trade",$U29,$U29)</f>
        <v>0.08</v>
      </c>
      <c r="W29">
        <f ca="1">_xll.BDH($E$20&amp;F$5,"Last Trade",$U29,$U29)</f>
        <v>-0.17</v>
      </c>
      <c r="X29">
        <f ca="1">_xll.BDH($E$20&amp;G$5,"Last Trade",$U29,$U29)</f>
        <v>17.09</v>
      </c>
      <c r="Y29">
        <f ca="1">_xll.BDH($E$20&amp;H$5,"Last Trade",$U29,$U29)</f>
        <v>1.31</v>
      </c>
      <c r="Z29">
        <f ca="1">_xll.BDH($E$20&amp;I$5,"Last Trade",$U29,$U29)</f>
        <v>2.83</v>
      </c>
      <c r="AA29">
        <f ca="1">_xll.BDH($E$20&amp;J$5,"Last Trade",$U29,$U29)</f>
        <v>17.079999999999998</v>
      </c>
      <c r="AD29" s="1">
        <f t="shared" ca="1" si="6"/>
        <v>43070</v>
      </c>
      <c r="AE29">
        <f ca="1">_xll.BDH($E$20&amp;E$10,"Last Trade",$AD29,$AD29)</f>
        <v>0.75</v>
      </c>
      <c r="AF29">
        <f ca="1">_xll.BDH($E$20&amp;F$10,"Last Trade",$AD29,$AD29)</f>
        <v>0.18</v>
      </c>
      <c r="AG29">
        <f ca="1">_xll.BDH($E$20&amp;G$10,"Last Trade",$AD29,$AD29)</f>
        <v>17.239999999999998</v>
      </c>
      <c r="AH29">
        <f ca="1">_xll.BDH($E$20&amp;H$10,"Last Trade",$AD29,$AD29)</f>
        <v>1</v>
      </c>
      <c r="AI29">
        <f ca="1">_xll.BDH($E$20&amp;I$10,"Last Trade",$AD29,$AD29)</f>
        <v>2.0499999999999998</v>
      </c>
      <c r="AJ29">
        <f ca="1">_xll.BDH($E$20&amp;J$10,"Last Trade",$AD29,$AD29)</f>
        <v>17.260000000000002</v>
      </c>
    </row>
    <row r="30" spans="2:36">
      <c r="D30" s="1">
        <f ca="1">_xll.feSubtractPeriod(D29,"1b","P","LME")</f>
        <v>43069</v>
      </c>
      <c r="E30">
        <f ca="1">_xll.BDH($E$20&amp;E$3,"Last Trade",$D30,$D30)</f>
        <v>0.03</v>
      </c>
      <c r="F30">
        <f ca="1">_xll.BDH($E$20&amp;F$3,"Last Trade",$D30,$D30)</f>
        <v>-0.27</v>
      </c>
      <c r="G30">
        <f ca="1">_xll.BDH($E$20&amp;G$3,"Last Trade",$D30,$D30)</f>
        <v>16.04</v>
      </c>
      <c r="H30">
        <f ca="1">_xll.BDH($E$20&amp;H$3,"Last Trade",$D30,$D30)</f>
        <v>1.3900000000000001</v>
      </c>
      <c r="I30">
        <f ca="1">_xll.BDH($E$20&amp;I$3,"Last Trade",$D30,$D30)</f>
        <v>3.09</v>
      </c>
      <c r="J30">
        <f ca="1">_xll.BDH($E$20&amp;J$3,"Last Trade",$D30,$D30)</f>
        <v>16.03</v>
      </c>
      <c r="L30" s="1">
        <f t="shared" ca="1" si="4"/>
        <v>43069</v>
      </c>
      <c r="M30">
        <f ca="1">_xll.BDH($E$20&amp;E$4,"Last Trade",$L30,$L30)</f>
        <v>0.01</v>
      </c>
      <c r="N30">
        <f ca="1">_xll.BDH($E$20&amp;F$4,"Last Trade",$L30,$L30)</f>
        <v>-0.28000000000000003</v>
      </c>
      <c r="O30">
        <f ca="1">_xll.BDH($E$20&amp;G$4,"Last Trade",$L30,$L30)</f>
        <v>16.95</v>
      </c>
      <c r="P30">
        <f ca="1">_xll.BDH($E$20&amp;H$4,"Last Trade",$L30,$L30)</f>
        <v>1.3900000000000001</v>
      </c>
      <c r="Q30">
        <f ca="1">_xll.BDH($E$20&amp;I$4,"Last Trade",$L30,$L30)</f>
        <v>3.06</v>
      </c>
      <c r="R30">
        <f ca="1">_xll.BDH($E$20&amp;J$4,"Last Trade",$L30,$L30)</f>
        <v>16.93</v>
      </c>
      <c r="U30" s="1">
        <f t="shared" ca="1" si="5"/>
        <v>43069</v>
      </c>
      <c r="V30">
        <f ca="1">_xll.BDH($E$20&amp;E$5,"Last Trade",$U30,$U30)</f>
        <v>7.0000000000000007E-2</v>
      </c>
      <c r="W30">
        <f ca="1">_xll.BDH($E$20&amp;F$5,"Last Trade",$U30,$U30)</f>
        <v>-0.2</v>
      </c>
      <c r="X30">
        <f ca="1">_xll.BDH($E$20&amp;G$5,"Last Trade",$U30,$U30)</f>
        <v>17.09</v>
      </c>
      <c r="Y30">
        <f ca="1">_xll.BDH($E$20&amp;H$5,"Last Trade",$U30,$U30)</f>
        <v>1.34</v>
      </c>
      <c r="Z30">
        <f ca="1">_xll.BDH($E$20&amp;I$5,"Last Trade",$U30,$U30)</f>
        <v>2.9</v>
      </c>
      <c r="AA30">
        <f ca="1">_xll.BDH($E$20&amp;J$5,"Last Trade",$U30,$U30)</f>
        <v>17.079999999999998</v>
      </c>
      <c r="AD30" s="1">
        <f t="shared" ca="1" si="6"/>
        <v>43069</v>
      </c>
      <c r="AE30">
        <f ca="1">_xll.BDH($E$20&amp;E$10,"Last Trade",$AD30,$AD30)</f>
        <v>0.84</v>
      </c>
      <c r="AF30">
        <f ca="1">_xll.BDH($E$20&amp;F$10,"Last Trade",$AD30,$AD30)</f>
        <v>0.18</v>
      </c>
      <c r="AG30">
        <f ca="1">_xll.BDH($E$20&amp;G$10,"Last Trade",$AD30,$AD30)</f>
        <v>17.28</v>
      </c>
      <c r="AH30">
        <f ca="1">_xll.BDH($E$20&amp;H$10,"Last Trade",$AD30,$AD30)</f>
        <v>1.05</v>
      </c>
      <c r="AI30">
        <f ca="1">_xll.BDH($E$20&amp;I$10,"Last Trade",$AD30,$AD30)</f>
        <v>2.15</v>
      </c>
      <c r="AJ30">
        <f ca="1">_xll.BDH($E$20&amp;J$10,"Last Trade",$AD30,$AD30)</f>
        <v>17.3</v>
      </c>
    </row>
    <row r="31" spans="2:36">
      <c r="D31" s="1">
        <f ca="1">_xll.feSubtractPeriod(D30,"1b","P","LME")</f>
        <v>43068</v>
      </c>
      <c r="E31">
        <f ca="1">_xll.BDH($E$20&amp;E$3,"Last Trade",$D31,$D31)</f>
        <v>-0.1</v>
      </c>
      <c r="F31">
        <f ca="1">_xll.BDH($E$20&amp;F$3,"Last Trade",$D31,$D31)</f>
        <v>-0.4</v>
      </c>
      <c r="G31">
        <f ca="1">_xll.BDH($E$20&amp;G$3,"Last Trade",$D31,$D31)</f>
        <v>15.95</v>
      </c>
      <c r="H31">
        <f ca="1">_xll.BDH($E$20&amp;H$3,"Last Trade",$D31,$D31)</f>
        <v>1.42</v>
      </c>
      <c r="I31">
        <f ca="1">_xll.BDH($E$20&amp;I$3,"Last Trade",$D31,$D31)</f>
        <v>3.15</v>
      </c>
      <c r="J31">
        <f ca="1">_xll.BDH($E$20&amp;J$3,"Last Trade",$D31,$D31)</f>
        <v>15.93</v>
      </c>
      <c r="L31" s="1">
        <f t="shared" ca="1" si="4"/>
        <v>43068</v>
      </c>
      <c r="M31">
        <f ca="1">_xll.BDH($E$20&amp;E$4,"Last Trade",$L31,$L31)</f>
        <v>-0.12</v>
      </c>
      <c r="N31">
        <f ca="1">_xll.BDH($E$20&amp;F$4,"Last Trade",$L31,$L31)</f>
        <v>-0.33</v>
      </c>
      <c r="O31">
        <f ca="1">_xll.BDH($E$20&amp;G$4,"Last Trade",$L31,$L31)</f>
        <v>16.989999999999998</v>
      </c>
      <c r="P31">
        <f ca="1">_xll.BDH($E$20&amp;H$4,"Last Trade",$L31,$L31)</f>
        <v>1.42</v>
      </c>
      <c r="Q31">
        <f ca="1">_xll.BDH($E$20&amp;I$4,"Last Trade",$L31,$L31)</f>
        <v>3.06</v>
      </c>
      <c r="R31">
        <f ca="1">_xll.BDH($E$20&amp;J$4,"Last Trade",$L31,$L31)</f>
        <v>16.97</v>
      </c>
      <c r="U31" s="1">
        <f t="shared" ca="1" si="5"/>
        <v>43068</v>
      </c>
      <c r="V31">
        <f ca="1">_xll.BDH($E$20&amp;E$5,"Last Trade",$U31,$U31)</f>
        <v>0.06</v>
      </c>
      <c r="W31">
        <f ca="1">_xll.BDH($E$20&amp;F$5,"Last Trade",$U31,$U31)</f>
        <v>-0.2</v>
      </c>
      <c r="X31">
        <f ca="1">_xll.BDH($E$20&amp;G$5,"Last Trade",$U31,$U31)</f>
        <v>17.12</v>
      </c>
      <c r="Y31">
        <f ca="1">_xll.BDH($E$20&amp;H$5,"Last Trade",$U31,$U31)</f>
        <v>1.3599999999999999</v>
      </c>
      <c r="Z31">
        <f ca="1">_xll.BDH($E$20&amp;I$5,"Last Trade",$U31,$U31)</f>
        <v>2.93</v>
      </c>
      <c r="AA31">
        <f ca="1">_xll.BDH($E$20&amp;J$5,"Last Trade",$U31,$U31)</f>
        <v>17.11</v>
      </c>
      <c r="AD31" s="1">
        <f t="shared" ca="1" si="6"/>
        <v>43068</v>
      </c>
      <c r="AE31">
        <f ca="1">_xll.BDH($E$20&amp;E$10,"Last Trade",$AD31,$AD31)</f>
        <v>0.87</v>
      </c>
      <c r="AF31">
        <f ca="1">_xll.BDH($E$20&amp;F$10,"Last Trade",$AD31,$AD31)</f>
        <v>0.17</v>
      </c>
      <c r="AG31">
        <f ca="1">_xll.BDH($E$20&amp;G$10,"Last Trade",$AD31,$AD31)</f>
        <v>17.329999999999998</v>
      </c>
      <c r="AH31">
        <f ca="1">_xll.BDH($E$20&amp;H$10,"Last Trade",$AD31,$AD31)</f>
        <v>1.05</v>
      </c>
      <c r="AI31">
        <f ca="1">_xll.BDH($E$20&amp;I$10,"Last Trade",$AD31,$AD31)</f>
        <v>2.16</v>
      </c>
      <c r="AJ31">
        <f ca="1">_xll.BDH($E$20&amp;J$10,"Last Trade",$AD31,$AD31)</f>
        <v>17.350000000000001</v>
      </c>
    </row>
    <row r="32" spans="2:36">
      <c r="D32" s="1">
        <f ca="1">_xll.feSubtractPeriod(D31,"1b","P","LME")</f>
        <v>43067</v>
      </c>
      <c r="E32">
        <f ca="1">_xll.BDH($E$20&amp;E$3,"Last Trade",$D32,$D32)</f>
        <v>-0.19</v>
      </c>
      <c r="F32">
        <f ca="1">_xll.BDH($E$20&amp;F$3,"Last Trade",$D32,$D32)</f>
        <v>-0.43</v>
      </c>
      <c r="G32">
        <f ca="1">_xll.BDH($E$20&amp;G$3,"Last Trade",$D32,$D32)</f>
        <v>15.85</v>
      </c>
      <c r="H32">
        <f ca="1">_xll.BDH($E$20&amp;H$3,"Last Trade",$D32,$D32)</f>
        <v>1.46</v>
      </c>
      <c r="I32">
        <f ca="1">_xll.BDH($E$20&amp;I$3,"Last Trade",$D32,$D32)</f>
        <v>3.24</v>
      </c>
      <c r="J32">
        <f ca="1">_xll.BDH($E$20&amp;J$3,"Last Trade",$D32,$D32)</f>
        <v>15.83</v>
      </c>
      <c r="L32" s="1">
        <f t="shared" ca="1" si="4"/>
        <v>43067</v>
      </c>
      <c r="M32">
        <f ca="1">_xll.BDH($E$20&amp;E$4,"Last Trade",$L32,$L32)</f>
        <v>-0.17</v>
      </c>
      <c r="N32">
        <f ca="1">_xll.BDH($E$20&amp;F$4,"Last Trade",$L32,$L32)</f>
        <v>-0.38</v>
      </c>
      <c r="O32">
        <f ca="1">_xll.BDH($E$20&amp;G$4,"Last Trade",$L32,$L32)</f>
        <v>16.91</v>
      </c>
      <c r="P32">
        <f ca="1">_xll.BDH($E$20&amp;H$4,"Last Trade",$L32,$L32)</f>
        <v>1.45</v>
      </c>
      <c r="Q32">
        <f ca="1">_xll.BDH($E$20&amp;I$4,"Last Trade",$L32,$L32)</f>
        <v>2.95</v>
      </c>
      <c r="R32">
        <f ca="1">_xll.BDH($E$20&amp;J$4,"Last Trade",$L32,$L32)</f>
        <v>16.88</v>
      </c>
      <c r="U32" s="1">
        <f t="shared" ca="1" si="5"/>
        <v>43067</v>
      </c>
      <c r="V32">
        <f ca="1">_xll.BDH($E$20&amp;E$5,"Last Trade",$U32,$U32)</f>
        <v>0.02</v>
      </c>
      <c r="W32">
        <f ca="1">_xll.BDH($E$20&amp;F$5,"Last Trade",$U32,$U32)</f>
        <v>-0.23</v>
      </c>
      <c r="X32">
        <f ca="1">_xll.BDH($E$20&amp;G$5,"Last Trade",$U32,$U32)</f>
        <v>17.11</v>
      </c>
      <c r="Y32">
        <f ca="1">_xll.BDH($E$20&amp;H$5,"Last Trade",$U32,$U32)</f>
        <v>1.4</v>
      </c>
      <c r="Z32">
        <f ca="1">_xll.BDH($E$20&amp;I$5,"Last Trade",$U32,$U32)</f>
        <v>3.15</v>
      </c>
      <c r="AA32">
        <f ca="1">_xll.BDH($E$20&amp;J$5,"Last Trade",$U32,$U32)</f>
        <v>17.09</v>
      </c>
      <c r="AD32" s="1">
        <f t="shared" ca="1" si="6"/>
        <v>43067</v>
      </c>
      <c r="AE32">
        <f ca="1">_xll.BDH($E$20&amp;E$10,"Last Trade",$AD32,$AD32)</f>
        <v>0.86</v>
      </c>
      <c r="AF32">
        <f ca="1">_xll.BDH($E$20&amp;F$10,"Last Trade",$AD32,$AD32)</f>
        <v>0.18</v>
      </c>
      <c r="AG32">
        <f ca="1">_xll.BDH($E$20&amp;G$10,"Last Trade",$AD32,$AD32)</f>
        <v>17.36</v>
      </c>
      <c r="AH32">
        <f ca="1">_xll.BDH($E$20&amp;H$10,"Last Trade",$AD32,$AD32)</f>
        <v>1.05</v>
      </c>
      <c r="AI32">
        <f ca="1">_xll.BDH($E$20&amp;I$10,"Last Trade",$AD32,$AD32)</f>
        <v>2.15</v>
      </c>
      <c r="AJ32">
        <f ca="1">_xll.BDH($E$20&amp;J$10,"Last Trade",$AD32,$AD32)</f>
        <v>17.38</v>
      </c>
    </row>
    <row r="33" spans="4:36">
      <c r="D33" s="1">
        <f ca="1">_xll.feSubtractPeriod(D32,"1b","P","LME")</f>
        <v>43066</v>
      </c>
      <c r="E33">
        <f ca="1">_xll.BDH($E$20&amp;E$3,"Last Trade",$D33,$D33)</f>
        <v>-0.19</v>
      </c>
      <c r="F33">
        <f ca="1">_xll.BDH($E$20&amp;F$3,"Last Trade",$D33,$D33)</f>
        <v>-0.42</v>
      </c>
      <c r="G33">
        <f ca="1">_xll.BDH($E$20&amp;G$3,"Last Trade",$D33,$D33)</f>
        <v>15.89</v>
      </c>
      <c r="H33">
        <f ca="1">_xll.BDH($E$20&amp;H$3,"Last Trade",$D33,$D33)</f>
        <v>1.47</v>
      </c>
      <c r="I33">
        <f ca="1">_xll.BDH($E$20&amp;I$3,"Last Trade",$D33,$D33)</f>
        <v>3.2800000000000002</v>
      </c>
      <c r="J33">
        <f ca="1">_xll.BDH($E$20&amp;J$3,"Last Trade",$D33,$D33)</f>
        <v>15.87</v>
      </c>
      <c r="L33" s="1">
        <f t="shared" ca="1" si="4"/>
        <v>43066</v>
      </c>
      <c r="M33">
        <f ca="1">_xll.BDH($E$20&amp;E$4,"Last Trade",$L33,$L33)</f>
        <v>-0.08</v>
      </c>
      <c r="N33">
        <f ca="1">_xll.BDH($E$20&amp;F$4,"Last Trade",$L33,$L33)</f>
        <v>-0.33</v>
      </c>
      <c r="O33">
        <f ca="1">_xll.BDH($E$20&amp;G$4,"Last Trade",$L33,$L33)</f>
        <v>16.95</v>
      </c>
      <c r="P33">
        <f ca="1">_xll.BDH($E$20&amp;H$4,"Last Trade",$L33,$L33)</f>
        <v>1.46</v>
      </c>
      <c r="Q33">
        <f ca="1">_xll.BDH($E$20&amp;I$4,"Last Trade",$L33,$L33)</f>
        <v>3.3</v>
      </c>
      <c r="R33">
        <f ca="1">_xll.BDH($E$20&amp;J$4,"Last Trade",$L33,$L33)</f>
        <v>16.93</v>
      </c>
      <c r="U33" s="1">
        <f t="shared" ca="1" si="5"/>
        <v>43066</v>
      </c>
      <c r="V33">
        <f ca="1">_xll.BDH($E$20&amp;E$5,"Last Trade",$U33,$U33)</f>
        <v>0</v>
      </c>
      <c r="W33">
        <f ca="1">_xll.BDH($E$20&amp;F$5,"Last Trade",$U33,$U33)</f>
        <v>-0.24</v>
      </c>
      <c r="X33">
        <f ca="1">_xll.BDH($E$20&amp;G$5,"Last Trade",$U33,$U33)</f>
        <v>17.14</v>
      </c>
      <c r="Y33">
        <f ca="1">_xll.BDH($E$20&amp;H$5,"Last Trade",$U33,$U33)</f>
        <v>1.42</v>
      </c>
      <c r="Z33">
        <f ca="1">_xll.BDH($E$20&amp;I$5,"Last Trade",$U33,$U33)</f>
        <v>3.17</v>
      </c>
      <c r="AA33">
        <f ca="1">_xll.BDH($E$20&amp;J$5,"Last Trade",$U33,$U33)</f>
        <v>17.12</v>
      </c>
      <c r="AD33" s="1">
        <f t="shared" ca="1" si="6"/>
        <v>43066</v>
      </c>
      <c r="AE33">
        <f ca="1">_xll.BDH($E$20&amp;E$10,"Last Trade",$AD33,$AD33)</f>
        <v>0.85</v>
      </c>
      <c r="AF33">
        <f ca="1">_xll.BDH($E$20&amp;F$10,"Last Trade",$AD33,$AD33)</f>
        <v>0.18</v>
      </c>
      <c r="AG33">
        <f ca="1">_xll.BDH($E$20&amp;G$10,"Last Trade",$AD33,$AD33)</f>
        <v>17.399999999999999</v>
      </c>
      <c r="AH33">
        <f ca="1">_xll.BDH($E$20&amp;H$10,"Last Trade",$AD33,$AD33)</f>
        <v>1.05</v>
      </c>
      <c r="AI33">
        <f ca="1">_xll.BDH($E$20&amp;I$10,"Last Trade",$AD33,$AD33)</f>
        <v>2.17</v>
      </c>
      <c r="AJ33">
        <f ca="1">_xll.BDH($E$20&amp;J$10,"Last Trade",$AD33,$AD33)</f>
        <v>17.420000000000002</v>
      </c>
    </row>
    <row r="34" spans="4:36">
      <c r="D34" s="1">
        <f ca="1">_xll.feSubtractPeriod(D33,"1b","P","LME")</f>
        <v>43063</v>
      </c>
      <c r="E34">
        <f ca="1">_xll.BDH($E$20&amp;E$3,"Last Trade",$D34,$D34)</f>
        <v>-0.19</v>
      </c>
      <c r="F34">
        <f ca="1">_xll.BDH($E$20&amp;F$3,"Last Trade",$D34,$D34)</f>
        <v>-0.42</v>
      </c>
      <c r="G34">
        <f ca="1">_xll.BDH($E$20&amp;G$3,"Last Trade",$D34,$D34)</f>
        <v>15.94</v>
      </c>
      <c r="H34">
        <f ca="1">_xll.BDH($E$20&amp;H$3,"Last Trade",$D34,$D34)</f>
        <v>1.48</v>
      </c>
      <c r="I34">
        <f ca="1">_xll.BDH($E$20&amp;I$3,"Last Trade",$D34,$D34)</f>
        <v>3.3</v>
      </c>
      <c r="J34">
        <f ca="1">_xll.BDH($E$20&amp;J$3,"Last Trade",$D34,$D34)</f>
        <v>15.92</v>
      </c>
      <c r="L34" s="1">
        <f t="shared" ca="1" si="4"/>
        <v>43063</v>
      </c>
      <c r="M34">
        <f ca="1">_xll.BDH($E$20&amp;E$4,"Last Trade",$L34,$L34)</f>
        <v>-7.0000000000000007E-2</v>
      </c>
      <c r="N34">
        <f ca="1">_xll.BDH($E$20&amp;F$4,"Last Trade",$L34,$L34)</f>
        <v>-0.34</v>
      </c>
      <c r="O34">
        <f ca="1">_xll.BDH($E$20&amp;G$4,"Last Trade",$L34,$L34)</f>
        <v>17.04</v>
      </c>
      <c r="P34">
        <f ca="1">_xll.BDH($E$20&amp;H$4,"Last Trade",$L34,$L34)</f>
        <v>1.47</v>
      </c>
      <c r="Q34">
        <f ca="1">_xll.BDH($E$20&amp;I$4,"Last Trade",$L34,$L34)</f>
        <v>3.3</v>
      </c>
      <c r="R34">
        <f ca="1">_xll.BDH($E$20&amp;J$4,"Last Trade",$L34,$L34)</f>
        <v>17.02</v>
      </c>
      <c r="U34" s="1">
        <f t="shared" ca="1" si="5"/>
        <v>43063</v>
      </c>
      <c r="V34">
        <f ca="1">_xll.BDH($E$20&amp;E$5,"Last Trade",$U34,$U34)</f>
        <v>-0.01</v>
      </c>
      <c r="W34">
        <f ca="1">_xll.BDH($E$20&amp;F$5,"Last Trade",$U34,$U34)</f>
        <v>-0.26</v>
      </c>
      <c r="X34">
        <f ca="1">_xll.BDH($E$20&amp;G$5,"Last Trade",$U34,$U34)</f>
        <v>17.18</v>
      </c>
      <c r="Y34">
        <f ca="1">_xll.BDH($E$20&amp;H$5,"Last Trade",$U34,$U34)</f>
        <v>1.43</v>
      </c>
      <c r="Z34">
        <f ca="1">_xll.BDH($E$20&amp;I$5,"Last Trade",$U34,$U34)</f>
        <v>3.2</v>
      </c>
      <c r="AA34">
        <f ca="1">_xll.BDH($E$20&amp;J$5,"Last Trade",$U34,$U34)</f>
        <v>17.16</v>
      </c>
      <c r="AD34" s="1">
        <f t="shared" ca="1" si="6"/>
        <v>43063</v>
      </c>
      <c r="AE34">
        <f ca="1">_xll.BDH($E$20&amp;E$10,"Last Trade",$AD34,$AD34)</f>
        <v>0.91</v>
      </c>
      <c r="AF34">
        <f ca="1">_xll.BDH($E$20&amp;F$10,"Last Trade",$AD34,$AD34)</f>
        <v>0.16</v>
      </c>
      <c r="AG34">
        <f ca="1">_xll.BDH($E$20&amp;G$10,"Last Trade",$AD34,$AD34)</f>
        <v>17.420000000000002</v>
      </c>
      <c r="AH34">
        <f ca="1">_xll.BDH($E$20&amp;H$10,"Last Trade",$AD34,$AD34)</f>
        <v>1.03</v>
      </c>
      <c r="AI34">
        <f ca="1">_xll.BDH($E$20&amp;I$10,"Last Trade",$AD34,$AD34)</f>
        <v>2.16</v>
      </c>
      <c r="AJ34">
        <f ca="1">_xll.BDH($E$20&amp;J$10,"Last Trade",$AD34,$AD34)</f>
        <v>17.440000000000001</v>
      </c>
    </row>
    <row r="35" spans="4:36">
      <c r="D35" s="1">
        <f ca="1">_xll.feSubtractPeriod(D34,"1b","P","LME")</f>
        <v>43062</v>
      </c>
      <c r="E35">
        <f ca="1">_xll.BDH($E$20&amp;E$3,"Last Trade",$D35,$D35)</f>
        <v>-0.19</v>
      </c>
      <c r="F35">
        <f ca="1">_xll.BDH($E$20&amp;F$3,"Last Trade",$D35,$D35)</f>
        <v>-0.43</v>
      </c>
      <c r="G35">
        <f ca="1">_xll.BDH($E$20&amp;G$3,"Last Trade",$D35,$D35)</f>
        <v>16.04</v>
      </c>
      <c r="H35">
        <f ca="1">_xll.BDH($E$20&amp;H$3,"Last Trade",$D35,$D35)</f>
        <v>1.43</v>
      </c>
      <c r="I35">
        <f ca="1">_xll.BDH($E$20&amp;I$3,"Last Trade",$D35,$D35)</f>
        <v>3.3</v>
      </c>
      <c r="J35">
        <f ca="1">_xll.BDH($E$20&amp;J$3,"Last Trade",$D35,$D35)</f>
        <v>16.02</v>
      </c>
      <c r="L35" s="1">
        <f t="shared" ca="1" si="4"/>
        <v>43062</v>
      </c>
      <c r="M35">
        <f ca="1">_xll.BDH($E$20&amp;E$4,"Last Trade",$L35,$L35)</f>
        <v>-0.05</v>
      </c>
      <c r="N35">
        <f ca="1">_xll.BDH($E$20&amp;F$4,"Last Trade",$L35,$L35)</f>
        <v>-0.33</v>
      </c>
      <c r="O35">
        <f ca="1">_xll.BDH($E$20&amp;G$4,"Last Trade",$L35,$L35)</f>
        <v>17.14</v>
      </c>
      <c r="P35">
        <f ca="1">_xll.BDH($E$20&amp;H$4,"Last Trade",$L35,$L35)</f>
        <v>1.41</v>
      </c>
      <c r="Q35">
        <f ca="1">_xll.BDH($E$20&amp;I$4,"Last Trade",$L35,$L35)</f>
        <v>3.12</v>
      </c>
      <c r="R35">
        <f ca="1">_xll.BDH($E$20&amp;J$4,"Last Trade",$L35,$L35)</f>
        <v>17.12</v>
      </c>
      <c r="U35" s="1">
        <f t="shared" ca="1" si="5"/>
        <v>43062</v>
      </c>
      <c r="V35">
        <f ca="1">_xll.BDH($E$20&amp;E$5,"Last Trade",$U35,$U35)</f>
        <v>0.03</v>
      </c>
      <c r="W35">
        <f ca="1">_xll.BDH($E$20&amp;F$5,"Last Trade",$U35,$U35)</f>
        <v>-0.23</v>
      </c>
      <c r="X35">
        <f ca="1">_xll.BDH($E$20&amp;G$5,"Last Trade",$U35,$U35)</f>
        <v>17.309999999999999</v>
      </c>
      <c r="Y35">
        <f ca="1">_xll.BDH($E$20&amp;H$5,"Last Trade",$U35,$U35)</f>
        <v>1.41</v>
      </c>
      <c r="Z35">
        <f ca="1">_xll.BDH($E$20&amp;I$5,"Last Trade",$U35,$U35)</f>
        <v>3.17</v>
      </c>
      <c r="AA35">
        <f ca="1">_xll.BDH($E$20&amp;J$5,"Last Trade",$U35,$U35)</f>
        <v>17.29</v>
      </c>
      <c r="AD35" s="1">
        <f t="shared" ca="1" si="6"/>
        <v>43062</v>
      </c>
      <c r="AE35">
        <f ca="1">_xll.BDH($E$20&amp;E$10,"Last Trade",$AD35,$AD35)</f>
        <v>0.93</v>
      </c>
      <c r="AF35">
        <f ca="1">_xll.BDH($E$20&amp;F$10,"Last Trade",$AD35,$AD35)</f>
        <v>0.21</v>
      </c>
      <c r="AG35">
        <f ca="1">_xll.BDH($E$20&amp;G$10,"Last Trade",$AD35,$AD35)</f>
        <v>17.52</v>
      </c>
      <c r="AH35">
        <f ca="1">_xll.BDH($E$20&amp;H$10,"Last Trade",$AD35,$AD35)</f>
        <v>1.03</v>
      </c>
      <c r="AI35">
        <f ca="1">_xll.BDH($E$20&amp;I$10,"Last Trade",$AD35,$AD35)</f>
        <v>2.16</v>
      </c>
      <c r="AJ35">
        <f ca="1">_xll.BDH($E$20&amp;J$10,"Last Trade",$AD35,$AD35)</f>
        <v>17.54</v>
      </c>
    </row>
    <row r="36" spans="4:36">
      <c r="D36" s="1">
        <f ca="1">_xll.feSubtractPeriod(D35,"1b","P","LME")</f>
        <v>43061</v>
      </c>
      <c r="E36">
        <f ca="1">_xll.BDH($E$20&amp;E$3,"Last Trade",$D36,$D36)</f>
        <v>-0.13</v>
      </c>
      <c r="F36">
        <f ca="1">_xll.BDH($E$20&amp;F$3,"Last Trade",$D36,$D36)</f>
        <v>-0.42</v>
      </c>
      <c r="G36">
        <f ca="1">_xll.BDH($E$20&amp;G$3,"Last Trade",$D36,$D36)</f>
        <v>16.16</v>
      </c>
      <c r="H36">
        <f ca="1">_xll.BDH($E$20&amp;H$3,"Last Trade",$D36,$D36)</f>
        <v>1.46</v>
      </c>
      <c r="I36">
        <f ca="1">_xll.BDH($E$20&amp;I$3,"Last Trade",$D36,$D36)</f>
        <v>3.33</v>
      </c>
      <c r="J36">
        <f ca="1">_xll.BDH($E$20&amp;J$3,"Last Trade",$D36,$D36)</f>
        <v>16.14</v>
      </c>
      <c r="L36" s="1">
        <f t="shared" ca="1" si="4"/>
        <v>43061</v>
      </c>
      <c r="M36">
        <f ca="1">_xll.BDH($E$20&amp;E$4,"Last Trade",$L36,$L36)</f>
        <v>0.03</v>
      </c>
      <c r="N36">
        <f ca="1">_xll.BDH($E$20&amp;F$4,"Last Trade",$L36,$L36)</f>
        <v>-0.3</v>
      </c>
      <c r="O36">
        <f ca="1">_xll.BDH($E$20&amp;G$4,"Last Trade",$L36,$L36)</f>
        <v>17.329999999999998</v>
      </c>
      <c r="P36">
        <f ca="1">_xll.BDH($E$20&amp;H$4,"Last Trade",$L36,$L36)</f>
        <v>1.43</v>
      </c>
      <c r="Q36">
        <f ca="1">_xll.BDH($E$20&amp;I$4,"Last Trade",$L36,$L36)</f>
        <v>3.3</v>
      </c>
      <c r="R36">
        <f ca="1">_xll.BDH($E$20&amp;J$4,"Last Trade",$L36,$L36)</f>
        <v>17.309999999999999</v>
      </c>
      <c r="U36" s="1">
        <f t="shared" ca="1" si="5"/>
        <v>43061</v>
      </c>
      <c r="V36">
        <f ca="1">_xll.BDH($E$20&amp;E$5,"Last Trade",$U36,$U36)</f>
        <v>0.12</v>
      </c>
      <c r="W36">
        <f ca="1">_xll.BDH($E$20&amp;F$5,"Last Trade",$U36,$U36)</f>
        <v>-0.22</v>
      </c>
      <c r="X36">
        <f ca="1">_xll.BDH($E$20&amp;G$5,"Last Trade",$U36,$U36)</f>
        <v>17.47</v>
      </c>
      <c r="Y36">
        <f ca="1">_xll.BDH($E$20&amp;H$5,"Last Trade",$U36,$U36)</f>
        <v>1.44</v>
      </c>
      <c r="Z36">
        <f ca="1">_xll.BDH($E$20&amp;I$5,"Last Trade",$U36,$U36)</f>
        <v>3.2</v>
      </c>
      <c r="AA36">
        <f ca="1">_xll.BDH($E$20&amp;J$5,"Last Trade",$U36,$U36)</f>
        <v>17.45</v>
      </c>
      <c r="AD36" s="1">
        <f t="shared" ca="1" si="6"/>
        <v>43061</v>
      </c>
      <c r="AE36">
        <f ca="1">_xll.BDH($E$20&amp;E$10,"Last Trade",$AD36,$AD36)</f>
        <v>0.93</v>
      </c>
      <c r="AF36">
        <f ca="1">_xll.BDH($E$20&amp;F$10,"Last Trade",$AD36,$AD36)</f>
        <v>0.22</v>
      </c>
      <c r="AG36">
        <f ca="1">_xll.BDH($E$20&amp;G$10,"Last Trade",$AD36,$AD36)</f>
        <v>17.62</v>
      </c>
      <c r="AH36">
        <f ca="1">_xll.BDH($E$20&amp;H$10,"Last Trade",$AD36,$AD36)</f>
        <v>1.06</v>
      </c>
      <c r="AI36">
        <f ca="1">_xll.BDH($E$20&amp;I$10,"Last Trade",$AD36,$AD36)</f>
        <v>2.1800000000000002</v>
      </c>
      <c r="AJ36">
        <f ca="1">_xll.BDH($E$20&amp;J$10,"Last Trade",$AD36,$AD36)</f>
        <v>17.64</v>
      </c>
    </row>
    <row r="37" spans="4:36">
      <c r="D37" s="1">
        <f ca="1">_xll.feSubtractPeriod(D36,"1b","P","LME")</f>
        <v>43060</v>
      </c>
      <c r="E37">
        <f ca="1">_xll.BDH($E$20&amp;E$3,"Last Trade",$D37,$D37)</f>
        <v>-0.04</v>
      </c>
      <c r="F37">
        <f ca="1">_xll.BDH($E$20&amp;F$3,"Last Trade",$D37,$D37)</f>
        <v>-0.38</v>
      </c>
      <c r="G37">
        <f ca="1">_xll.BDH($E$20&amp;G$3,"Last Trade",$D37,$D37)</f>
        <v>16.3</v>
      </c>
      <c r="H37">
        <f ca="1">_xll.BDH($E$20&amp;H$3,"Last Trade",$D37,$D37)</f>
        <v>1.46</v>
      </c>
      <c r="I37">
        <f ca="1">_xll.BDH($E$20&amp;I$3,"Last Trade",$D37,$D37)</f>
        <v>3.22</v>
      </c>
      <c r="J37">
        <f ca="1">_xll.BDH($E$20&amp;J$3,"Last Trade",$D37,$D37)</f>
        <v>16.28</v>
      </c>
      <c r="L37" s="1">
        <f t="shared" ca="1" si="4"/>
        <v>43060</v>
      </c>
      <c r="M37">
        <f ca="1">_xll.BDH($E$20&amp;E$4,"Last Trade",$L37,$L37)</f>
        <v>0.05</v>
      </c>
      <c r="N37">
        <f ca="1">_xll.BDH($E$20&amp;F$4,"Last Trade",$L37,$L37)</f>
        <v>-0.28000000000000003</v>
      </c>
      <c r="O37">
        <f ca="1">_xll.BDH($E$20&amp;G$4,"Last Trade",$L37,$L37)</f>
        <v>17.45</v>
      </c>
      <c r="P37">
        <f ca="1">_xll.BDH($E$20&amp;H$4,"Last Trade",$L37,$L37)</f>
        <v>1.42</v>
      </c>
      <c r="Q37">
        <f ca="1">_xll.BDH($E$20&amp;I$4,"Last Trade",$L37,$L37)</f>
        <v>3.13</v>
      </c>
      <c r="R37">
        <f ca="1">_xll.BDH($E$20&amp;J$4,"Last Trade",$L37,$L37)</f>
        <v>17.43</v>
      </c>
      <c r="U37" s="1">
        <f t="shared" ca="1" si="5"/>
        <v>43060</v>
      </c>
      <c r="V37">
        <f ca="1">_xll.BDH($E$20&amp;E$5,"Last Trade",$U37,$U37)</f>
        <v>0.14000000000000001</v>
      </c>
      <c r="W37">
        <f ca="1">_xll.BDH($E$20&amp;F$5,"Last Trade",$U37,$U37)</f>
        <v>-0.21</v>
      </c>
      <c r="X37">
        <f ca="1">_xll.BDH($E$20&amp;G$5,"Last Trade",$U37,$U37)</f>
        <v>17.579999999999998</v>
      </c>
      <c r="Y37">
        <f ca="1">_xll.BDH($E$20&amp;H$5,"Last Trade",$U37,$U37)</f>
        <v>1.44</v>
      </c>
      <c r="Z37">
        <f ca="1">_xll.BDH($E$20&amp;I$5,"Last Trade",$U37,$U37)</f>
        <v>3.21</v>
      </c>
      <c r="AA37">
        <f ca="1">_xll.BDH($E$20&amp;J$5,"Last Trade",$U37,$U37)</f>
        <v>17.559999999999999</v>
      </c>
      <c r="AD37" s="1">
        <f t="shared" ca="1" si="6"/>
        <v>43060</v>
      </c>
      <c r="AE37">
        <f ca="1">_xll.BDH($E$20&amp;E$10,"Last Trade",$AD37,$AD37)</f>
        <v>0.95</v>
      </c>
      <c r="AF37">
        <f ca="1">_xll.BDH($E$20&amp;F$10,"Last Trade",$AD37,$AD37)</f>
        <v>0.22</v>
      </c>
      <c r="AG37">
        <f ca="1">_xll.BDH($E$20&amp;G$10,"Last Trade",$AD37,$AD37)</f>
        <v>17.63</v>
      </c>
      <c r="AH37">
        <f ca="1">_xll.BDH($E$20&amp;H$10,"Last Trade",$AD37,$AD37)</f>
        <v>1.06</v>
      </c>
      <c r="AI37">
        <f ca="1">_xll.BDH($E$20&amp;I$10,"Last Trade",$AD37,$AD37)</f>
        <v>2.1800000000000002</v>
      </c>
      <c r="AJ37">
        <f ca="1">_xll.BDH($E$20&amp;J$10,"Last Trade",$AD37,$AD37)</f>
        <v>17.66</v>
      </c>
    </row>
    <row r="38" spans="4:36">
      <c r="D38" s="1">
        <f ca="1">_xll.feSubtractPeriod(D37,"1b","P","LME")</f>
        <v>43059</v>
      </c>
      <c r="E38">
        <f ca="1">_xll.BDH($E$20&amp;E$3,"Last Trade",$D38,$D38)</f>
        <v>-0.04</v>
      </c>
      <c r="F38">
        <f ca="1">_xll.BDH($E$20&amp;F$3,"Last Trade",$D38,$D38)</f>
        <v>-0.38</v>
      </c>
      <c r="G38">
        <f ca="1">_xll.BDH($E$20&amp;G$3,"Last Trade",$D38,$D38)</f>
        <v>16.399999999999999</v>
      </c>
      <c r="H38">
        <f ca="1">_xll.BDH($E$20&amp;H$3,"Last Trade",$D38,$D38)</f>
        <v>1.47</v>
      </c>
      <c r="I38">
        <f ca="1">_xll.BDH($E$20&amp;I$3,"Last Trade",$D38,$D38)</f>
        <v>3.23</v>
      </c>
      <c r="J38">
        <f ca="1">_xll.BDH($E$20&amp;J$3,"Last Trade",$D38,$D38)</f>
        <v>16.38</v>
      </c>
      <c r="L38" s="1">
        <f t="shared" ca="1" si="4"/>
        <v>43059</v>
      </c>
      <c r="M38">
        <f ca="1">_xll.BDH($E$20&amp;E$4,"Last Trade",$L38,$L38)</f>
        <v>0.06</v>
      </c>
      <c r="N38">
        <f ca="1">_xll.BDH($E$20&amp;F$4,"Last Trade",$L38,$L38)</f>
        <v>-0.28000000000000003</v>
      </c>
      <c r="O38">
        <f ca="1">_xll.BDH($E$20&amp;G$4,"Last Trade",$L38,$L38)</f>
        <v>17.489999999999998</v>
      </c>
      <c r="P38">
        <f ca="1">_xll.BDH($E$20&amp;H$4,"Last Trade",$L38,$L38)</f>
        <v>1.43</v>
      </c>
      <c r="Q38">
        <f ca="1">_xll.BDH($E$20&amp;I$4,"Last Trade",$L38,$L38)</f>
        <v>3.12</v>
      </c>
      <c r="R38">
        <f ca="1">_xll.BDH($E$20&amp;J$4,"Last Trade",$L38,$L38)</f>
        <v>17.47</v>
      </c>
      <c r="U38" s="1">
        <f t="shared" ca="1" si="5"/>
        <v>43059</v>
      </c>
      <c r="V38">
        <f ca="1">_xll.BDH($E$20&amp;E$5,"Last Trade",$U38,$U38)</f>
        <v>0.15</v>
      </c>
      <c r="W38">
        <f ca="1">_xll.BDH($E$20&amp;F$5,"Last Trade",$U38,$U38)</f>
        <v>-0.2</v>
      </c>
      <c r="X38">
        <f ca="1">_xll.BDH($E$20&amp;G$5,"Last Trade",$U38,$U38)</f>
        <v>17.63</v>
      </c>
      <c r="Y38">
        <f ca="1">_xll.BDH($E$20&amp;H$5,"Last Trade",$U38,$U38)</f>
        <v>1.46</v>
      </c>
      <c r="Z38">
        <f ca="1">_xll.BDH($E$20&amp;I$5,"Last Trade",$U38,$U38)</f>
        <v>3.2</v>
      </c>
      <c r="AA38">
        <f ca="1">_xll.BDH($E$20&amp;J$5,"Last Trade",$U38,$U38)</f>
        <v>17.61</v>
      </c>
      <c r="AD38" s="1">
        <f t="shared" ca="1" si="6"/>
        <v>43059</v>
      </c>
      <c r="AE38">
        <f ca="1">_xll.BDH($E$20&amp;E$10,"Last Trade",$AD38,$AD38)</f>
        <v>0.96</v>
      </c>
      <c r="AF38">
        <f ca="1">_xll.BDH($E$20&amp;F$10,"Last Trade",$AD38,$AD38)</f>
        <v>0.22</v>
      </c>
      <c r="AG38">
        <f ca="1">_xll.BDH($E$20&amp;G$10,"Last Trade",$AD38,$AD38)</f>
        <v>17.670000000000002</v>
      </c>
      <c r="AH38">
        <f ca="1">_xll.BDH($E$20&amp;H$10,"Last Trade",$AD38,$AD38)</f>
        <v>1.04</v>
      </c>
      <c r="AI38">
        <f ca="1">_xll.BDH($E$20&amp;I$10,"Last Trade",$AD38,$AD38)</f>
        <v>2.17</v>
      </c>
      <c r="AJ38">
        <f ca="1">_xll.BDH($E$20&amp;J$10,"Last Trade",$AD38,$AD38)</f>
        <v>17.7</v>
      </c>
    </row>
    <row r="39" spans="4:36">
      <c r="D39" s="1">
        <f ca="1">_xll.feSubtractPeriod(D38,"1b","P","LME")</f>
        <v>43056</v>
      </c>
      <c r="E39">
        <f ca="1">_xll.BDH($E$20&amp;E$3,"Last Trade",$D39,$D39)</f>
        <v>-0.06</v>
      </c>
      <c r="F39">
        <f ca="1">_xll.BDH($E$20&amp;F$3,"Last Trade",$D39,$D39)</f>
        <v>-0.38</v>
      </c>
      <c r="G39">
        <f ca="1">_xll.BDH($E$20&amp;G$3,"Last Trade",$D39,$D39)</f>
        <v>16.47</v>
      </c>
      <c r="H39">
        <f ca="1">_xll.BDH($E$20&amp;H$3,"Last Trade",$D39,$D39)</f>
        <v>1.48</v>
      </c>
      <c r="I39">
        <f ca="1">_xll.BDH($E$20&amp;I$3,"Last Trade",$D39,$D39)</f>
        <v>3.27</v>
      </c>
      <c r="J39">
        <f ca="1">_xll.BDH($E$20&amp;J$3,"Last Trade",$D39,$D39)</f>
        <v>16.45</v>
      </c>
      <c r="L39" s="1">
        <f t="shared" ca="1" si="4"/>
        <v>43056</v>
      </c>
      <c r="M39">
        <f ca="1">_xll.BDH($E$20&amp;E$4,"Last Trade",$L39,$L39)</f>
        <v>0.05</v>
      </c>
      <c r="N39">
        <f ca="1">_xll.BDH($E$20&amp;F$4,"Last Trade",$L39,$L39)</f>
        <v>-0.28000000000000003</v>
      </c>
      <c r="O39">
        <f ca="1">_xll.BDH($E$20&amp;G$4,"Last Trade",$L39,$L39)</f>
        <v>17.53</v>
      </c>
      <c r="P39">
        <f ca="1">_xll.BDH($E$20&amp;H$4,"Last Trade",$L39,$L39)</f>
        <v>1.43</v>
      </c>
      <c r="Q39">
        <f ca="1">_xll.BDH($E$20&amp;I$4,"Last Trade",$L39,$L39)</f>
        <v>3.15</v>
      </c>
      <c r="R39">
        <f ca="1">_xll.BDH($E$20&amp;J$4,"Last Trade",$L39,$L39)</f>
        <v>17.510000000000002</v>
      </c>
      <c r="U39" s="1">
        <f t="shared" ca="1" si="5"/>
        <v>43056</v>
      </c>
      <c r="V39">
        <f ca="1">_xll.BDH($E$20&amp;E$5,"Last Trade",$U39,$U39)</f>
        <v>0.15</v>
      </c>
      <c r="W39">
        <f ca="1">_xll.BDH($E$20&amp;F$5,"Last Trade",$U39,$U39)</f>
        <v>-0.2</v>
      </c>
      <c r="X39">
        <f ca="1">_xll.BDH($E$20&amp;G$5,"Last Trade",$U39,$U39)</f>
        <v>17.71</v>
      </c>
      <c r="Y39">
        <f ca="1">_xll.BDH($E$20&amp;H$5,"Last Trade",$U39,$U39)</f>
        <v>1.48</v>
      </c>
      <c r="Z39">
        <f ca="1">_xll.BDH($E$20&amp;I$5,"Last Trade",$U39,$U39)</f>
        <v>3.21</v>
      </c>
      <c r="AA39">
        <f ca="1">_xll.BDH($E$20&amp;J$5,"Last Trade",$U39,$U39)</f>
        <v>17.690000000000001</v>
      </c>
      <c r="AD39" s="1">
        <f t="shared" ca="1" si="6"/>
        <v>43056</v>
      </c>
      <c r="AE39">
        <f ca="1">_xll.BDH($E$20&amp;E$10,"Last Trade",$AD39,$AD39)</f>
        <v>0.94</v>
      </c>
      <c r="AF39">
        <f ca="1">_xll.BDH($E$20&amp;F$10,"Last Trade",$AD39,$AD39)</f>
        <v>0.23</v>
      </c>
      <c r="AG39">
        <f ca="1">_xll.BDH($E$20&amp;G$10,"Last Trade",$AD39,$AD39)</f>
        <v>17.68</v>
      </c>
      <c r="AH39">
        <f ca="1">_xll.BDH($E$20&amp;H$10,"Last Trade",$AD39,$AD39)</f>
        <v>1.06</v>
      </c>
      <c r="AI39">
        <f ca="1">_xll.BDH($E$20&amp;I$10,"Last Trade",$AD39,$AD39)</f>
        <v>2.1800000000000002</v>
      </c>
      <c r="AJ39">
        <f ca="1">_xll.BDH($E$20&amp;J$10,"Last Trade",$AD39,$AD39)</f>
        <v>17.71</v>
      </c>
    </row>
    <row r="40" spans="4:36">
      <c r="D40" s="1">
        <f ca="1">_xll.feSubtractPeriod(D39,"1b","P","LME")</f>
        <v>43055</v>
      </c>
      <c r="E40">
        <f ca="1">_xll.BDH($E$20&amp;E$3,"Last Trade",$D40,$D40)</f>
        <v>-0.08</v>
      </c>
      <c r="F40">
        <f ca="1">_xll.BDH($E$20&amp;F$3,"Last Trade",$D40,$D40)</f>
        <v>-0.38</v>
      </c>
      <c r="G40">
        <f ca="1">_xll.BDH($E$20&amp;G$3,"Last Trade",$D40,$D40)</f>
        <v>16.579999999999998</v>
      </c>
      <c r="H40">
        <f ca="1">_xll.BDH($E$20&amp;H$3,"Last Trade",$D40,$D40)</f>
        <v>1.48</v>
      </c>
      <c r="I40">
        <f ca="1">_xll.BDH($E$20&amp;I$3,"Last Trade",$D40,$D40)</f>
        <v>3.27</v>
      </c>
      <c r="J40">
        <f ca="1">_xll.BDH($E$20&amp;J$3,"Last Trade",$D40,$D40)</f>
        <v>16.559999999999999</v>
      </c>
      <c r="L40" s="1">
        <f t="shared" ca="1" si="4"/>
        <v>43055</v>
      </c>
      <c r="M40">
        <f ca="1">_xll.BDH($E$20&amp;E$4,"Last Trade",$L40,$L40)</f>
        <v>0.03</v>
      </c>
      <c r="N40">
        <f ca="1">_xll.BDH($E$20&amp;F$4,"Last Trade",$L40,$L40)</f>
        <v>-0.28999999999999998</v>
      </c>
      <c r="O40">
        <f ca="1">_xll.BDH($E$20&amp;G$4,"Last Trade",$L40,$L40)</f>
        <v>17.53</v>
      </c>
      <c r="P40">
        <f ca="1">_xll.BDH($E$20&amp;H$4,"Last Trade",$L40,$L40)</f>
        <v>1.44</v>
      </c>
      <c r="Q40">
        <f ca="1">_xll.BDH($E$20&amp;I$4,"Last Trade",$L40,$L40)</f>
        <v>3.18</v>
      </c>
      <c r="R40">
        <f ca="1">_xll.BDH($E$20&amp;J$4,"Last Trade",$L40,$L40)</f>
        <v>17.510000000000002</v>
      </c>
      <c r="U40" s="1">
        <f t="shared" ca="1" si="5"/>
        <v>43055</v>
      </c>
      <c r="V40">
        <f ca="1">_xll.BDH($E$20&amp;E$5,"Last Trade",$U40,$U40)</f>
        <v>0.14000000000000001</v>
      </c>
      <c r="W40">
        <f ca="1">_xll.BDH($E$20&amp;F$5,"Last Trade",$U40,$U40)</f>
        <v>-0.21</v>
      </c>
      <c r="X40">
        <f ca="1">_xll.BDH($E$20&amp;G$5,"Last Trade",$U40,$U40)</f>
        <v>17.73</v>
      </c>
      <c r="Y40">
        <f ca="1">_xll.BDH($E$20&amp;H$5,"Last Trade",$U40,$U40)</f>
        <v>1.6400000000000001</v>
      </c>
      <c r="Z40">
        <f ca="1">_xll.BDH($E$20&amp;I$5,"Last Trade",$U40,$U40)</f>
        <v>3.2</v>
      </c>
      <c r="AA40">
        <f ca="1">_xll.BDH($E$20&amp;J$5,"Last Trade",$U40,$U40)</f>
        <v>17.71</v>
      </c>
      <c r="AD40" s="1">
        <f t="shared" ca="1" si="6"/>
        <v>43055</v>
      </c>
      <c r="AE40">
        <f ca="1">_xll.BDH($E$20&amp;E$10,"Last Trade",$AD40,$AD40)</f>
        <v>0.93</v>
      </c>
      <c r="AF40">
        <f ca="1">_xll.BDH($E$20&amp;F$10,"Last Trade",$AD40,$AD40)</f>
        <v>0.23</v>
      </c>
      <c r="AG40">
        <f ca="1">_xll.BDH($E$20&amp;G$10,"Last Trade",$AD40,$AD40)</f>
        <v>17.690000000000001</v>
      </c>
      <c r="AH40">
        <f ca="1">_xll.BDH($E$20&amp;H$10,"Last Trade",$AD40,$AD40)</f>
        <v>1.05</v>
      </c>
      <c r="AI40">
        <f ca="1">_xll.BDH($E$20&amp;I$10,"Last Trade",$AD40,$AD40)</f>
        <v>2.1800000000000002</v>
      </c>
      <c r="AJ40">
        <f ca="1">_xll.BDH($E$20&amp;J$10,"Last Trade",$AD40,$AD40)</f>
        <v>17.72</v>
      </c>
    </row>
    <row r="41" spans="4:36">
      <c r="D41" s="1">
        <f ca="1">_xll.feSubtractPeriod(D40,"1b","P","LME")</f>
        <v>43054</v>
      </c>
      <c r="E41">
        <f ca="1">_xll.BDH($E$20&amp;E$3,"Last Trade",$D41,$D41)</f>
        <v>-7.0000000000000007E-2</v>
      </c>
      <c r="F41">
        <f ca="1">_xll.BDH($E$20&amp;F$3,"Last Trade",$D41,$D41)</f>
        <v>-0.36</v>
      </c>
      <c r="G41">
        <f ca="1">_xll.BDH($E$20&amp;G$3,"Last Trade",$D41,$D41)</f>
        <v>16.54</v>
      </c>
      <c r="H41">
        <f ca="1">_xll.BDH($E$20&amp;H$3,"Last Trade",$D41,$D41)</f>
        <v>1.49</v>
      </c>
      <c r="I41">
        <f ca="1">_xll.BDH($E$20&amp;I$3,"Last Trade",$D41,$D41)</f>
        <v>3.29</v>
      </c>
      <c r="J41">
        <f ca="1">_xll.BDH($E$20&amp;J$3,"Last Trade",$D41,$D41)</f>
        <v>16.52</v>
      </c>
      <c r="L41" s="1">
        <f t="shared" ca="1" si="4"/>
        <v>43054</v>
      </c>
      <c r="M41">
        <f ca="1">_xll.BDH($E$20&amp;E$4,"Last Trade",$L41,$L41)</f>
        <v>0.02</v>
      </c>
      <c r="N41">
        <f ca="1">_xll.BDH($E$20&amp;F$4,"Last Trade",$L41,$L41)</f>
        <v>-0.27</v>
      </c>
      <c r="O41">
        <f ca="1">_xll.BDH($E$20&amp;G$4,"Last Trade",$L41,$L41)</f>
        <v>17.57</v>
      </c>
      <c r="P41">
        <f ca="1">_xll.BDH($E$20&amp;H$4,"Last Trade",$L41,$L41)</f>
        <v>1.45</v>
      </c>
      <c r="Q41">
        <f ca="1">_xll.BDH($E$20&amp;I$4,"Last Trade",$L41,$L41)</f>
        <v>3.19</v>
      </c>
      <c r="R41">
        <f ca="1">_xll.BDH($E$20&amp;J$4,"Last Trade",$L41,$L41)</f>
        <v>17.55</v>
      </c>
      <c r="U41" s="1">
        <f t="shared" ca="1" si="5"/>
        <v>43054</v>
      </c>
      <c r="V41">
        <f ca="1">_xll.BDH($E$20&amp;E$5,"Last Trade",$U41,$U41)</f>
        <v>0.16</v>
      </c>
      <c r="W41">
        <f ca="1">_xll.BDH($E$20&amp;F$5,"Last Trade",$U41,$U41)</f>
        <v>-0.18</v>
      </c>
      <c r="X41">
        <f ca="1">_xll.BDH($E$20&amp;G$5,"Last Trade",$U41,$U41)</f>
        <v>17.77</v>
      </c>
      <c r="Y41">
        <f ca="1">_xll.BDH($E$20&amp;H$5,"Last Trade",$U41,$U41)</f>
        <v>1.47</v>
      </c>
      <c r="Z41">
        <f ca="1">_xll.BDH($E$20&amp;I$5,"Last Trade",$U41,$U41)</f>
        <v>3.23</v>
      </c>
      <c r="AA41">
        <f ca="1">_xll.BDH($E$20&amp;J$5,"Last Trade",$U41,$U41)</f>
        <v>17.760000000000002</v>
      </c>
      <c r="AD41" s="1">
        <f t="shared" ca="1" si="6"/>
        <v>43054</v>
      </c>
      <c r="AE41">
        <f ca="1">_xll.BDH($E$20&amp;E$10,"Last Trade",$AD41,$AD41)</f>
        <v>0.93</v>
      </c>
      <c r="AF41">
        <f ca="1">_xll.BDH($E$20&amp;F$10,"Last Trade",$AD41,$AD41)</f>
        <v>0.28000000000000003</v>
      </c>
      <c r="AG41">
        <f ca="1">_xll.BDH($E$20&amp;G$10,"Last Trade",$AD41,$AD41)</f>
        <v>17.71</v>
      </c>
      <c r="AH41">
        <f ca="1">_xll.BDH($E$20&amp;H$10,"Last Trade",$AD41,$AD41)</f>
        <v>1.05</v>
      </c>
      <c r="AI41">
        <f ca="1">_xll.BDH($E$20&amp;I$10,"Last Trade",$AD41,$AD41)</f>
        <v>2.19</v>
      </c>
      <c r="AJ41">
        <f ca="1">_xll.BDH($E$20&amp;J$10,"Last Trade",$AD41,$AD41)</f>
        <v>17.739999999999998</v>
      </c>
    </row>
    <row r="42" spans="4:36">
      <c r="D42" s="1">
        <f ca="1">_xll.feSubtractPeriod(D41,"1b","P","LME")</f>
        <v>43053</v>
      </c>
      <c r="E42">
        <f ca="1">_xll.BDH($E$20&amp;E$3,"Last Trade",$D42,$D42)</f>
        <v>-7.0000000000000007E-2</v>
      </c>
      <c r="F42">
        <f ca="1">_xll.BDH($E$20&amp;F$3,"Last Trade",$D42,$D42)</f>
        <v>-0.35</v>
      </c>
      <c r="G42">
        <f ca="1">_xll.BDH($E$20&amp;G$3,"Last Trade",$D42,$D42)</f>
        <v>16.600000000000001</v>
      </c>
      <c r="H42">
        <f ca="1">_xll.BDH($E$20&amp;H$3,"Last Trade",$D42,$D42)</f>
        <v>1.55</v>
      </c>
      <c r="I42">
        <f ca="1">_xll.BDH($E$20&amp;I$3,"Last Trade",$D42,$D42)</f>
        <v>3.45</v>
      </c>
      <c r="J42">
        <f ca="1">_xll.BDH($E$20&amp;J$3,"Last Trade",$D42,$D42)</f>
        <v>16.579999999999998</v>
      </c>
      <c r="L42" s="1">
        <f t="shared" ca="1" si="4"/>
        <v>43053</v>
      </c>
      <c r="M42">
        <f ca="1">_xll.BDH($E$20&amp;E$4,"Last Trade",$L42,$L42)</f>
        <v>0.02</v>
      </c>
      <c r="N42">
        <f ca="1">_xll.BDH($E$20&amp;F$4,"Last Trade",$L42,$L42)</f>
        <v>-0.26</v>
      </c>
      <c r="O42">
        <f ca="1">_xll.BDH($E$20&amp;G$4,"Last Trade",$L42,$L42)</f>
        <v>17.61</v>
      </c>
      <c r="P42">
        <f ca="1">_xll.BDH($E$20&amp;H$4,"Last Trade",$L42,$L42)</f>
        <v>1.51</v>
      </c>
      <c r="Q42">
        <f ca="1">_xll.BDH($E$20&amp;I$4,"Last Trade",$L42,$L42)</f>
        <v>3.39</v>
      </c>
      <c r="R42">
        <f ca="1">_xll.BDH($E$20&amp;J$4,"Last Trade",$L42,$L42)</f>
        <v>17.59</v>
      </c>
      <c r="U42" s="1">
        <f t="shared" ca="1" si="5"/>
        <v>43053</v>
      </c>
      <c r="V42">
        <f ca="1">_xll.BDH($E$20&amp;E$5,"Last Trade",$U42,$U42)</f>
        <v>0.15</v>
      </c>
      <c r="W42">
        <f ca="1">_xll.BDH($E$20&amp;F$5,"Last Trade",$U42,$U42)</f>
        <v>-0.2</v>
      </c>
      <c r="X42">
        <f ca="1">_xll.BDH($E$20&amp;G$5,"Last Trade",$U42,$U42)</f>
        <v>17.82</v>
      </c>
      <c r="Y42">
        <f ca="1">_xll.BDH($E$20&amp;H$5,"Last Trade",$U42,$U42)</f>
        <v>1.53</v>
      </c>
      <c r="Z42">
        <f ca="1">_xll.BDH($E$20&amp;I$5,"Last Trade",$U42,$U42)</f>
        <v>3.2800000000000002</v>
      </c>
      <c r="AA42">
        <f ca="1">_xll.BDH($E$20&amp;J$5,"Last Trade",$U42,$U42)</f>
        <v>17.809999999999999</v>
      </c>
      <c r="AD42" s="1">
        <f t="shared" ca="1" si="6"/>
        <v>43053</v>
      </c>
      <c r="AE42">
        <f ca="1">_xll.BDH($E$20&amp;E$10,"Last Trade",$AD42,$AD42)</f>
        <v>0.94</v>
      </c>
      <c r="AF42">
        <f ca="1">_xll.BDH($E$20&amp;F$10,"Last Trade",$AD42,$AD42)</f>
        <v>0.21</v>
      </c>
      <c r="AG42">
        <f ca="1">_xll.BDH($E$20&amp;G$10,"Last Trade",$AD42,$AD42)</f>
        <v>17.809999999999999</v>
      </c>
      <c r="AH42">
        <f ca="1">_xll.BDH($E$20&amp;H$10,"Last Trade",$AD42,$AD42)</f>
        <v>1.07</v>
      </c>
      <c r="AI42">
        <f ca="1">_xll.BDH($E$20&amp;I$10,"Last Trade",$AD42,$AD42)</f>
        <v>2.19</v>
      </c>
      <c r="AJ42">
        <f ca="1">_xll.BDH($E$20&amp;J$10,"Last Trade",$AD42,$AD42)</f>
        <v>17.829999999999998</v>
      </c>
    </row>
    <row r="43" spans="4:36">
      <c r="D43" s="1">
        <f ca="1">_xll.feSubtractPeriod(D42,"1b","P","LME")</f>
        <v>43052</v>
      </c>
      <c r="E43">
        <f ca="1">_xll.BDH($E$20&amp;E$3,"Last Trade",$D43,$D43)</f>
        <v>-0.01</v>
      </c>
      <c r="F43">
        <f ca="1">_xll.BDH($E$20&amp;F$3,"Last Trade",$D43,$D43)</f>
        <v>-0.34</v>
      </c>
      <c r="G43">
        <f ca="1">_xll.BDH($E$20&amp;G$3,"Last Trade",$D43,$D43)</f>
        <v>16.809999999999999</v>
      </c>
      <c r="H43">
        <f ca="1">_xll.BDH($E$20&amp;H$3,"Last Trade",$D43,$D43)</f>
        <v>1.55</v>
      </c>
      <c r="I43">
        <f ca="1">_xll.BDH($E$20&amp;I$3,"Last Trade",$D43,$D43)</f>
        <v>3.51</v>
      </c>
      <c r="J43">
        <f ca="1">_xll.BDH($E$20&amp;J$3,"Last Trade",$D43,$D43)</f>
        <v>16.79</v>
      </c>
      <c r="L43" s="1">
        <f t="shared" ca="1" si="4"/>
        <v>43052</v>
      </c>
      <c r="M43">
        <f ca="1">_xll.BDH($E$20&amp;E$4,"Last Trade",$L43,$L43)</f>
        <v>0.11</v>
      </c>
      <c r="N43">
        <f ca="1">_xll.BDH($E$20&amp;F$4,"Last Trade",$L43,$L43)</f>
        <v>-0.24</v>
      </c>
      <c r="O43">
        <f ca="1">_xll.BDH($E$20&amp;G$4,"Last Trade",$L43,$L43)</f>
        <v>17.760000000000002</v>
      </c>
      <c r="P43">
        <f ca="1">_xll.BDH($E$20&amp;H$4,"Last Trade",$L43,$L43)</f>
        <v>1.51</v>
      </c>
      <c r="Q43">
        <f ca="1">_xll.BDH($E$20&amp;I$4,"Last Trade",$L43,$L43)</f>
        <v>3.39</v>
      </c>
      <c r="R43">
        <f ca="1">_xll.BDH($E$20&amp;J$4,"Last Trade",$L43,$L43)</f>
        <v>17.739999999999998</v>
      </c>
      <c r="U43" s="1">
        <f t="shared" ca="1" si="5"/>
        <v>43052</v>
      </c>
      <c r="V43">
        <f ca="1">_xll.BDH($E$20&amp;E$5,"Last Trade",$U43,$U43)</f>
        <v>0.15</v>
      </c>
      <c r="W43">
        <f ca="1">_xll.BDH($E$20&amp;F$5,"Last Trade",$U43,$U43)</f>
        <v>-0.19</v>
      </c>
      <c r="X43">
        <f ca="1">_xll.BDH($E$20&amp;G$5,"Last Trade",$U43,$U43)</f>
        <v>17.899999999999999</v>
      </c>
      <c r="Y43">
        <f ca="1">_xll.BDH($E$20&amp;H$5,"Last Trade",$U43,$U43)</f>
        <v>1.52</v>
      </c>
      <c r="Z43">
        <f ca="1">_xll.BDH($E$20&amp;I$5,"Last Trade",$U43,$U43)</f>
        <v>3.2800000000000002</v>
      </c>
      <c r="AA43">
        <f ca="1">_xll.BDH($E$20&amp;J$5,"Last Trade",$U43,$U43)</f>
        <v>17.88</v>
      </c>
      <c r="AD43" s="1">
        <f t="shared" ca="1" si="6"/>
        <v>43052</v>
      </c>
      <c r="AE43">
        <f ca="1">_xll.BDH($E$20&amp;E$10,"Last Trade",$AD43,$AD43)</f>
        <v>0.94</v>
      </c>
      <c r="AF43">
        <f ca="1">_xll.BDH($E$20&amp;F$10,"Last Trade",$AD43,$AD43)</f>
        <v>0.24</v>
      </c>
      <c r="AG43">
        <f ca="1">_xll.BDH($E$20&amp;G$10,"Last Trade",$AD43,$AD43)</f>
        <v>17.75</v>
      </c>
      <c r="AH43">
        <f ca="1">_xll.BDH($E$20&amp;H$10,"Last Trade",$AD43,$AD43)</f>
        <v>1.07</v>
      </c>
      <c r="AI43">
        <f ca="1">_xll.BDH($E$20&amp;I$10,"Last Trade",$AD43,$AD43)</f>
        <v>2.2200000000000002</v>
      </c>
      <c r="AJ43">
        <f ca="1">_xll.BDH($E$20&amp;J$10,"Last Trade",$AD43,$AD43)</f>
        <v>17.78</v>
      </c>
    </row>
    <row r="44" spans="4:36">
      <c r="D44" s="1">
        <f ca="1">_xll.feSubtractPeriod(D43,"1b","P","LME")</f>
        <v>43049</v>
      </c>
      <c r="E44">
        <f ca="1">_xll.BDH($E$20&amp;E$3,"Last Trade",$D44,$D44)</f>
        <v>-0.01</v>
      </c>
      <c r="F44">
        <f ca="1">_xll.BDH($E$20&amp;F$3,"Last Trade",$D44,$D44)</f>
        <v>-0.36</v>
      </c>
      <c r="G44">
        <f ca="1">_xll.BDH($E$20&amp;G$3,"Last Trade",$D44,$D44)</f>
        <v>16.89</v>
      </c>
      <c r="H44">
        <f ca="1">_xll.BDH($E$20&amp;H$3,"Last Trade",$D44,$D44)</f>
        <v>1.53</v>
      </c>
      <c r="I44">
        <f ca="1">_xll.BDH($E$20&amp;I$3,"Last Trade",$D44,$D44)</f>
        <v>3.5300000000000002</v>
      </c>
      <c r="J44">
        <f ca="1">_xll.BDH($E$20&amp;J$3,"Last Trade",$D44,$D44)</f>
        <v>16.87</v>
      </c>
      <c r="L44" s="1">
        <f t="shared" ca="1" si="4"/>
        <v>43049</v>
      </c>
      <c r="M44">
        <f ca="1">_xll.BDH($E$20&amp;E$4,"Last Trade",$L44,$L44)</f>
        <v>0.11</v>
      </c>
      <c r="N44">
        <f ca="1">_xll.BDH($E$20&amp;F$4,"Last Trade",$L44,$L44)</f>
        <v>-0.25</v>
      </c>
      <c r="O44">
        <f ca="1">_xll.BDH($E$20&amp;G$4,"Last Trade",$L44,$L44)</f>
        <v>17.850000000000001</v>
      </c>
      <c r="P44">
        <f ca="1">_xll.BDH($E$20&amp;H$4,"Last Trade",$L44,$L44)</f>
        <v>1.54</v>
      </c>
      <c r="Q44">
        <f ca="1">_xll.BDH($E$20&amp;I$4,"Last Trade",$L44,$L44)</f>
        <v>3.43</v>
      </c>
      <c r="R44">
        <f ca="1">_xll.BDH($E$20&amp;J$4,"Last Trade",$L44,$L44)</f>
        <v>17.829999999999998</v>
      </c>
      <c r="U44" s="1">
        <f t="shared" ca="1" si="5"/>
        <v>43049</v>
      </c>
      <c r="V44">
        <f ca="1">_xll.BDH($E$20&amp;E$5,"Last Trade",$U44,$U44)</f>
        <v>0.15</v>
      </c>
      <c r="W44">
        <f ca="1">_xll.BDH($E$20&amp;F$5,"Last Trade",$U44,$U44)</f>
        <v>-0.19</v>
      </c>
      <c r="X44">
        <f ca="1">_xll.BDH($E$20&amp;G$5,"Last Trade",$U44,$U44)</f>
        <v>18</v>
      </c>
      <c r="Y44">
        <f ca="1">_xll.BDH($E$20&amp;H$5,"Last Trade",$U44,$U44)</f>
        <v>1.56</v>
      </c>
      <c r="Z44">
        <f ca="1">_xll.BDH($E$20&amp;I$5,"Last Trade",$U44,$U44)</f>
        <v>3.33</v>
      </c>
      <c r="AA44">
        <f ca="1">_xll.BDH($E$20&amp;J$5,"Last Trade",$U44,$U44)</f>
        <v>17.98</v>
      </c>
      <c r="AD44" s="1">
        <f t="shared" ca="1" si="6"/>
        <v>43049</v>
      </c>
      <c r="AE44">
        <f ca="1">_xll.BDH($E$20&amp;E$10,"Last Trade",$AD44,$AD44)</f>
        <v>0.95</v>
      </c>
      <c r="AF44">
        <f ca="1">_xll.BDH($E$20&amp;F$10,"Last Trade",$AD44,$AD44)</f>
        <v>0.24</v>
      </c>
      <c r="AG44">
        <f ca="1">_xll.BDH($E$20&amp;G$10,"Last Trade",$AD44,$AD44)</f>
        <v>17.809999999999999</v>
      </c>
      <c r="AH44">
        <f ca="1">_xll.BDH($E$20&amp;H$10,"Last Trade",$AD44,$AD44)</f>
        <v>1.07</v>
      </c>
      <c r="AI44">
        <f ca="1">_xll.BDH($E$20&amp;I$10,"Last Trade",$AD44,$AD44)</f>
        <v>2.21</v>
      </c>
      <c r="AJ44">
        <f ca="1">_xll.BDH($E$20&amp;J$10,"Last Trade",$AD44,$AD44)</f>
        <v>17.84</v>
      </c>
    </row>
    <row r="45" spans="4:36">
      <c r="D45" s="1">
        <f ca="1">_xll.feSubtractPeriod(D44,"1b","P","LME")</f>
        <v>43048</v>
      </c>
      <c r="E45">
        <f ca="1">_xll.BDH($E$20&amp;E$3,"Last Trade",$D45,$D45)</f>
        <v>0.03</v>
      </c>
      <c r="F45">
        <f ca="1">_xll.BDH($E$20&amp;F$3,"Last Trade",$D45,$D45)</f>
        <v>-0.44</v>
      </c>
      <c r="G45">
        <f ca="1">_xll.BDH($E$20&amp;G$3,"Last Trade",$D45,$D45)</f>
        <v>17.239999999999998</v>
      </c>
      <c r="H45">
        <f ca="1">_xll.BDH($E$20&amp;H$3,"Last Trade",$D45,$D45)</f>
        <v>1.54</v>
      </c>
      <c r="I45">
        <f ca="1">_xll.BDH($E$20&amp;I$3,"Last Trade",$D45,$D45)</f>
        <v>3.44</v>
      </c>
      <c r="J45">
        <f ca="1">_xll.BDH($E$20&amp;J$3,"Last Trade",$D45,$D45)</f>
        <v>17.22</v>
      </c>
      <c r="L45" s="1">
        <f t="shared" ca="1" si="4"/>
        <v>43048</v>
      </c>
      <c r="M45">
        <f ca="1">_xll.BDH($E$20&amp;E$4,"Last Trade",$L45,$L45)</f>
        <v>0.11</v>
      </c>
      <c r="N45">
        <f ca="1">_xll.BDH($E$20&amp;F$4,"Last Trade",$L45,$L45)</f>
        <v>-0.28999999999999998</v>
      </c>
      <c r="O45">
        <f ca="1">_xll.BDH($E$20&amp;G$4,"Last Trade",$L45,$L45)</f>
        <v>18.170000000000002</v>
      </c>
      <c r="P45">
        <f ca="1">_xll.BDH($E$20&amp;H$4,"Last Trade",$L45,$L45)</f>
        <v>1.5899999999999999</v>
      </c>
      <c r="Q45">
        <f ca="1">_xll.BDH($E$20&amp;I$4,"Last Trade",$L45,$L45)</f>
        <v>3.52</v>
      </c>
      <c r="R45">
        <f ca="1">_xll.BDH($E$20&amp;J$4,"Last Trade",$L45,$L45)</f>
        <v>18.149999999999999</v>
      </c>
      <c r="U45" s="1">
        <f t="shared" ca="1" si="5"/>
        <v>43048</v>
      </c>
      <c r="V45">
        <f ca="1">_xll.BDH($E$20&amp;E$5,"Last Trade",$U45,$U45)</f>
        <v>0.16</v>
      </c>
      <c r="W45">
        <f ca="1">_xll.BDH($E$20&amp;F$5,"Last Trade",$U45,$U45)</f>
        <v>-0.24</v>
      </c>
      <c r="X45">
        <f ca="1">_xll.BDH($E$20&amp;G$5,"Last Trade",$U45,$U45)</f>
        <v>18.23</v>
      </c>
      <c r="Y45">
        <f ca="1">_xll.BDH($E$20&amp;H$5,"Last Trade",$U45,$U45)</f>
        <v>1.65</v>
      </c>
      <c r="Z45">
        <f ca="1">_xll.BDH($E$20&amp;I$5,"Last Trade",$U45,$U45)</f>
        <v>3.41</v>
      </c>
      <c r="AA45">
        <f ca="1">_xll.BDH($E$20&amp;J$5,"Last Trade",$U45,$U45)</f>
        <v>18.21</v>
      </c>
      <c r="AD45" s="1">
        <f t="shared" ca="1" si="6"/>
        <v>43048</v>
      </c>
      <c r="AE45">
        <f ca="1">_xll.BDH($E$20&amp;E$10,"Last Trade",$AD45,$AD45)</f>
        <v>0.96</v>
      </c>
      <c r="AF45">
        <f ca="1">_xll.BDH($E$20&amp;F$10,"Last Trade",$AD45,$AD45)</f>
        <v>0.25</v>
      </c>
      <c r="AG45">
        <f ca="1">_xll.BDH($E$20&amp;G$10,"Last Trade",$AD45,$AD45)</f>
        <v>17.89</v>
      </c>
      <c r="AH45">
        <f ca="1">_xll.BDH($E$20&amp;H$10,"Last Trade",$AD45,$AD45)</f>
        <v>1.1000000000000001</v>
      </c>
      <c r="AI45">
        <f ca="1">_xll.BDH($E$20&amp;I$10,"Last Trade",$AD45,$AD45)</f>
        <v>2.23</v>
      </c>
      <c r="AJ45">
        <f ca="1">_xll.BDH($E$20&amp;J$10,"Last Trade",$AD45,$AD45)</f>
        <v>17.920000000000002</v>
      </c>
    </row>
    <row r="46" spans="4:36">
      <c r="D46" s="1">
        <f ca="1">_xll.feSubtractPeriod(D45,"1b","P","LME")</f>
        <v>43047</v>
      </c>
      <c r="E46">
        <f ca="1">_xll.BDH($E$20&amp;E$3,"Last Trade",$D46,$D46)</f>
        <v>-0.02</v>
      </c>
      <c r="F46">
        <f ca="1">_xll.BDH($E$20&amp;F$3,"Last Trade",$D46,$D46)</f>
        <v>-0.39</v>
      </c>
      <c r="G46">
        <f ca="1">_xll.BDH($E$20&amp;G$3,"Last Trade",$D46,$D46)</f>
        <v>18.11</v>
      </c>
      <c r="H46">
        <f ca="1">_xll.BDH($E$20&amp;H$3,"Last Trade",$D46,$D46)</f>
        <v>1.87</v>
      </c>
      <c r="I46">
        <f ca="1">_xll.BDH($E$20&amp;I$3,"Last Trade",$D46,$D46)</f>
        <v>3.86</v>
      </c>
      <c r="J46">
        <f ca="1">_xll.BDH($E$20&amp;J$3,"Last Trade",$D46,$D46)</f>
        <v>18.09</v>
      </c>
      <c r="L46" s="1">
        <f t="shared" ca="1" si="4"/>
        <v>43047</v>
      </c>
      <c r="M46">
        <f ca="1">_xll.BDH($E$20&amp;E$4,"Last Trade",$L46,$L46)</f>
        <v>0.12</v>
      </c>
      <c r="N46">
        <f ca="1">_xll.BDH($E$20&amp;F$4,"Last Trade",$L46,$L46)</f>
        <v>-0.28999999999999998</v>
      </c>
      <c r="O46">
        <f ca="1">_xll.BDH($E$20&amp;G$4,"Last Trade",$L46,$L46)</f>
        <v>18.489999999999998</v>
      </c>
      <c r="P46">
        <f ca="1">_xll.BDH($E$20&amp;H$4,"Last Trade",$L46,$L46)</f>
        <v>1.75</v>
      </c>
      <c r="Q46">
        <f ca="1">_xll.BDH($E$20&amp;I$4,"Last Trade",$L46,$L46)</f>
        <v>3.6</v>
      </c>
      <c r="R46">
        <f ca="1">_xll.BDH($E$20&amp;J$4,"Last Trade",$L46,$L46)</f>
        <v>18.47</v>
      </c>
      <c r="U46" s="1">
        <f t="shared" ca="1" si="5"/>
        <v>43047</v>
      </c>
      <c r="V46">
        <f ca="1">_xll.BDH($E$20&amp;E$5,"Last Trade",$U46,$U46)</f>
        <v>0.16</v>
      </c>
      <c r="W46">
        <f ca="1">_xll.BDH($E$20&amp;F$5,"Last Trade",$U46,$U46)</f>
        <v>-0.23</v>
      </c>
      <c r="X46">
        <f ca="1">_xll.BDH($E$20&amp;G$5,"Last Trade",$U46,$U46)</f>
        <v>18.46</v>
      </c>
      <c r="Y46">
        <f ca="1">_xll.BDH($E$20&amp;H$5,"Last Trade",$U46,$U46)</f>
        <v>1.74</v>
      </c>
      <c r="Z46">
        <f ca="1">_xll.BDH($E$20&amp;I$5,"Last Trade",$U46,$U46)</f>
        <v>3.49</v>
      </c>
      <c r="AA46">
        <f ca="1">_xll.BDH($E$20&amp;J$5,"Last Trade",$U46,$U46)</f>
        <v>18.440000000000001</v>
      </c>
      <c r="AD46" s="1">
        <f t="shared" ca="1" si="6"/>
        <v>43047</v>
      </c>
      <c r="AE46">
        <f ca="1">_xll.BDH($E$20&amp;E$10,"Last Trade",$AD46,$AD46)</f>
        <v>0.97</v>
      </c>
      <c r="AF46">
        <f ca="1">_xll.BDH($E$20&amp;F$10,"Last Trade",$AD46,$AD46)</f>
        <v>0.31</v>
      </c>
      <c r="AG46">
        <f ca="1">_xll.BDH($E$20&amp;G$10,"Last Trade",$AD46,$AD46)</f>
        <v>18</v>
      </c>
      <c r="AH46">
        <f ca="1">_xll.BDH($E$20&amp;H$10,"Last Trade",$AD46,$AD46)</f>
        <v>1.1100000000000001</v>
      </c>
      <c r="AI46">
        <f ca="1">_xll.BDH($E$20&amp;I$10,"Last Trade",$AD46,$AD46)</f>
        <v>2.23</v>
      </c>
      <c r="AJ46">
        <f ca="1">_xll.BDH($E$20&amp;J$10,"Last Trade",$AD46,$AD46)</f>
        <v>18.04</v>
      </c>
    </row>
    <row r="47" spans="4:36">
      <c r="D47" s="1">
        <f ca="1">_xll.feSubtractPeriod(D46,"1b","P","LME")</f>
        <v>43046</v>
      </c>
      <c r="E47">
        <f ca="1">_xll.BDH($E$20&amp;E$3,"Last Trade",$D47,$D47)</f>
        <v>-0.12</v>
      </c>
      <c r="F47">
        <f ca="1">_xll.BDH($E$20&amp;F$3,"Last Trade",$D47,$D47)</f>
        <v>-0.43</v>
      </c>
      <c r="G47">
        <f ca="1">_xll.BDH($E$20&amp;G$3,"Last Trade",$D47,$D47)</f>
        <v>18.41</v>
      </c>
      <c r="H47">
        <f ca="1">_xll.BDH($E$20&amp;H$3,"Last Trade",$D47,$D47)</f>
        <v>1.96</v>
      </c>
      <c r="I47">
        <f ca="1">_xll.BDH($E$20&amp;I$3,"Last Trade",$D47,$D47)</f>
        <v>4.1100000000000003</v>
      </c>
      <c r="J47">
        <f ca="1">_xll.BDH($E$20&amp;J$3,"Last Trade",$D47,$D47)</f>
        <v>18.38</v>
      </c>
      <c r="L47" s="1">
        <f t="shared" ca="1" si="4"/>
        <v>43046</v>
      </c>
      <c r="M47">
        <f ca="1">_xll.BDH($E$20&amp;E$4,"Last Trade",$L47,$L47)</f>
        <v>0.08</v>
      </c>
      <c r="N47">
        <f ca="1">_xll.BDH($E$20&amp;F$4,"Last Trade",$L47,$L47)</f>
        <v>-0.28000000000000003</v>
      </c>
      <c r="O47">
        <f ca="1">_xll.BDH($E$20&amp;G$4,"Last Trade",$L47,$L47)</f>
        <v>18.739999999999998</v>
      </c>
      <c r="P47">
        <f ca="1">_xll.BDH($E$20&amp;H$4,"Last Trade",$L47,$L47)</f>
        <v>1.81</v>
      </c>
      <c r="Q47">
        <f ca="1">_xll.BDH($E$20&amp;I$4,"Last Trade",$L47,$L47)</f>
        <v>3.7800000000000002</v>
      </c>
      <c r="R47">
        <f ca="1">_xll.BDH($E$20&amp;J$4,"Last Trade",$L47,$L47)</f>
        <v>18.72</v>
      </c>
      <c r="U47" s="1">
        <f t="shared" ca="1" si="5"/>
        <v>43046</v>
      </c>
      <c r="V47">
        <f ca="1">_xll.BDH($E$20&amp;E$5,"Last Trade",$U47,$U47)</f>
        <v>0.14000000000000001</v>
      </c>
      <c r="W47">
        <f ca="1">_xll.BDH($E$20&amp;F$5,"Last Trade",$U47,$U47)</f>
        <v>-0.19</v>
      </c>
      <c r="X47">
        <f ca="1">_xll.BDH($E$20&amp;G$5,"Last Trade",$U47,$U47)</f>
        <v>18.77</v>
      </c>
      <c r="Y47">
        <f ca="1">_xll.BDH($E$20&amp;H$5,"Last Trade",$U47,$U47)</f>
        <v>1.78</v>
      </c>
      <c r="Z47">
        <f ca="1">_xll.BDH($E$20&amp;I$5,"Last Trade",$U47,$U47)</f>
        <v>3.66</v>
      </c>
      <c r="AA47">
        <f ca="1">_xll.BDH($E$20&amp;J$5,"Last Trade",$U47,$U47)</f>
        <v>18.75</v>
      </c>
      <c r="AD47" s="1">
        <f t="shared" ca="1" si="6"/>
        <v>43046</v>
      </c>
      <c r="AE47">
        <f ca="1">_xll.BDH($E$20&amp;E$10,"Last Trade",$AD47,$AD47)</f>
        <v>0.96</v>
      </c>
      <c r="AF47">
        <f ca="1">_xll.BDH($E$20&amp;F$10,"Last Trade",$AD47,$AD47)</f>
        <v>0.3</v>
      </c>
      <c r="AG47">
        <f ca="1">_xll.BDH($E$20&amp;G$10,"Last Trade",$AD47,$AD47)</f>
        <v>18.079999999999998</v>
      </c>
      <c r="AH47">
        <f ca="1">_xll.BDH($E$20&amp;H$10,"Last Trade",$AD47,$AD47)</f>
        <v>1.0900000000000001</v>
      </c>
      <c r="AI47">
        <f ca="1">_xll.BDH($E$20&amp;I$10,"Last Trade",$AD47,$AD47)</f>
        <v>2.23</v>
      </c>
      <c r="AJ47">
        <f ca="1">_xll.BDH($E$20&amp;J$10,"Last Trade",$AD47,$AD47)</f>
        <v>18.12</v>
      </c>
    </row>
    <row r="48" spans="4:36">
      <c r="D48" s="1">
        <f ca="1">_xll.feSubtractPeriod(D47,"1b","P","LME")</f>
        <v>43045</v>
      </c>
      <c r="E48">
        <f ca="1">_xll.BDH($E$20&amp;E$3,"Last Trade",$D48,$D48)</f>
        <v>-0.1</v>
      </c>
      <c r="F48">
        <f ca="1">_xll.BDH($E$20&amp;F$3,"Last Trade",$D48,$D48)</f>
        <v>-0.41</v>
      </c>
      <c r="G48">
        <f ca="1">_xll.BDH($E$20&amp;G$3,"Last Trade",$D48,$D48)</f>
        <v>18.899999999999999</v>
      </c>
      <c r="H48">
        <f ca="1">_xll.BDH($E$20&amp;H$3,"Last Trade",$D48,$D48)</f>
        <v>2.12</v>
      </c>
      <c r="I48">
        <f ca="1">_xll.BDH($E$20&amp;I$3,"Last Trade",$D48,$D48)</f>
        <v>4.26</v>
      </c>
      <c r="J48">
        <f ca="1">_xll.BDH($E$20&amp;J$3,"Last Trade",$D48,$D48)</f>
        <v>18.87</v>
      </c>
      <c r="L48" s="1">
        <f t="shared" ca="1" si="4"/>
        <v>43045</v>
      </c>
      <c r="M48">
        <f ca="1">_xll.BDH($E$20&amp;E$4,"Last Trade",$L48,$L48)</f>
        <v>0.13</v>
      </c>
      <c r="N48">
        <f ca="1">_xll.BDH($E$20&amp;F$4,"Last Trade",$L48,$L48)</f>
        <v>-0.28000000000000003</v>
      </c>
      <c r="O48">
        <f ca="1">_xll.BDH($E$20&amp;G$4,"Last Trade",$L48,$L48)</f>
        <v>19.03</v>
      </c>
      <c r="P48">
        <f ca="1">_xll.BDH($E$20&amp;H$4,"Last Trade",$L48,$L48)</f>
        <v>1.92</v>
      </c>
      <c r="Q48">
        <f ca="1">_xll.BDH($E$20&amp;I$4,"Last Trade",$L48,$L48)</f>
        <v>3.86</v>
      </c>
      <c r="R48">
        <f ca="1">_xll.BDH($E$20&amp;J$4,"Last Trade",$L48,$L48)</f>
        <v>19.010000000000002</v>
      </c>
      <c r="U48" s="1">
        <f t="shared" ca="1" si="5"/>
        <v>43045</v>
      </c>
      <c r="V48">
        <f ca="1">_xll.BDH($E$20&amp;E$5,"Last Trade",$U48,$U48)</f>
        <v>0.19</v>
      </c>
      <c r="W48">
        <f ca="1">_xll.BDH($E$20&amp;F$5,"Last Trade",$U48,$U48)</f>
        <v>-0.18</v>
      </c>
      <c r="X48">
        <f ca="1">_xll.BDH($E$20&amp;G$5,"Last Trade",$U48,$U48)</f>
        <v>18.920000000000002</v>
      </c>
      <c r="Y48">
        <f ca="1">_xll.BDH($E$20&amp;H$5,"Last Trade",$U48,$U48)</f>
        <v>1.8900000000000001</v>
      </c>
      <c r="Z48">
        <f ca="1">_xll.BDH($E$20&amp;I$5,"Last Trade",$U48,$U48)</f>
        <v>3.7199999999999998</v>
      </c>
      <c r="AA48">
        <f ca="1">_xll.BDH($E$20&amp;J$5,"Last Trade",$U48,$U48)</f>
        <v>18.899999999999999</v>
      </c>
      <c r="AD48" s="1">
        <f t="shared" ca="1" si="6"/>
        <v>43045</v>
      </c>
      <c r="AE48">
        <f ca="1">_xll.BDH($E$20&amp;E$10,"Last Trade",$AD48,$AD48)</f>
        <v>0.99</v>
      </c>
      <c r="AF48">
        <f ca="1">_xll.BDH($E$20&amp;F$10,"Last Trade",$AD48,$AD48)</f>
        <v>0.3</v>
      </c>
      <c r="AG48">
        <f ca="1">_xll.BDH($E$20&amp;G$10,"Last Trade",$AD48,$AD48)</f>
        <v>18.149999999999999</v>
      </c>
      <c r="AH48">
        <f ca="1">_xll.BDH($E$20&amp;H$10,"Last Trade",$AD48,$AD48)</f>
        <v>1.1000000000000001</v>
      </c>
      <c r="AI48">
        <f ca="1">_xll.BDH($E$20&amp;I$10,"Last Trade",$AD48,$AD48)</f>
        <v>2.21</v>
      </c>
      <c r="AJ48">
        <f ca="1">_xll.BDH($E$20&amp;J$10,"Last Trade",$AD48,$AD48)</f>
        <v>18.190000000000001</v>
      </c>
    </row>
    <row r="49" spans="4:36">
      <c r="D49" s="1">
        <f ca="1">_xll.feSubtractPeriod(D48,"1b","P","LME")</f>
        <v>43042</v>
      </c>
      <c r="E49">
        <f ca="1">_xll.BDH($E$20&amp;E$3,"Last Trade",$D49,$D49)</f>
        <v>-0.04</v>
      </c>
      <c r="F49">
        <f ca="1">_xll.BDH($E$20&amp;F$3,"Last Trade",$D49,$D49)</f>
        <v>-0.4</v>
      </c>
      <c r="G49">
        <f ca="1">_xll.BDH($E$20&amp;G$3,"Last Trade",$D49,$D49)</f>
        <v>19.149999999999999</v>
      </c>
      <c r="H49">
        <f ca="1">_xll.BDH($E$20&amp;H$3,"Last Trade",$D49,$D49)</f>
        <v>2.15</v>
      </c>
      <c r="I49">
        <f ca="1">_xll.BDH($E$20&amp;I$3,"Last Trade",$D49,$D49)</f>
        <v>4.2300000000000004</v>
      </c>
      <c r="J49">
        <f ca="1">_xll.BDH($E$20&amp;J$3,"Last Trade",$D49,$D49)</f>
        <v>19.12</v>
      </c>
      <c r="L49" s="1">
        <f t="shared" ca="1" si="4"/>
        <v>43042</v>
      </c>
      <c r="M49">
        <f ca="1">_xll.BDH($E$20&amp;E$4,"Last Trade",$L49,$L49)</f>
        <v>0.17</v>
      </c>
      <c r="N49">
        <f ca="1">_xll.BDH($E$20&amp;F$4,"Last Trade",$L49,$L49)</f>
        <v>-0.28000000000000003</v>
      </c>
      <c r="O49">
        <f ca="1">_xll.BDH($E$20&amp;G$4,"Last Trade",$L49,$L49)</f>
        <v>19.07</v>
      </c>
      <c r="P49">
        <f ca="1">_xll.BDH($E$20&amp;H$4,"Last Trade",$L49,$L49)</f>
        <v>2.04</v>
      </c>
      <c r="Q49">
        <f ca="1">_xll.BDH($E$20&amp;I$4,"Last Trade",$L49,$L49)</f>
        <v>3.87</v>
      </c>
      <c r="R49">
        <f ca="1">_xll.BDH($E$20&amp;J$4,"Last Trade",$L49,$L49)</f>
        <v>19.05</v>
      </c>
      <c r="U49" s="1">
        <f t="shared" ca="1" si="5"/>
        <v>43042</v>
      </c>
      <c r="V49">
        <f ca="1">_xll.BDH($E$20&amp;E$5,"Last Trade",$U49,$U49)</f>
        <v>0.28000000000000003</v>
      </c>
      <c r="W49">
        <f ca="1">_xll.BDH($E$20&amp;F$5,"Last Trade",$U49,$U49)</f>
        <v>-0.12</v>
      </c>
      <c r="X49">
        <f ca="1">_xll.BDH($E$20&amp;G$5,"Last Trade",$U49,$U49)</f>
        <v>18.93</v>
      </c>
      <c r="Y49">
        <f ca="1">_xll.BDH($E$20&amp;H$5,"Last Trade",$U49,$U49)</f>
        <v>2.04</v>
      </c>
      <c r="Z49">
        <f ca="1">_xll.BDH($E$20&amp;I$5,"Last Trade",$U49,$U49)</f>
        <v>3.71</v>
      </c>
      <c r="AA49">
        <f ca="1">_xll.BDH($E$20&amp;J$5,"Last Trade",$U49,$U49)</f>
        <v>18.920000000000002</v>
      </c>
      <c r="AD49" s="1">
        <f t="shared" ca="1" si="6"/>
        <v>43042</v>
      </c>
      <c r="AE49">
        <f ca="1">_xll.BDH($E$20&amp;E$10,"Last Trade",$AD49,$AD49)</f>
        <v>1.02</v>
      </c>
      <c r="AF49">
        <f ca="1">_xll.BDH($E$20&amp;F$10,"Last Trade",$AD49,$AD49)</f>
        <v>0.33</v>
      </c>
      <c r="AG49">
        <f ca="1">_xll.BDH($E$20&amp;G$10,"Last Trade",$AD49,$AD49)</f>
        <v>18.18</v>
      </c>
      <c r="AH49">
        <f ca="1">_xll.BDH($E$20&amp;H$10,"Last Trade",$AD49,$AD49)</f>
        <v>1.1299999999999999</v>
      </c>
      <c r="AI49">
        <f ca="1">_xll.BDH($E$20&amp;I$10,"Last Trade",$AD49,$AD49)</f>
        <v>2.23</v>
      </c>
      <c r="AJ49">
        <f ca="1">_xll.BDH($E$20&amp;J$10,"Last Trade",$AD49,$AD49)</f>
        <v>18.22</v>
      </c>
    </row>
    <row r="50" spans="4:36">
      <c r="D50" s="1">
        <f ca="1">_xll.feSubtractPeriod(D49,"1b","P","LME")</f>
        <v>43041</v>
      </c>
      <c r="E50">
        <f ca="1">_xll.BDH($E$20&amp;E$3,"Last Trade",$D50,$D50)</f>
        <v>0.02</v>
      </c>
      <c r="F50">
        <f ca="1">_xll.BDH($E$20&amp;F$3,"Last Trade",$D50,$D50)</f>
        <v>-0.38</v>
      </c>
      <c r="G50">
        <f ca="1">_xll.BDH($E$20&amp;G$3,"Last Trade",$D50,$D50)</f>
        <v>19.34</v>
      </c>
      <c r="H50">
        <f ca="1">_xll.BDH($E$20&amp;H$3,"Last Trade",$D50,$D50)</f>
        <v>2.2599999999999998</v>
      </c>
      <c r="I50">
        <f ca="1">_xll.BDH($E$20&amp;I$3,"Last Trade",$D50,$D50)</f>
        <v>4.1500000000000004</v>
      </c>
      <c r="J50">
        <f ca="1">_xll.BDH($E$20&amp;J$3,"Last Trade",$D50,$D50)</f>
        <v>19.32</v>
      </c>
      <c r="L50" s="1">
        <f t="shared" ca="1" si="4"/>
        <v>43041</v>
      </c>
      <c r="M50">
        <f ca="1">_xll.BDH($E$20&amp;E$4,"Last Trade",$L50,$L50)</f>
        <v>0.23</v>
      </c>
      <c r="N50">
        <f ca="1">_xll.BDH($E$20&amp;F$4,"Last Trade",$L50,$L50)</f>
        <v>-0.24</v>
      </c>
      <c r="O50">
        <f ca="1">_xll.BDH($E$20&amp;G$4,"Last Trade",$L50,$L50)</f>
        <v>19.23</v>
      </c>
      <c r="P50">
        <f ca="1">_xll.BDH($E$20&amp;H$4,"Last Trade",$L50,$L50)</f>
        <v>1.9100000000000001</v>
      </c>
      <c r="Q50">
        <f ca="1">_xll.BDH($E$20&amp;I$4,"Last Trade",$L50,$L50)</f>
        <v>3.86</v>
      </c>
      <c r="R50">
        <f ca="1">_xll.BDH($E$20&amp;J$4,"Last Trade",$L50,$L50)</f>
        <v>19.21</v>
      </c>
      <c r="U50" s="1">
        <f t="shared" ca="1" si="5"/>
        <v>43041</v>
      </c>
      <c r="V50">
        <f ca="1">_xll.BDH($E$20&amp;E$5,"Last Trade",$U50,$U50)</f>
        <v>0.35</v>
      </c>
      <c r="W50">
        <f ca="1">_xll.BDH($E$20&amp;F$5,"Last Trade",$U50,$U50)</f>
        <v>-0.1</v>
      </c>
      <c r="X50">
        <f ca="1">_xll.BDH($E$20&amp;G$5,"Last Trade",$U50,$U50)</f>
        <v>19.02</v>
      </c>
      <c r="Y50">
        <f ca="1">_xll.BDH($E$20&amp;H$5,"Last Trade",$U50,$U50)</f>
        <v>1.87</v>
      </c>
      <c r="Z50">
        <f ca="1">_xll.BDH($E$20&amp;I$5,"Last Trade",$U50,$U50)</f>
        <v>3.75</v>
      </c>
      <c r="AA50">
        <f ca="1">_xll.BDH($E$20&amp;J$5,"Last Trade",$U50,$U50)</f>
        <v>19.010000000000002</v>
      </c>
      <c r="AD50" s="1">
        <f t="shared" ca="1" si="6"/>
        <v>43041</v>
      </c>
      <c r="AE50">
        <f ca="1">_xll.BDH($E$20&amp;E$10,"Last Trade",$AD50,$AD50)</f>
        <v>1.1000000000000001</v>
      </c>
      <c r="AF50">
        <f ca="1">_xll.BDH($E$20&amp;F$10,"Last Trade",$AD50,$AD50)</f>
        <v>0.39</v>
      </c>
      <c r="AG50">
        <f ca="1">_xll.BDH($E$20&amp;G$10,"Last Trade",$AD50,$AD50)</f>
        <v>18.170000000000002</v>
      </c>
      <c r="AH50">
        <f ca="1">_xll.BDH($E$20&amp;H$10,"Last Trade",$AD50,$AD50)</f>
        <v>1.1200000000000001</v>
      </c>
      <c r="AI50">
        <f ca="1">_xll.BDH($E$20&amp;I$10,"Last Trade",$AD50,$AD50)</f>
        <v>2.21</v>
      </c>
      <c r="AJ50">
        <f ca="1">_xll.BDH($E$20&amp;J$10,"Last Trade",$AD50,$AD50)</f>
        <v>18.22</v>
      </c>
    </row>
    <row r="51" spans="4:36">
      <c r="D51" s="1">
        <f ca="1">_xll.feSubtractPeriod(D50,"1b","P","LME")</f>
        <v>43040</v>
      </c>
      <c r="E51">
        <f ca="1">_xll.BDH($E$20&amp;E$3,"Last Trade",$D51,$D51)</f>
        <v>0.05</v>
      </c>
      <c r="F51">
        <f ca="1">_xll.BDH($E$20&amp;F$3,"Last Trade",$D51,$D51)</f>
        <v>-0.36</v>
      </c>
      <c r="G51">
        <f ca="1">_xll.BDH($E$20&amp;G$3,"Last Trade",$D51,$D51)</f>
        <v>19.3</v>
      </c>
      <c r="H51">
        <f ca="1">_xll.BDH($E$20&amp;H$3,"Last Trade",$D51,$D51)</f>
        <v>2.2400000000000002</v>
      </c>
      <c r="I51">
        <f ca="1">_xll.BDH($E$20&amp;I$3,"Last Trade",$D51,$D51)</f>
        <v>4.1399999999999997</v>
      </c>
      <c r="J51">
        <f ca="1">_xll.BDH($E$20&amp;J$3,"Last Trade",$D51,$D51)</f>
        <v>19.27</v>
      </c>
      <c r="L51" s="1">
        <f t="shared" ca="1" si="4"/>
        <v>43040</v>
      </c>
      <c r="M51">
        <f ca="1">_xll.BDH($E$20&amp;E$4,"Last Trade",$L51,$L51)</f>
        <v>0.26</v>
      </c>
      <c r="N51">
        <f ca="1">_xll.BDH($E$20&amp;F$4,"Last Trade",$L51,$L51)</f>
        <v>-0.22</v>
      </c>
      <c r="O51">
        <f ca="1">_xll.BDH($E$20&amp;G$4,"Last Trade",$L51,$L51)</f>
        <v>19.149999999999999</v>
      </c>
      <c r="P51">
        <f ca="1">_xll.BDH($E$20&amp;H$4,"Last Trade",$L51,$L51)</f>
        <v>1.9100000000000001</v>
      </c>
      <c r="Q51">
        <f ca="1">_xll.BDH($E$20&amp;I$4,"Last Trade",$L51,$L51)</f>
        <v>3.86</v>
      </c>
      <c r="R51">
        <f ca="1">_xll.BDH($E$20&amp;J$4,"Last Trade",$L51,$L51)</f>
        <v>19.13</v>
      </c>
      <c r="U51" s="1">
        <f t="shared" ca="1" si="5"/>
        <v>43040</v>
      </c>
      <c r="V51">
        <f ca="1">_xll.BDH($E$20&amp;E$5,"Last Trade",$U51,$U51)</f>
        <v>0.39</v>
      </c>
      <c r="W51">
        <f ca="1">_xll.BDH($E$20&amp;F$5,"Last Trade",$U51,$U51)</f>
        <v>-0.13</v>
      </c>
      <c r="X51">
        <f ca="1">_xll.BDH($E$20&amp;G$5,"Last Trade",$U51,$U51)</f>
        <v>18.940000000000001</v>
      </c>
      <c r="Y51">
        <f ca="1">_xll.BDH($E$20&amp;H$5,"Last Trade",$U51,$U51)</f>
        <v>1.8599999999999999</v>
      </c>
      <c r="Z51">
        <f ca="1">_xll.BDH($E$20&amp;I$5,"Last Trade",$U51,$U51)</f>
        <v>3.74</v>
      </c>
      <c r="AA51">
        <f ca="1">_xll.BDH($E$20&amp;J$5,"Last Trade",$U51,$U51)</f>
        <v>18.93</v>
      </c>
      <c r="AD51" s="1">
        <f t="shared" ca="1" si="6"/>
        <v>43040</v>
      </c>
      <c r="AE51">
        <f ca="1">_xll.BDH($E$20&amp;E$10,"Last Trade",$AD51,$AD51)</f>
        <v>1.1100000000000001</v>
      </c>
      <c r="AF51">
        <f ca="1">_xll.BDH($E$20&amp;F$10,"Last Trade",$AD51,$AD51)</f>
        <v>0.39</v>
      </c>
      <c r="AG51">
        <f ca="1">_xll.BDH($E$20&amp;G$10,"Last Trade",$AD51,$AD51)</f>
        <v>18.11</v>
      </c>
      <c r="AH51">
        <f ca="1">_xll.BDH($E$20&amp;H$10,"Last Trade",$AD51,$AD51)</f>
        <v>1.1200000000000001</v>
      </c>
      <c r="AI51">
        <f ca="1">_xll.BDH($E$20&amp;I$10,"Last Trade",$AD51,$AD51)</f>
        <v>2.11</v>
      </c>
      <c r="AJ51">
        <f ca="1">_xll.BDH($E$20&amp;J$10,"Last Trade",$AD51,$AD51)</f>
        <v>18.16</v>
      </c>
    </row>
    <row r="52" spans="4:36">
      <c r="D52" s="1">
        <f ca="1">_xll.feSubtractPeriod(D51,"1b","P","LME")</f>
        <v>43039</v>
      </c>
      <c r="E52">
        <f ca="1">_xll.BDH($E$20&amp;E$3,"Last Trade",$D52,$D52)</f>
        <v>0.14000000000000001</v>
      </c>
      <c r="F52">
        <f ca="1">_xll.BDH($E$20&amp;F$3,"Last Trade",$D52,$D52)</f>
        <v>-0.31</v>
      </c>
      <c r="G52">
        <f ca="1">_xll.BDH($E$20&amp;G$3,"Last Trade",$D52,$D52)</f>
        <v>18.79</v>
      </c>
      <c r="H52">
        <f ca="1">_xll.BDH($E$20&amp;H$3,"Last Trade",$D52,$D52)</f>
        <v>2.13</v>
      </c>
      <c r="I52">
        <f ca="1">_xll.BDH($E$20&amp;I$3,"Last Trade",$D52,$D52)</f>
        <v>4</v>
      </c>
      <c r="J52">
        <f ca="1">_xll.BDH($E$20&amp;J$3,"Last Trade",$D52,$D52)</f>
        <v>18.77</v>
      </c>
      <c r="L52" s="1">
        <f t="shared" ca="1" si="4"/>
        <v>43039</v>
      </c>
      <c r="M52">
        <f ca="1">_xll.BDH($E$20&amp;E$4,"Last Trade",$L52,$L52)</f>
        <v>0.27</v>
      </c>
      <c r="N52">
        <f ca="1">_xll.BDH($E$20&amp;F$4,"Last Trade",$L52,$L52)</f>
        <v>-0.21</v>
      </c>
      <c r="O52">
        <f ca="1">_xll.BDH($E$20&amp;G$4,"Last Trade",$L52,$L52)</f>
        <v>18.73</v>
      </c>
      <c r="P52">
        <f ca="1">_xll.BDH($E$20&amp;H$4,"Last Trade",$L52,$L52)</f>
        <v>1.94</v>
      </c>
      <c r="Q52">
        <f ca="1">_xll.BDH($E$20&amp;I$4,"Last Trade",$L52,$L52)</f>
        <v>3.86</v>
      </c>
      <c r="R52">
        <f ca="1">_xll.BDH($E$20&amp;J$4,"Last Trade",$L52,$L52)</f>
        <v>18.71</v>
      </c>
      <c r="U52" s="1">
        <f t="shared" ca="1" si="5"/>
        <v>43039</v>
      </c>
      <c r="V52">
        <f ca="1">_xll.BDH($E$20&amp;E$5,"Last Trade",$U52,$U52)</f>
        <v>0.47</v>
      </c>
      <c r="W52">
        <f ca="1">_xll.BDH($E$20&amp;F$5,"Last Trade",$U52,$U52)</f>
        <v>-0.11</v>
      </c>
      <c r="X52">
        <f ca="1">_xll.BDH($E$20&amp;G$5,"Last Trade",$U52,$U52)</f>
        <v>18.579999999999998</v>
      </c>
      <c r="Y52">
        <f ca="1">_xll.BDH($E$20&amp;H$5,"Last Trade",$U52,$U52)</f>
        <v>1.8199999999999998</v>
      </c>
      <c r="Z52">
        <f ca="1">_xll.BDH($E$20&amp;I$5,"Last Trade",$U52,$U52)</f>
        <v>3.65</v>
      </c>
      <c r="AA52">
        <f ca="1">_xll.BDH($E$20&amp;J$5,"Last Trade",$U52,$U52)</f>
        <v>18.57</v>
      </c>
      <c r="AD52" s="1">
        <f t="shared" ca="1" si="6"/>
        <v>43039</v>
      </c>
      <c r="AE52">
        <f ca="1">_xll.BDH($E$20&amp;E$10,"Last Trade",$AD52,$AD52)</f>
        <v>1.18</v>
      </c>
      <c r="AF52">
        <f ca="1">_xll.BDH($E$20&amp;F$10,"Last Trade",$AD52,$AD52)</f>
        <v>0.41</v>
      </c>
      <c r="AG52">
        <f ca="1">_xll.BDH($E$20&amp;G$10,"Last Trade",$AD52,$AD52)</f>
        <v>17.899999999999999</v>
      </c>
      <c r="AH52">
        <f ca="1">_xll.BDH($E$20&amp;H$10,"Last Trade",$AD52,$AD52)</f>
        <v>1.08</v>
      </c>
      <c r="AI52">
        <f ca="1">_xll.BDH($E$20&amp;I$10,"Last Trade",$AD52,$AD52)</f>
        <v>2.0499999999999998</v>
      </c>
      <c r="AJ52">
        <f ca="1">_xll.BDH($E$20&amp;J$10,"Last Trade",$AD52,$AD52)</f>
        <v>17.95</v>
      </c>
    </row>
    <row r="53" spans="4:36">
      <c r="D53" s="1">
        <f ca="1">_xll.feSubtractPeriod(D52,"1b","P","LME")</f>
        <v>43038</v>
      </c>
      <c r="E53">
        <f ca="1">_xll.BDH($E$20&amp;E$3,"Last Trade",$D53,$D53)</f>
        <v>0.27</v>
      </c>
      <c r="F53">
        <f ca="1">_xll.BDH($E$20&amp;F$3,"Last Trade",$D53,$D53)</f>
        <v>-0.3</v>
      </c>
      <c r="G53">
        <f ca="1">_xll.BDH($E$20&amp;G$3,"Last Trade",$D53,$D53)</f>
        <v>18.68</v>
      </c>
      <c r="H53">
        <f ca="1">_xll.BDH($E$20&amp;H$3,"Last Trade",$D53,$D53)</f>
        <v>1.94</v>
      </c>
      <c r="I53">
        <f ca="1">_xll.BDH($E$20&amp;I$3,"Last Trade",$D53,$D53)</f>
        <v>3.87</v>
      </c>
      <c r="J53">
        <f ca="1">_xll.BDH($E$20&amp;J$3,"Last Trade",$D53,$D53)</f>
        <v>18.66</v>
      </c>
      <c r="L53" s="1">
        <f t="shared" ca="1" si="4"/>
        <v>43038</v>
      </c>
      <c r="M53">
        <f ca="1">_xll.BDH($E$20&amp;E$4,"Last Trade",$L53,$L53)</f>
        <v>0.46</v>
      </c>
      <c r="N53">
        <f ca="1">_xll.BDH($E$20&amp;F$4,"Last Trade",$L53,$L53)</f>
        <v>-0.19</v>
      </c>
      <c r="O53">
        <f ca="1">_xll.BDH($E$20&amp;G$4,"Last Trade",$L53,$L53)</f>
        <v>18.510000000000002</v>
      </c>
      <c r="P53">
        <f ca="1">_xll.BDH($E$20&amp;H$4,"Last Trade",$L53,$L53)</f>
        <v>1.87</v>
      </c>
      <c r="Q53">
        <f ca="1">_xll.BDH($E$20&amp;I$4,"Last Trade",$L53,$L53)</f>
        <v>3.67</v>
      </c>
      <c r="R53">
        <f ca="1">_xll.BDH($E$20&amp;J$4,"Last Trade",$L53,$L53)</f>
        <v>18.489999999999998</v>
      </c>
      <c r="U53" s="1">
        <f t="shared" ca="1" si="5"/>
        <v>43038</v>
      </c>
      <c r="V53">
        <f ca="1">_xll.BDH($E$20&amp;E$5,"Last Trade",$U53,$U53)</f>
        <v>0.65</v>
      </c>
      <c r="W53">
        <f ca="1">_xll.BDH($E$20&amp;F$5,"Last Trade",$U53,$U53)</f>
        <v>-0.03</v>
      </c>
      <c r="X53">
        <f ca="1">_xll.BDH($E$20&amp;G$5,"Last Trade",$U53,$U53)</f>
        <v>18.38</v>
      </c>
      <c r="Y53">
        <f ca="1">_xll.BDH($E$20&amp;H$5,"Last Trade",$U53,$U53)</f>
        <v>1.75</v>
      </c>
      <c r="Z53">
        <f ca="1">_xll.BDH($E$20&amp;I$5,"Last Trade",$U53,$U53)</f>
        <v>3.46</v>
      </c>
      <c r="AA53">
        <f ca="1">_xll.BDH($E$20&amp;J$5,"Last Trade",$U53,$U53)</f>
        <v>18.38</v>
      </c>
      <c r="AD53" s="1">
        <f t="shared" ca="1" si="6"/>
        <v>43038</v>
      </c>
      <c r="AE53">
        <f ca="1">_xll.BDH($E$20&amp;E$10,"Last Trade",$AD53,$AD53)</f>
        <v>1.32</v>
      </c>
      <c r="AF53">
        <f ca="1">_xll.BDH($E$20&amp;F$10,"Last Trade",$AD53,$AD53)</f>
        <v>0.48</v>
      </c>
      <c r="AG53">
        <f ca="1">_xll.BDH($E$20&amp;G$10,"Last Trade",$AD53,$AD53)</f>
        <v>17.72</v>
      </c>
      <c r="AH53">
        <f ca="1">_xll.BDH($E$20&amp;H$10,"Last Trade",$AD53,$AD53)</f>
        <v>0.94</v>
      </c>
      <c r="AI53">
        <f ca="1">_xll.BDH($E$20&amp;I$10,"Last Trade",$AD53,$AD53)</f>
        <v>1.8599999999999999</v>
      </c>
      <c r="AJ53">
        <f ca="1">_xll.BDH($E$20&amp;J$10,"Last Trade",$AD53,$AD53)</f>
        <v>17.78</v>
      </c>
    </row>
    <row r="54" spans="4:36">
      <c r="D54" s="1">
        <f ca="1">_xll.feSubtractPeriod(D53,"1b","P","LME")</f>
        <v>43035</v>
      </c>
      <c r="E54">
        <f ca="1">_xll.BDH($E$20&amp;E$3,"Last Trade",$D54,$D54)</f>
        <v>0.27</v>
      </c>
      <c r="F54">
        <f ca="1">_xll.BDH($E$20&amp;F$3,"Last Trade",$D54,$D54)</f>
        <v>-0.28000000000000003</v>
      </c>
      <c r="G54">
        <f ca="1">_xll.BDH($E$20&amp;G$3,"Last Trade",$D54,$D54)</f>
        <v>18.12</v>
      </c>
      <c r="H54">
        <f ca="1">_xll.BDH($E$20&amp;H$3,"Last Trade",$D54,$D54)</f>
        <v>1.95</v>
      </c>
      <c r="I54">
        <f ca="1">_xll.BDH($E$20&amp;I$3,"Last Trade",$D54,$D54)</f>
        <v>3.62</v>
      </c>
      <c r="J54">
        <f ca="1">_xll.BDH($E$20&amp;J$3,"Last Trade",$D54,$D54)</f>
        <v>18.100000000000001</v>
      </c>
      <c r="L54" s="1">
        <f t="shared" ca="1" si="4"/>
        <v>43035</v>
      </c>
      <c r="M54">
        <f ca="1">_xll.BDH($E$20&amp;E$4,"Last Trade",$L54,$L54)</f>
        <v>0.54</v>
      </c>
      <c r="N54">
        <f ca="1">_xll.BDH($E$20&amp;F$4,"Last Trade",$L54,$L54)</f>
        <v>-0.19</v>
      </c>
      <c r="O54">
        <f ca="1">_xll.BDH($E$20&amp;G$4,"Last Trade",$L54,$L54)</f>
        <v>18.18</v>
      </c>
      <c r="P54">
        <f ca="1">_xll.BDH($E$20&amp;H$4,"Last Trade",$L54,$L54)</f>
        <v>1.78</v>
      </c>
      <c r="Q54">
        <f ca="1">_xll.BDH($E$20&amp;I$4,"Last Trade",$L54,$L54)</f>
        <v>3.5</v>
      </c>
      <c r="R54">
        <f ca="1">_xll.BDH($E$20&amp;J$4,"Last Trade",$L54,$L54)</f>
        <v>18.170000000000002</v>
      </c>
      <c r="U54" s="1">
        <f t="shared" ca="1" si="5"/>
        <v>43035</v>
      </c>
      <c r="V54">
        <f ca="1">_xll.BDH($E$20&amp;E$5,"Last Trade",$U54,$U54)</f>
        <v>0.72</v>
      </c>
      <c r="W54">
        <f ca="1">_xll.BDH($E$20&amp;F$5,"Last Trade",$U54,$U54)</f>
        <v>-0.02</v>
      </c>
      <c r="X54">
        <f ca="1">_xll.BDH($E$20&amp;G$5,"Last Trade",$U54,$U54)</f>
        <v>18.13</v>
      </c>
      <c r="Y54">
        <f ca="1">_xll.BDH($E$20&amp;H$5,"Last Trade",$U54,$U54)</f>
        <v>1.6800000000000002</v>
      </c>
      <c r="Z54">
        <f ca="1">_xll.BDH($E$20&amp;I$5,"Last Trade",$U54,$U54)</f>
        <v>3.3</v>
      </c>
      <c r="AA54">
        <f ca="1">_xll.BDH($E$20&amp;J$5,"Last Trade",$U54,$U54)</f>
        <v>18.13</v>
      </c>
      <c r="AD54" s="1">
        <f t="shared" ca="1" si="6"/>
        <v>43035</v>
      </c>
      <c r="AE54">
        <f ca="1">_xll.BDH($E$20&amp;E$10,"Last Trade",$AD54,$AD54)</f>
        <v>1.42</v>
      </c>
      <c r="AF54">
        <f ca="1">_xll.BDH($E$20&amp;F$10,"Last Trade",$AD54,$AD54)</f>
        <v>0.53</v>
      </c>
      <c r="AG54">
        <f ca="1">_xll.BDH($E$20&amp;G$10,"Last Trade",$AD54,$AD54)</f>
        <v>17.57</v>
      </c>
      <c r="AH54">
        <f ca="1">_xll.BDH($E$20&amp;H$10,"Last Trade",$AD54,$AD54)</f>
        <v>0.92</v>
      </c>
      <c r="AI54">
        <f ca="1">_xll.BDH($E$20&amp;I$10,"Last Trade",$AD54,$AD54)</f>
        <v>1.81</v>
      </c>
      <c r="AJ54">
        <f ca="1">_xll.BDH($E$20&amp;J$10,"Last Trade",$AD54,$AD54)</f>
        <v>17.63</v>
      </c>
    </row>
    <row r="55" spans="4:36">
      <c r="D55" s="1">
        <f ca="1">_xll.feSubtractPeriod(D54,"1b","P","LME")</f>
        <v>43034</v>
      </c>
      <c r="E55">
        <f ca="1">_xll.BDH($E$20&amp;E$3,"Last Trade",$D55,$D55)</f>
        <v>0.21</v>
      </c>
      <c r="F55">
        <f ca="1">_xll.BDH($E$20&amp;F$3,"Last Trade",$D55,$D55)</f>
        <v>-0.33</v>
      </c>
      <c r="G55">
        <f ca="1">_xll.BDH($E$20&amp;G$3,"Last Trade",$D55,$D55)</f>
        <v>18.079999999999998</v>
      </c>
      <c r="H55">
        <f ca="1">_xll.BDH($E$20&amp;H$3,"Last Trade",$D55,$D55)</f>
        <v>1.79</v>
      </c>
      <c r="I55">
        <f ca="1">_xll.BDH($E$20&amp;I$3,"Last Trade",$D55,$D55)</f>
        <v>3.62</v>
      </c>
      <c r="J55">
        <f ca="1">_xll.BDH($E$20&amp;J$3,"Last Trade",$D55,$D55)</f>
        <v>18.059999999999999</v>
      </c>
      <c r="L55" s="1">
        <f t="shared" ca="1" si="4"/>
        <v>43034</v>
      </c>
      <c r="M55">
        <f ca="1">_xll.BDH($E$20&amp;E$4,"Last Trade",$L55,$L55)</f>
        <v>0.42</v>
      </c>
      <c r="N55">
        <f ca="1">_xll.BDH($E$20&amp;F$4,"Last Trade",$L55,$L55)</f>
        <v>-0.22</v>
      </c>
      <c r="O55">
        <f ca="1">_xll.BDH($E$20&amp;G$4,"Last Trade",$L55,$L55)</f>
        <v>18.04</v>
      </c>
      <c r="P55">
        <f ca="1">_xll.BDH($E$20&amp;H$4,"Last Trade",$L55,$L55)</f>
        <v>1.78</v>
      </c>
      <c r="Q55">
        <f ca="1">_xll.BDH($E$20&amp;I$4,"Last Trade",$L55,$L55)</f>
        <v>3.54</v>
      </c>
      <c r="R55">
        <f ca="1">_xll.BDH($E$20&amp;J$4,"Last Trade",$L55,$L55)</f>
        <v>18.02</v>
      </c>
      <c r="U55" s="1">
        <f t="shared" ca="1" si="5"/>
        <v>43034</v>
      </c>
      <c r="V55">
        <f ca="1">_xll.BDH($E$20&amp;E$5,"Last Trade",$U55,$U55)</f>
        <v>0.6</v>
      </c>
      <c r="W55">
        <f ca="1">_xll.BDH($E$20&amp;F$5,"Last Trade",$U55,$U55)</f>
        <v>-0.05</v>
      </c>
      <c r="X55">
        <f ca="1">_xll.BDH($E$20&amp;G$5,"Last Trade",$U55,$U55)</f>
        <v>17.96</v>
      </c>
      <c r="Y55">
        <f ca="1">_xll.BDH($E$20&amp;H$5,"Last Trade",$U55,$U55)</f>
        <v>1.72</v>
      </c>
      <c r="Z55">
        <f ca="1">_xll.BDH($E$20&amp;I$5,"Last Trade",$U55,$U55)</f>
        <v>3.4</v>
      </c>
      <c r="AA55">
        <f ca="1">_xll.BDH($E$20&amp;J$5,"Last Trade",$U55,$U55)</f>
        <v>17.96</v>
      </c>
      <c r="AD55" s="1">
        <f t="shared" ca="1" si="6"/>
        <v>43034</v>
      </c>
      <c r="AE55">
        <f ca="1">_xll.BDH($E$20&amp;E$10,"Last Trade",$AD55,$AD55)</f>
        <v>1.43</v>
      </c>
      <c r="AF55">
        <f ca="1">_xll.BDH($E$20&amp;F$10,"Last Trade",$AD55,$AD55)</f>
        <v>0.54</v>
      </c>
      <c r="AG55">
        <f ca="1">_xll.BDH($E$20&amp;G$10,"Last Trade",$AD55,$AD55)</f>
        <v>17.41</v>
      </c>
      <c r="AH55">
        <f ca="1">_xll.BDH($E$20&amp;H$10,"Last Trade",$AD55,$AD55)</f>
        <v>0.91</v>
      </c>
      <c r="AI55">
        <f ca="1">_xll.BDH($E$20&amp;I$10,"Last Trade",$AD55,$AD55)</f>
        <v>1.81</v>
      </c>
      <c r="AJ55">
        <f ca="1">_xll.BDH($E$20&amp;J$10,"Last Trade",$AD55,$AD55)</f>
        <v>17.47</v>
      </c>
    </row>
    <row r="56" spans="4:36">
      <c r="D56" s="1">
        <f ca="1">_xll.feSubtractPeriod(D55,"1b","P","LME")</f>
        <v>43033</v>
      </c>
      <c r="E56">
        <f ca="1">_xll.BDH($E$20&amp;E$3,"Last Trade",$D56,$D56)</f>
        <v>0.37</v>
      </c>
      <c r="F56">
        <f ca="1">_xll.BDH($E$20&amp;F$3,"Last Trade",$D56,$D56)</f>
        <v>-0.24</v>
      </c>
      <c r="G56">
        <f ca="1">_xll.BDH($E$20&amp;G$3,"Last Trade",$D56,$D56)</f>
        <v>17.670000000000002</v>
      </c>
      <c r="H56">
        <f ca="1">_xll.BDH($E$20&amp;H$3,"Last Trade",$D56,$D56)</f>
        <v>1.73</v>
      </c>
      <c r="I56">
        <f ca="1">_xll.BDH($E$20&amp;I$3,"Last Trade",$D56,$D56)</f>
        <v>3.34</v>
      </c>
      <c r="J56">
        <f ca="1">_xll.BDH($E$20&amp;J$3,"Last Trade",$D56,$D56)</f>
        <v>17.649999999999999</v>
      </c>
      <c r="L56" s="1">
        <f t="shared" ca="1" si="4"/>
        <v>43033</v>
      </c>
      <c r="M56">
        <f ca="1">_xll.BDH($E$20&amp;E$4,"Last Trade",$L56,$L56)</f>
        <v>0.61</v>
      </c>
      <c r="N56">
        <f ca="1">_xll.BDH($E$20&amp;F$4,"Last Trade",$L56,$L56)</f>
        <v>-0.16</v>
      </c>
      <c r="O56">
        <f ca="1">_xll.BDH($E$20&amp;G$4,"Last Trade",$L56,$L56)</f>
        <v>17.88</v>
      </c>
      <c r="P56">
        <f ca="1">_xll.BDH($E$20&amp;H$4,"Last Trade",$L56,$L56)</f>
        <v>1.7</v>
      </c>
      <c r="Q56">
        <f ca="1">_xll.BDH($E$20&amp;I$4,"Last Trade",$L56,$L56)</f>
        <v>3.3</v>
      </c>
      <c r="R56">
        <f ca="1">_xll.BDH($E$20&amp;J$4,"Last Trade",$L56,$L56)</f>
        <v>17.87</v>
      </c>
      <c r="U56" s="1">
        <f t="shared" ca="1" si="5"/>
        <v>43033</v>
      </c>
      <c r="V56">
        <f ca="1">_xll.BDH($E$20&amp;E$5,"Last Trade",$U56,$U56)</f>
        <v>0.69</v>
      </c>
      <c r="W56">
        <f ca="1">_xll.BDH($E$20&amp;F$5,"Last Trade",$U56,$U56)</f>
        <v>0.02</v>
      </c>
      <c r="X56">
        <f ca="1">_xll.BDH($E$20&amp;G$5,"Last Trade",$U56,$U56)</f>
        <v>17.809999999999999</v>
      </c>
      <c r="Y56">
        <f ca="1">_xll.BDH($E$20&amp;H$5,"Last Trade",$U56,$U56)</f>
        <v>1.6099999999999999</v>
      </c>
      <c r="Z56">
        <f ca="1">_xll.BDH($E$20&amp;I$5,"Last Trade",$U56,$U56)</f>
        <v>3.08</v>
      </c>
      <c r="AA56">
        <f ca="1">_xll.BDH($E$20&amp;J$5,"Last Trade",$U56,$U56)</f>
        <v>17.809999999999999</v>
      </c>
      <c r="AD56" s="1">
        <f t="shared" ca="1" si="6"/>
        <v>43033</v>
      </c>
      <c r="AE56">
        <f ca="1">_xll.BDH($E$20&amp;E$10,"Last Trade",$AD56,$AD56)</f>
        <v>1.44</v>
      </c>
      <c r="AF56">
        <f ca="1">_xll.BDH($E$20&amp;F$10,"Last Trade",$AD56,$AD56)</f>
        <v>0.54</v>
      </c>
      <c r="AG56">
        <f ca="1">_xll.BDH($E$20&amp;G$10,"Last Trade",$AD56,$AD56)</f>
        <v>17.309999999999999</v>
      </c>
      <c r="AH56">
        <f ca="1">_xll.BDH($E$20&amp;H$10,"Last Trade",$AD56,$AD56)</f>
        <v>0.86</v>
      </c>
      <c r="AI56">
        <f ca="1">_xll.BDH($E$20&amp;I$10,"Last Trade",$AD56,$AD56)</f>
        <v>1.62</v>
      </c>
      <c r="AJ56">
        <f ca="1">_xll.BDH($E$20&amp;J$10,"Last Trade",$AD56,$AD56)</f>
        <v>17.37</v>
      </c>
    </row>
    <row r="57" spans="4:36">
      <c r="D57" s="1">
        <f ca="1">_xll.feSubtractPeriod(D56,"1b","P","LME")</f>
        <v>43032</v>
      </c>
      <c r="E57">
        <f ca="1">_xll.BDH($E$20&amp;E$3,"Last Trade",$D57,$D57)</f>
        <v>0.43</v>
      </c>
      <c r="F57">
        <f ca="1">_xll.BDH($E$20&amp;F$3,"Last Trade",$D57,$D57)</f>
        <v>-0.3</v>
      </c>
      <c r="G57">
        <f ca="1">_xll.BDH($E$20&amp;G$3,"Last Trade",$D57,$D57)</f>
        <v>17.71</v>
      </c>
      <c r="H57">
        <f ca="1">_xll.BDH($E$20&amp;H$3,"Last Trade",$D57,$D57)</f>
        <v>1.6600000000000001</v>
      </c>
      <c r="I57">
        <f ca="1">_xll.BDH($E$20&amp;I$3,"Last Trade",$D57,$D57)</f>
        <v>3.03</v>
      </c>
      <c r="J57">
        <f ca="1">_xll.BDH($E$20&amp;J$3,"Last Trade",$D57,$D57)</f>
        <v>17.690000000000001</v>
      </c>
      <c r="L57" s="1">
        <f t="shared" ca="1" si="4"/>
        <v>43032</v>
      </c>
      <c r="M57">
        <f ca="1">_xll.BDH($E$20&amp;E$4,"Last Trade",$L57,$L57)</f>
        <v>0.89</v>
      </c>
      <c r="N57">
        <f ca="1">_xll.BDH($E$20&amp;F$4,"Last Trade",$L57,$L57)</f>
        <v>0.12</v>
      </c>
      <c r="O57">
        <f ca="1">_xll.BDH($E$20&amp;G$4,"Last Trade",$L57,$L57)</f>
        <v>17.84</v>
      </c>
      <c r="P57">
        <f ca="1">_xll.BDH($E$20&amp;H$4,"Last Trade",$L57,$L57)</f>
        <v>1.35</v>
      </c>
      <c r="Q57">
        <f ca="1">_xll.BDH($E$20&amp;I$4,"Last Trade",$L57,$L57)</f>
        <v>2.71</v>
      </c>
      <c r="R57">
        <f ca="1">_xll.BDH($E$20&amp;J$4,"Last Trade",$L57,$L57)</f>
        <v>17.850000000000001</v>
      </c>
      <c r="U57" s="1">
        <f t="shared" ca="1" si="5"/>
        <v>43032</v>
      </c>
      <c r="V57">
        <f ca="1">_xll.BDH($E$20&amp;E$5,"Last Trade",$U57,$U57)</f>
        <v>1.1100000000000001</v>
      </c>
      <c r="W57">
        <f ca="1">_xll.BDH($E$20&amp;F$5,"Last Trade",$U57,$U57)</f>
        <v>0.25</v>
      </c>
      <c r="X57">
        <f ca="1">_xll.BDH($E$20&amp;G$5,"Last Trade",$U57,$U57)</f>
        <v>17.75</v>
      </c>
      <c r="Y57">
        <f ca="1">_xll.BDH($E$20&amp;H$5,"Last Trade",$U57,$U57)</f>
        <v>1.28</v>
      </c>
      <c r="Z57">
        <f ca="1">_xll.BDH($E$20&amp;I$5,"Last Trade",$U57,$U57)</f>
        <v>2.5499999999999998</v>
      </c>
      <c r="AA57">
        <f ca="1">_xll.BDH($E$20&amp;J$5,"Last Trade",$U57,$U57)</f>
        <v>17.77</v>
      </c>
      <c r="AD57" s="1">
        <f t="shared" ca="1" si="6"/>
        <v>43032</v>
      </c>
      <c r="AE57">
        <f ca="1">_xll.BDH($E$20&amp;E$10,"Last Trade",$AD57,$AD57)</f>
        <v>1.37</v>
      </c>
      <c r="AF57">
        <f ca="1">_xll.BDH($E$20&amp;F$10,"Last Trade",$AD57,$AD57)</f>
        <v>0.51</v>
      </c>
      <c r="AG57">
        <f ca="1">_xll.BDH($E$20&amp;G$10,"Last Trade",$AD57,$AD57)</f>
        <v>17.260000000000002</v>
      </c>
      <c r="AH57">
        <f ca="1">_xll.BDH($E$20&amp;H$10,"Last Trade",$AD57,$AD57)</f>
        <v>0.8</v>
      </c>
      <c r="AI57">
        <f ca="1">_xll.BDH($E$20&amp;I$10,"Last Trade",$AD57,$AD57)</f>
        <v>1.44</v>
      </c>
      <c r="AJ57">
        <f ca="1">_xll.BDH($E$20&amp;J$10,"Last Trade",$AD57,$AD57)</f>
        <v>17.32</v>
      </c>
    </row>
    <row r="58" spans="4:36">
      <c r="D58" s="1">
        <f ca="1">_xll.feSubtractPeriod(D57,"1b","P","LME")</f>
        <v>43031</v>
      </c>
      <c r="E58">
        <f ca="1">_xll.BDH($E$20&amp;E$3,"Last Trade",$D58,$D58)</f>
        <v>0.66</v>
      </c>
      <c r="F58">
        <f ca="1">_xll.BDH($E$20&amp;F$3,"Last Trade",$D58,$D58)</f>
        <v>0.06</v>
      </c>
      <c r="G58">
        <f ca="1">_xll.BDH($E$20&amp;G$3,"Last Trade",$D58,$D58)</f>
        <v>17.739999999999998</v>
      </c>
      <c r="H58">
        <f ca="1">_xll.BDH($E$20&amp;H$3,"Last Trade",$D58,$D58)</f>
        <v>1.54</v>
      </c>
      <c r="I58">
        <f ca="1">_xll.BDH($E$20&amp;I$3,"Last Trade",$D58,$D58)</f>
        <v>2.84</v>
      </c>
      <c r="J58">
        <f ca="1">_xll.BDH($E$20&amp;J$3,"Last Trade",$D58,$D58)</f>
        <v>17.739999999999998</v>
      </c>
      <c r="L58" s="1">
        <f t="shared" ca="1" si="4"/>
        <v>43031</v>
      </c>
      <c r="M58">
        <f ca="1">_xll.BDH($E$20&amp;E$4,"Last Trade",$L58,$L58)</f>
        <v>0.9</v>
      </c>
      <c r="N58">
        <f ca="1">_xll.BDH($E$20&amp;F$4,"Last Trade",$L58,$L58)</f>
        <v>0.18</v>
      </c>
      <c r="O58">
        <f ca="1">_xll.BDH($E$20&amp;G$4,"Last Trade",$L58,$L58)</f>
        <v>17.850000000000001</v>
      </c>
      <c r="P58">
        <f ca="1">_xll.BDH($E$20&amp;H$4,"Last Trade",$L58,$L58)</f>
        <v>1.28</v>
      </c>
      <c r="Q58">
        <f ca="1">_xll.BDH($E$20&amp;I$4,"Last Trade",$L58,$L58)</f>
        <v>2.58</v>
      </c>
      <c r="R58">
        <f ca="1">_xll.BDH($E$20&amp;J$4,"Last Trade",$L58,$L58)</f>
        <v>17.86</v>
      </c>
      <c r="U58" s="1">
        <f t="shared" ca="1" si="5"/>
        <v>43031</v>
      </c>
      <c r="V58">
        <f ca="1">_xll.BDH($E$20&amp;E$5,"Last Trade",$U58,$U58)</f>
        <v>1.1200000000000001</v>
      </c>
      <c r="W58">
        <f ca="1">_xll.BDH($E$20&amp;F$5,"Last Trade",$U58,$U58)</f>
        <v>0.28999999999999998</v>
      </c>
      <c r="X58">
        <f ca="1">_xll.BDH($E$20&amp;G$5,"Last Trade",$U58,$U58)</f>
        <v>17.760000000000002</v>
      </c>
      <c r="Y58">
        <f ca="1">_xll.BDH($E$20&amp;H$5,"Last Trade",$U58,$U58)</f>
        <v>1.1299999999999999</v>
      </c>
      <c r="Z58">
        <f ca="1">_xll.BDH($E$20&amp;I$5,"Last Trade",$U58,$U58)</f>
        <v>2.4900000000000002</v>
      </c>
      <c r="AA58">
        <f ca="1">_xll.BDH($E$20&amp;J$5,"Last Trade",$U58,$U58)</f>
        <v>17.78</v>
      </c>
      <c r="AD58" s="1">
        <f t="shared" ca="1" si="6"/>
        <v>43031</v>
      </c>
      <c r="AE58">
        <f ca="1">_xll.BDH($E$20&amp;E$10,"Last Trade",$AD58,$AD58)</f>
        <v>1.42</v>
      </c>
      <c r="AF58">
        <f ca="1">_xll.BDH($E$20&amp;F$10,"Last Trade",$AD58,$AD58)</f>
        <v>0.54</v>
      </c>
      <c r="AG58">
        <f ca="1">_xll.BDH($E$20&amp;G$10,"Last Trade",$AD58,$AD58)</f>
        <v>17.260000000000002</v>
      </c>
      <c r="AH58">
        <f ca="1">_xll.BDH($E$20&amp;H$10,"Last Trade",$AD58,$AD58)</f>
        <v>0.76</v>
      </c>
      <c r="AI58">
        <f ca="1">_xll.BDH($E$20&amp;I$10,"Last Trade",$AD58,$AD58)</f>
        <v>1.3900000000000001</v>
      </c>
      <c r="AJ58">
        <f ca="1">_xll.BDH($E$20&amp;J$10,"Last Trade",$AD58,$AD58)</f>
        <v>17.32</v>
      </c>
    </row>
    <row r="59" spans="4:36">
      <c r="D59" s="1">
        <f ca="1">_xll.feSubtractPeriod(D58,"1b","P","LME")</f>
        <v>43028</v>
      </c>
      <c r="E59">
        <f ca="1">_xll.BDH($E$20&amp;E$3,"Last Trade",$D59,$D59)</f>
        <v>0.64</v>
      </c>
      <c r="F59">
        <f ca="1">_xll.BDH($E$20&amp;F$3,"Last Trade",$D59,$D59)</f>
        <v>0.04</v>
      </c>
      <c r="G59">
        <f ca="1">_xll.BDH($E$20&amp;G$3,"Last Trade",$D59,$D59)</f>
        <v>17.71</v>
      </c>
      <c r="H59">
        <f ca="1">_xll.BDH($E$20&amp;H$3,"Last Trade",$D59,$D59)</f>
        <v>1.53</v>
      </c>
      <c r="I59">
        <f ca="1">_xll.BDH($E$20&amp;I$3,"Last Trade",$D59,$D59)</f>
        <v>2.87</v>
      </c>
      <c r="J59">
        <f ca="1">_xll.BDH($E$20&amp;J$3,"Last Trade",$D59,$D59)</f>
        <v>17.71</v>
      </c>
      <c r="L59" s="1">
        <f t="shared" ca="1" si="4"/>
        <v>43028</v>
      </c>
      <c r="M59">
        <f ca="1">_xll.BDH($E$20&amp;E$4,"Last Trade",$L59,$L59)</f>
        <v>0.83</v>
      </c>
      <c r="N59">
        <f ca="1">_xll.BDH($E$20&amp;F$4,"Last Trade",$L59,$L59)</f>
        <v>0.16</v>
      </c>
      <c r="O59">
        <f ca="1">_xll.BDH($E$20&amp;G$4,"Last Trade",$L59,$L59)</f>
        <v>17.91</v>
      </c>
      <c r="P59">
        <f ca="1">_xll.BDH($E$20&amp;H$4,"Last Trade",$L59,$L59)</f>
        <v>1.28</v>
      </c>
      <c r="Q59">
        <f ca="1">_xll.BDH($E$20&amp;I$4,"Last Trade",$L59,$L59)</f>
        <v>2.65</v>
      </c>
      <c r="R59">
        <f ca="1">_xll.BDH($E$20&amp;J$4,"Last Trade",$L59,$L59)</f>
        <v>17.920000000000002</v>
      </c>
      <c r="U59" s="1">
        <f t="shared" ca="1" si="5"/>
        <v>43028</v>
      </c>
      <c r="V59">
        <f ca="1">_xll.BDH($E$20&amp;E$5,"Last Trade",$U59,$U59)</f>
        <v>1.0900000000000001</v>
      </c>
      <c r="W59">
        <f ca="1">_xll.BDH($E$20&amp;F$5,"Last Trade",$U59,$U59)</f>
        <v>0.28000000000000003</v>
      </c>
      <c r="X59">
        <f ca="1">_xll.BDH($E$20&amp;G$5,"Last Trade",$U59,$U59)</f>
        <v>17.82</v>
      </c>
      <c r="Y59">
        <f ca="1">_xll.BDH($E$20&amp;H$5,"Last Trade",$U59,$U59)</f>
        <v>1.1400000000000001</v>
      </c>
      <c r="Z59">
        <f ca="1">_xll.BDH($E$20&amp;I$5,"Last Trade",$U59,$U59)</f>
        <v>2.31</v>
      </c>
      <c r="AA59">
        <f ca="1">_xll.BDH($E$20&amp;J$5,"Last Trade",$U59,$U59)</f>
        <v>17.84</v>
      </c>
      <c r="AD59" s="1">
        <f t="shared" ca="1" si="6"/>
        <v>43028</v>
      </c>
      <c r="AE59">
        <f ca="1">_xll.BDH($E$20&amp;E$10,"Last Trade",$AD59,$AD59)</f>
        <v>1.51</v>
      </c>
      <c r="AF59">
        <f ca="1">_xll.BDH($E$20&amp;F$10,"Last Trade",$AD59,$AD59)</f>
        <v>0.57999999999999996</v>
      </c>
      <c r="AG59">
        <f ca="1">_xll.BDH($E$20&amp;G$10,"Last Trade",$AD59,$AD59)</f>
        <v>17.32</v>
      </c>
      <c r="AH59">
        <f ca="1">_xll.BDH($E$20&amp;H$10,"Last Trade",$AD59,$AD59)</f>
        <v>0.78</v>
      </c>
      <c r="AI59">
        <f ca="1">_xll.BDH($E$20&amp;I$10,"Last Trade",$AD59,$AD59)</f>
        <v>1.45</v>
      </c>
      <c r="AJ59">
        <f ca="1">_xll.BDH($E$20&amp;J$10,"Last Trade",$AD59,$AD59)</f>
        <v>17.39</v>
      </c>
    </row>
    <row r="60" spans="4:36">
      <c r="D60" s="1">
        <f ca="1">_xll.feSubtractPeriod(D59,"1b","P","LME")</f>
        <v>43027</v>
      </c>
      <c r="E60">
        <f ca="1">_xll.BDH($E$20&amp;E$3,"Last Trade",$D60,$D60)</f>
        <v>0.65</v>
      </c>
      <c r="F60">
        <f ca="1">_xll.BDH($E$20&amp;F$3,"Last Trade",$D60,$D60)</f>
        <v>0.04</v>
      </c>
      <c r="G60">
        <f ca="1">_xll.BDH($E$20&amp;G$3,"Last Trade",$D60,$D60)</f>
        <v>17.72</v>
      </c>
      <c r="H60">
        <f ca="1">_xll.BDH($E$20&amp;H$3,"Last Trade",$D60,$D60)</f>
        <v>1.52</v>
      </c>
      <c r="I60">
        <f ca="1">_xll.BDH($E$20&amp;I$3,"Last Trade",$D60,$D60)</f>
        <v>2.87</v>
      </c>
      <c r="J60">
        <f ca="1">_xll.BDH($E$20&amp;J$3,"Last Trade",$D60,$D60)</f>
        <v>17.72</v>
      </c>
      <c r="L60" s="1">
        <f t="shared" ca="1" si="4"/>
        <v>43027</v>
      </c>
      <c r="M60">
        <f ca="1">_xll.BDH($E$20&amp;E$4,"Last Trade",$L60,$L60)</f>
        <v>0.84</v>
      </c>
      <c r="N60">
        <f ca="1">_xll.BDH($E$20&amp;F$4,"Last Trade",$L60,$L60)</f>
        <v>0.16</v>
      </c>
      <c r="O60">
        <f ca="1">_xll.BDH($E$20&amp;G$4,"Last Trade",$L60,$L60)</f>
        <v>17.91</v>
      </c>
      <c r="P60">
        <f ca="1">_xll.BDH($E$20&amp;H$4,"Last Trade",$L60,$L60)</f>
        <v>1.28</v>
      </c>
      <c r="Q60">
        <f ca="1">_xll.BDH($E$20&amp;I$4,"Last Trade",$L60,$L60)</f>
        <v>2.64</v>
      </c>
      <c r="R60">
        <f ca="1">_xll.BDH($E$20&amp;J$4,"Last Trade",$L60,$L60)</f>
        <v>17.920000000000002</v>
      </c>
      <c r="U60" s="1">
        <f t="shared" ca="1" si="5"/>
        <v>43027</v>
      </c>
      <c r="V60">
        <f ca="1">_xll.BDH($E$20&amp;E$5,"Last Trade",$U60,$U60)</f>
        <v>1.0900000000000001</v>
      </c>
      <c r="W60">
        <f ca="1">_xll.BDH($E$20&amp;F$5,"Last Trade",$U60,$U60)</f>
        <v>0.28000000000000003</v>
      </c>
      <c r="X60">
        <f ca="1">_xll.BDH($E$20&amp;G$5,"Last Trade",$U60,$U60)</f>
        <v>17.82</v>
      </c>
      <c r="Y60">
        <f ca="1">_xll.BDH($E$20&amp;H$5,"Last Trade",$U60,$U60)</f>
        <v>1.1400000000000001</v>
      </c>
      <c r="Z60">
        <f ca="1">_xll.BDH($E$20&amp;I$5,"Last Trade",$U60,$U60)</f>
        <v>2.31</v>
      </c>
      <c r="AA60">
        <f ca="1">_xll.BDH($E$20&amp;J$5,"Last Trade",$U60,$U60)</f>
        <v>17.84</v>
      </c>
      <c r="AD60" s="1">
        <f t="shared" ca="1" si="6"/>
        <v>43027</v>
      </c>
      <c r="AE60">
        <f ca="1">_xll.BDH($E$20&amp;E$10,"Last Trade",$AD60,$AD60)</f>
        <v>1.51</v>
      </c>
      <c r="AF60">
        <f ca="1">_xll.BDH($E$20&amp;F$10,"Last Trade",$AD60,$AD60)</f>
        <v>0.57999999999999996</v>
      </c>
      <c r="AG60">
        <f ca="1">_xll.BDH($E$20&amp;G$10,"Last Trade",$AD60,$AD60)</f>
        <v>17.32</v>
      </c>
      <c r="AH60">
        <f ca="1">_xll.BDH($E$20&amp;H$10,"Last Trade",$AD60,$AD60)</f>
        <v>0.78</v>
      </c>
      <c r="AI60">
        <f ca="1">_xll.BDH($E$20&amp;I$10,"Last Trade",$AD60,$AD60)</f>
        <v>1.46</v>
      </c>
      <c r="AJ60">
        <f ca="1">_xll.BDH($E$20&amp;J$10,"Last Trade",$AD60,$AD60)</f>
        <v>17.39</v>
      </c>
    </row>
    <row r="61" spans="4:36">
      <c r="D61" s="1">
        <f ca="1">_xll.feSubtractPeriod(D60,"1b","P","LME")</f>
        <v>43026</v>
      </c>
      <c r="E61">
        <f ca="1">_xll.BDH($E$20&amp;E$3,"Last Trade",$D61,$D61)</f>
        <v>0.64</v>
      </c>
      <c r="F61">
        <f ca="1">_xll.BDH($E$20&amp;F$3,"Last Trade",$D61,$D61)</f>
        <v>0.03</v>
      </c>
      <c r="G61">
        <f ca="1">_xll.BDH($E$20&amp;G$3,"Last Trade",$D61,$D61)</f>
        <v>17.72</v>
      </c>
      <c r="H61">
        <f ca="1">_xll.BDH($E$20&amp;H$3,"Last Trade",$D61,$D61)</f>
        <v>1.52</v>
      </c>
      <c r="I61">
        <f ca="1">_xll.BDH($E$20&amp;I$3,"Last Trade",$D61,$D61)</f>
        <v>2.85</v>
      </c>
      <c r="J61">
        <f ca="1">_xll.BDH($E$20&amp;J$3,"Last Trade",$D61,$D61)</f>
        <v>17.72</v>
      </c>
      <c r="L61" s="1">
        <f t="shared" ca="1" si="4"/>
        <v>43026</v>
      </c>
      <c r="M61">
        <f ca="1">_xll.BDH($E$20&amp;E$4,"Last Trade",$L61,$L61)</f>
        <v>0.83</v>
      </c>
      <c r="N61">
        <f ca="1">_xll.BDH($E$20&amp;F$4,"Last Trade",$L61,$L61)</f>
        <v>0.16</v>
      </c>
      <c r="O61">
        <f ca="1">_xll.BDH($E$20&amp;G$4,"Last Trade",$L61,$L61)</f>
        <v>17.899999999999999</v>
      </c>
      <c r="P61">
        <f ca="1">_xll.BDH($E$20&amp;H$4,"Last Trade",$L61,$L61)</f>
        <v>1.29</v>
      </c>
      <c r="Q61">
        <f ca="1">_xll.BDH($E$20&amp;I$4,"Last Trade",$L61,$L61)</f>
        <v>2.62</v>
      </c>
      <c r="R61">
        <f ca="1">_xll.BDH($E$20&amp;J$4,"Last Trade",$L61,$L61)</f>
        <v>17.91</v>
      </c>
      <c r="U61" s="1">
        <f t="shared" ca="1" si="5"/>
        <v>43026</v>
      </c>
      <c r="V61">
        <f ca="1">_xll.BDH($E$20&amp;E$5,"Last Trade",$U61,$U61)</f>
        <v>1.0900000000000001</v>
      </c>
      <c r="W61">
        <f ca="1">_xll.BDH($E$20&amp;F$5,"Last Trade",$U61,$U61)</f>
        <v>0.28000000000000003</v>
      </c>
      <c r="X61">
        <f ca="1">_xll.BDH($E$20&amp;G$5,"Last Trade",$U61,$U61)</f>
        <v>17.82</v>
      </c>
      <c r="Y61">
        <f ca="1">_xll.BDH($E$20&amp;H$5,"Last Trade",$U61,$U61)</f>
        <v>1.1499999999999999</v>
      </c>
      <c r="Z61">
        <f ca="1">_xll.BDH($E$20&amp;I$5,"Last Trade",$U61,$U61)</f>
        <v>2.3199999999999998</v>
      </c>
      <c r="AA61">
        <f ca="1">_xll.BDH($E$20&amp;J$5,"Last Trade",$U61,$U61)</f>
        <v>17.850000000000001</v>
      </c>
      <c r="AD61" s="1">
        <f t="shared" ca="1" si="6"/>
        <v>43026</v>
      </c>
      <c r="AE61">
        <f ca="1">_xll.BDH($E$20&amp;E$10,"Last Trade",$AD61,$AD61)</f>
        <v>1.51</v>
      </c>
      <c r="AF61">
        <f ca="1">_xll.BDH($E$20&amp;F$10,"Last Trade",$AD61,$AD61)</f>
        <v>0.59</v>
      </c>
      <c r="AG61">
        <f ca="1">_xll.BDH($E$20&amp;G$10,"Last Trade",$AD61,$AD61)</f>
        <v>17.32</v>
      </c>
      <c r="AH61">
        <f ca="1">_xll.BDH($E$20&amp;H$10,"Last Trade",$AD61,$AD61)</f>
        <v>0.78</v>
      </c>
      <c r="AI61">
        <f ca="1">_xll.BDH($E$20&amp;I$10,"Last Trade",$AD61,$AD61)</f>
        <v>1.48</v>
      </c>
      <c r="AJ61">
        <f ca="1">_xll.BDH($E$20&amp;J$10,"Last Trade",$AD61,$AD61)</f>
        <v>17.39</v>
      </c>
    </row>
    <row r="62" spans="4:36">
      <c r="D62" s="1">
        <f ca="1">_xll.feSubtractPeriod(D61,"1b","P","LME")</f>
        <v>43025</v>
      </c>
      <c r="E62">
        <f ca="1">_xll.BDH($E$20&amp;E$3,"Last Trade",$D62,$D62)</f>
        <v>0.67</v>
      </c>
      <c r="F62">
        <f ca="1">_xll.BDH($E$20&amp;F$3,"Last Trade",$D62,$D62)</f>
        <v>0.05</v>
      </c>
      <c r="G62">
        <f ca="1">_xll.BDH($E$20&amp;G$3,"Last Trade",$D62,$D62)</f>
        <v>17.760000000000002</v>
      </c>
      <c r="H62">
        <f ca="1">_xll.BDH($E$20&amp;H$3,"Last Trade",$D62,$D62)</f>
        <v>1.5</v>
      </c>
      <c r="I62">
        <f ca="1">_xll.BDH($E$20&amp;I$3,"Last Trade",$D62,$D62)</f>
        <v>2.83</v>
      </c>
      <c r="J62">
        <f ca="1">_xll.BDH($E$20&amp;J$3,"Last Trade",$D62,$D62)</f>
        <v>17.760000000000002</v>
      </c>
      <c r="L62" s="1">
        <f t="shared" ca="1" si="4"/>
        <v>43025</v>
      </c>
      <c r="M62">
        <f ca="1">_xll.BDH($E$20&amp;E$4,"Last Trade",$L62,$L62)</f>
        <v>0.91</v>
      </c>
      <c r="N62">
        <f ca="1">_xll.BDH($E$20&amp;F$4,"Last Trade",$L62,$L62)</f>
        <v>0.17</v>
      </c>
      <c r="O62">
        <f ca="1">_xll.BDH($E$20&amp;G$4,"Last Trade",$L62,$L62)</f>
        <v>17.91</v>
      </c>
      <c r="P62">
        <f ca="1">_xll.BDH($E$20&amp;H$4,"Last Trade",$L62,$L62)</f>
        <v>1.28</v>
      </c>
      <c r="Q62">
        <f ca="1">_xll.BDH($E$20&amp;I$4,"Last Trade",$L62,$L62)</f>
        <v>2.6</v>
      </c>
      <c r="R62">
        <f ca="1">_xll.BDH($E$20&amp;J$4,"Last Trade",$L62,$L62)</f>
        <v>17.920000000000002</v>
      </c>
      <c r="U62" s="1">
        <f t="shared" ca="1" si="5"/>
        <v>43025</v>
      </c>
      <c r="V62">
        <f ca="1">_xll.BDH($E$20&amp;E$5,"Last Trade",$U62,$U62)</f>
        <v>1.1499999999999999</v>
      </c>
      <c r="W62">
        <f ca="1">_xll.BDH($E$20&amp;F$5,"Last Trade",$U62,$U62)</f>
        <v>0.28999999999999998</v>
      </c>
      <c r="X62">
        <f ca="1">_xll.BDH($E$20&amp;G$5,"Last Trade",$U62,$U62)</f>
        <v>17.82</v>
      </c>
      <c r="Y62">
        <f ca="1">_xll.BDH($E$20&amp;H$5,"Last Trade",$U62,$U62)</f>
        <v>1.1400000000000001</v>
      </c>
      <c r="Z62">
        <f ca="1">_xll.BDH($E$20&amp;I$5,"Last Trade",$U62,$U62)</f>
        <v>2.2999999999999998</v>
      </c>
      <c r="AA62">
        <f ca="1">_xll.BDH($E$20&amp;J$5,"Last Trade",$U62,$U62)</f>
        <v>17.84</v>
      </c>
      <c r="AD62" s="1">
        <f t="shared" ca="1" si="6"/>
        <v>43025</v>
      </c>
      <c r="AE62">
        <f ca="1">_xll.BDH($E$20&amp;E$10,"Last Trade",$AD62,$AD62)</f>
        <v>1.51</v>
      </c>
      <c r="AF62">
        <f ca="1">_xll.BDH($E$20&amp;F$10,"Last Trade",$AD62,$AD62)</f>
        <v>0.59</v>
      </c>
      <c r="AG62">
        <f ca="1">_xll.BDH($E$20&amp;G$10,"Last Trade",$AD62,$AD62)</f>
        <v>17.32</v>
      </c>
      <c r="AH62">
        <f ca="1">_xll.BDH($E$20&amp;H$10,"Last Trade",$AD62,$AD62)</f>
        <v>0.78</v>
      </c>
      <c r="AI62">
        <f ca="1">_xll.BDH($E$20&amp;I$10,"Last Trade",$AD62,$AD62)</f>
        <v>1.48</v>
      </c>
      <c r="AJ62">
        <f ca="1">_xll.BDH($E$20&amp;J$10,"Last Trade",$AD62,$AD62)</f>
        <v>17.39</v>
      </c>
    </row>
    <row r="63" spans="4:36">
      <c r="D63" s="1">
        <f ca="1">_xll.feSubtractPeriod(D62,"1b","P","LME")</f>
        <v>43024</v>
      </c>
      <c r="E63">
        <f ca="1">_xll.BDH($E$20&amp;E$3,"Last Trade",$D63,$D63)</f>
        <v>0.64</v>
      </c>
      <c r="F63">
        <f ca="1">_xll.BDH($E$20&amp;F$3,"Last Trade",$D63,$D63)</f>
        <v>0.05</v>
      </c>
      <c r="G63">
        <f ca="1">_xll.BDH($E$20&amp;G$3,"Last Trade",$D63,$D63)</f>
        <v>17.73</v>
      </c>
      <c r="H63">
        <f ca="1">_xll.BDH($E$20&amp;H$3,"Last Trade",$D63,$D63)</f>
        <v>1.44</v>
      </c>
      <c r="I63">
        <f ca="1">_xll.BDH($E$20&amp;I$3,"Last Trade",$D63,$D63)</f>
        <v>2.82</v>
      </c>
      <c r="J63">
        <f ca="1">_xll.BDH($E$20&amp;J$3,"Last Trade",$D63,$D63)</f>
        <v>17.73</v>
      </c>
      <c r="L63" s="1">
        <f t="shared" ca="1" si="4"/>
        <v>43024</v>
      </c>
      <c r="M63">
        <f ca="1">_xll.BDH($E$20&amp;E$4,"Last Trade",$L63,$L63)</f>
        <v>0.91</v>
      </c>
      <c r="N63">
        <f ca="1">_xll.BDH($E$20&amp;F$4,"Last Trade",$L63,$L63)</f>
        <v>0.17</v>
      </c>
      <c r="O63">
        <f ca="1">_xll.BDH($E$20&amp;G$4,"Last Trade",$L63,$L63)</f>
        <v>17.91</v>
      </c>
      <c r="P63">
        <f ca="1">_xll.BDH($E$20&amp;H$4,"Last Trade",$L63,$L63)</f>
        <v>1.28</v>
      </c>
      <c r="Q63">
        <f ca="1">_xll.BDH($E$20&amp;I$4,"Last Trade",$L63,$L63)</f>
        <v>2.6</v>
      </c>
      <c r="R63">
        <f ca="1">_xll.BDH($E$20&amp;J$4,"Last Trade",$L63,$L63)</f>
        <v>17.920000000000002</v>
      </c>
      <c r="U63" s="1">
        <f t="shared" ca="1" si="5"/>
        <v>43024</v>
      </c>
      <c r="V63">
        <f ca="1">_xll.BDH($E$20&amp;E$5,"Last Trade",$U63,$U63)</f>
        <v>1.1499999999999999</v>
      </c>
      <c r="W63">
        <f ca="1">_xll.BDH($E$20&amp;F$5,"Last Trade",$U63,$U63)</f>
        <v>0.28999999999999998</v>
      </c>
      <c r="X63">
        <f ca="1">_xll.BDH($E$20&amp;G$5,"Last Trade",$U63,$U63)</f>
        <v>17.829999999999998</v>
      </c>
      <c r="Y63">
        <f ca="1">_xll.BDH($E$20&amp;H$5,"Last Trade",$U63,$U63)</f>
        <v>1.1400000000000001</v>
      </c>
      <c r="Z63">
        <f ca="1">_xll.BDH($E$20&amp;I$5,"Last Trade",$U63,$U63)</f>
        <v>2.2999999999999998</v>
      </c>
      <c r="AA63">
        <f ca="1">_xll.BDH($E$20&amp;J$5,"Last Trade",$U63,$U63)</f>
        <v>17.850000000000001</v>
      </c>
      <c r="AD63" s="1">
        <f t="shared" ca="1" si="6"/>
        <v>43024</v>
      </c>
      <c r="AE63">
        <f ca="1">_xll.BDH($E$20&amp;E$10,"Last Trade",$AD63,$AD63)</f>
        <v>1.52</v>
      </c>
      <c r="AF63">
        <f ca="1">_xll.BDH($E$20&amp;F$10,"Last Trade",$AD63,$AD63)</f>
        <v>0.59</v>
      </c>
      <c r="AG63">
        <f ca="1">_xll.BDH($E$20&amp;G$10,"Last Trade",$AD63,$AD63)</f>
        <v>17.3</v>
      </c>
      <c r="AH63">
        <f ca="1">_xll.BDH($E$20&amp;H$10,"Last Trade",$AD63,$AD63)</f>
        <v>0.78</v>
      </c>
      <c r="AI63">
        <f ca="1">_xll.BDH($E$20&amp;I$10,"Last Trade",$AD63,$AD63)</f>
        <v>1.47</v>
      </c>
      <c r="AJ63">
        <f ca="1">_xll.BDH($E$20&amp;J$10,"Last Trade",$AD63,$AD63)</f>
        <v>17.37</v>
      </c>
    </row>
    <row r="64" spans="4:36">
      <c r="D64" s="1">
        <f ca="1">_xll.feSubtractPeriod(D63,"1b","P","LME")</f>
        <v>43021</v>
      </c>
      <c r="E64">
        <f ca="1">_xll.BDH($E$20&amp;E$3,"Last Trade",$D64,$D64)</f>
        <v>0.68</v>
      </c>
      <c r="F64">
        <f ca="1">_xll.BDH($E$20&amp;F$3,"Last Trade",$D64,$D64)</f>
        <v>0.06</v>
      </c>
      <c r="G64">
        <f ca="1">_xll.BDH($E$20&amp;G$3,"Last Trade",$D64,$D64)</f>
        <v>17.75</v>
      </c>
      <c r="H64">
        <f ca="1">_xll.BDH($E$20&amp;H$3,"Last Trade",$D64,$D64)</f>
        <v>1.5</v>
      </c>
      <c r="I64">
        <f ca="1">_xll.BDH($E$20&amp;I$3,"Last Trade",$D64,$D64)</f>
        <v>2.81</v>
      </c>
      <c r="J64">
        <f ca="1">_xll.BDH($E$20&amp;J$3,"Last Trade",$D64,$D64)</f>
        <v>17.75</v>
      </c>
      <c r="L64" s="1">
        <f t="shared" ca="1" si="4"/>
        <v>43021</v>
      </c>
      <c r="M64">
        <f ca="1">_xll.BDH($E$20&amp;E$4,"Last Trade",$L64,$L64)</f>
        <v>0.92</v>
      </c>
      <c r="N64">
        <f ca="1">_xll.BDH($E$20&amp;F$4,"Last Trade",$L64,$L64)</f>
        <v>0.19</v>
      </c>
      <c r="O64">
        <f ca="1">_xll.BDH($E$20&amp;G$4,"Last Trade",$L64,$L64)</f>
        <v>17.8</v>
      </c>
      <c r="P64">
        <f ca="1">_xll.BDH($E$20&amp;H$4,"Last Trade",$L64,$L64)</f>
        <v>1.27</v>
      </c>
      <c r="Q64">
        <f ca="1">_xll.BDH($E$20&amp;I$4,"Last Trade",$L64,$L64)</f>
        <v>2.59</v>
      </c>
      <c r="R64">
        <f ca="1">_xll.BDH($E$20&amp;J$4,"Last Trade",$L64,$L64)</f>
        <v>17.809999999999999</v>
      </c>
      <c r="U64" s="1">
        <f t="shared" ca="1" si="5"/>
        <v>43021</v>
      </c>
      <c r="V64">
        <f ca="1">_xll.BDH($E$20&amp;E$5,"Last Trade",$U64,$U64)</f>
        <v>1.1599999999999999</v>
      </c>
      <c r="W64">
        <f ca="1">_xll.BDH($E$20&amp;F$5,"Last Trade",$U64,$U64)</f>
        <v>0.31</v>
      </c>
      <c r="X64">
        <f ca="1">_xll.BDH($E$20&amp;G$5,"Last Trade",$U64,$U64)</f>
        <v>17.739999999999998</v>
      </c>
      <c r="Y64">
        <f ca="1">_xll.BDH($E$20&amp;H$5,"Last Trade",$U64,$U64)</f>
        <v>1.1400000000000001</v>
      </c>
      <c r="Z64">
        <f ca="1">_xll.BDH($E$20&amp;I$5,"Last Trade",$U64,$U64)</f>
        <v>2.29</v>
      </c>
      <c r="AA64">
        <f ca="1">_xll.BDH($E$20&amp;J$5,"Last Trade",$U64,$U64)</f>
        <v>17.77</v>
      </c>
      <c r="AD64" s="1">
        <f t="shared" ca="1" si="6"/>
        <v>43021</v>
      </c>
      <c r="AE64">
        <f ca="1">_xll.BDH($E$20&amp;E$10,"Last Trade",$AD64,$AD64)</f>
        <v>1.52</v>
      </c>
      <c r="AF64">
        <f ca="1">_xll.BDH($E$20&amp;F$10,"Last Trade",$AD64,$AD64)</f>
        <v>0.59</v>
      </c>
      <c r="AG64">
        <f ca="1">_xll.BDH($E$20&amp;G$10,"Last Trade",$AD64,$AD64)</f>
        <v>17.22</v>
      </c>
      <c r="AH64">
        <f ca="1">_xll.BDH($E$20&amp;H$10,"Last Trade",$AD64,$AD64)</f>
        <v>0.77</v>
      </c>
      <c r="AI64">
        <f ca="1">_xll.BDH($E$20&amp;I$10,"Last Trade",$AD64,$AD64)</f>
        <v>1.47</v>
      </c>
      <c r="AJ64">
        <f ca="1">_xll.BDH($E$20&amp;J$10,"Last Trade",$AD64,$AD64)</f>
        <v>17.29</v>
      </c>
    </row>
    <row r="65" spans="4:36">
      <c r="D65" s="1">
        <f ca="1">_xll.feSubtractPeriod(D64,"1b","P","LME")</f>
        <v>43020</v>
      </c>
      <c r="E65">
        <f ca="1">_xll.BDH($E$20&amp;E$3,"Last Trade",$D65,$D65)</f>
        <v>0.71</v>
      </c>
      <c r="F65">
        <f ca="1">_xll.BDH($E$20&amp;F$3,"Last Trade",$D65,$D65)</f>
        <v>7.0000000000000007E-2</v>
      </c>
      <c r="G65">
        <f ca="1">_xll.BDH($E$20&amp;G$3,"Last Trade",$D65,$D65)</f>
        <v>17.7</v>
      </c>
      <c r="H65">
        <f ca="1">_xll.BDH($E$20&amp;H$3,"Last Trade",$D65,$D65)</f>
        <v>1.47</v>
      </c>
      <c r="I65">
        <f ca="1">_xll.BDH($E$20&amp;I$3,"Last Trade",$D65,$D65)</f>
        <v>2.7800000000000002</v>
      </c>
      <c r="J65">
        <f ca="1">_xll.BDH($E$20&amp;J$3,"Last Trade",$D65,$D65)</f>
        <v>17.7</v>
      </c>
      <c r="L65" s="1">
        <f t="shared" ca="1" si="4"/>
        <v>43020</v>
      </c>
      <c r="M65">
        <f ca="1">_xll.BDH($E$20&amp;E$4,"Last Trade",$L65,$L65)</f>
        <v>0.92</v>
      </c>
      <c r="N65">
        <f ca="1">_xll.BDH($E$20&amp;F$4,"Last Trade",$L65,$L65)</f>
        <v>0.19</v>
      </c>
      <c r="O65">
        <f ca="1">_xll.BDH($E$20&amp;G$4,"Last Trade",$L65,$L65)</f>
        <v>17.77</v>
      </c>
      <c r="P65">
        <f ca="1">_xll.BDH($E$20&amp;H$4,"Last Trade",$L65,$L65)</f>
        <v>1.27</v>
      </c>
      <c r="Q65">
        <f ca="1">_xll.BDH($E$20&amp;I$4,"Last Trade",$L65,$L65)</f>
        <v>2.59</v>
      </c>
      <c r="R65">
        <f ca="1">_xll.BDH($E$20&amp;J$4,"Last Trade",$L65,$L65)</f>
        <v>17.79</v>
      </c>
      <c r="U65" s="1">
        <f t="shared" ca="1" si="5"/>
        <v>43020</v>
      </c>
      <c r="V65">
        <f ca="1">_xll.BDH($E$20&amp;E$5,"Last Trade",$U65,$U65)</f>
        <v>1.17</v>
      </c>
      <c r="W65">
        <f ca="1">_xll.BDH($E$20&amp;F$5,"Last Trade",$U65,$U65)</f>
        <v>0.31</v>
      </c>
      <c r="X65">
        <f ca="1">_xll.BDH($E$20&amp;G$5,"Last Trade",$U65,$U65)</f>
        <v>17.71</v>
      </c>
      <c r="Y65">
        <f ca="1">_xll.BDH($E$20&amp;H$5,"Last Trade",$U65,$U65)</f>
        <v>1.1400000000000001</v>
      </c>
      <c r="Z65">
        <f ca="1">_xll.BDH($E$20&amp;I$5,"Last Trade",$U65,$U65)</f>
        <v>2.29</v>
      </c>
      <c r="AA65">
        <f ca="1">_xll.BDH($E$20&amp;J$5,"Last Trade",$U65,$U65)</f>
        <v>17.739999999999998</v>
      </c>
      <c r="AD65" s="1">
        <f t="shared" ca="1" si="6"/>
        <v>43020</v>
      </c>
      <c r="AE65">
        <f ca="1">_xll.BDH($E$20&amp;E$10,"Last Trade",$AD65,$AD65)</f>
        <v>1.52</v>
      </c>
      <c r="AF65">
        <f ca="1">_xll.BDH($E$20&amp;F$10,"Last Trade",$AD65,$AD65)</f>
        <v>0.59</v>
      </c>
      <c r="AG65">
        <f ca="1">_xll.BDH($E$20&amp;G$10,"Last Trade",$AD65,$AD65)</f>
        <v>17.21</v>
      </c>
      <c r="AH65">
        <f ca="1">_xll.BDH($E$20&amp;H$10,"Last Trade",$AD65,$AD65)</f>
        <v>0.77</v>
      </c>
      <c r="AI65">
        <f ca="1">_xll.BDH($E$20&amp;I$10,"Last Trade",$AD65,$AD65)</f>
        <v>1.47</v>
      </c>
      <c r="AJ65">
        <f ca="1">_xll.BDH($E$20&amp;J$10,"Last Trade",$AD65,$AD65)</f>
        <v>17.28</v>
      </c>
    </row>
    <row r="66" spans="4:36">
      <c r="D66" s="1">
        <f ca="1">_xll.feSubtractPeriod(D65,"1b","P","LME")</f>
        <v>43019</v>
      </c>
      <c r="E66">
        <f ca="1">_xll.BDH($E$20&amp;E$3,"Last Trade",$D66,$D66)</f>
        <v>0.78</v>
      </c>
      <c r="F66">
        <f ca="1">_xll.BDH($E$20&amp;F$3,"Last Trade",$D66,$D66)</f>
        <v>0.11</v>
      </c>
      <c r="G66">
        <f ca="1">_xll.BDH($E$20&amp;G$3,"Last Trade",$D66,$D66)</f>
        <v>17.62</v>
      </c>
      <c r="H66">
        <f ca="1">_xll.BDH($E$20&amp;H$3,"Last Trade",$D66,$D66)</f>
        <v>1.47</v>
      </c>
      <c r="I66">
        <f ca="1">_xll.BDH($E$20&amp;I$3,"Last Trade",$D66,$D66)</f>
        <v>2.7800000000000002</v>
      </c>
      <c r="J66">
        <f ca="1">_xll.BDH($E$20&amp;J$3,"Last Trade",$D66,$D66)</f>
        <v>17.63</v>
      </c>
      <c r="L66" s="1">
        <f t="shared" ca="1" si="4"/>
        <v>43019</v>
      </c>
      <c r="M66">
        <f ca="1">_xll.BDH($E$20&amp;E$4,"Last Trade",$L66,$L66)</f>
        <v>0.99</v>
      </c>
      <c r="N66">
        <f ca="1">_xll.BDH($E$20&amp;F$4,"Last Trade",$L66,$L66)</f>
        <v>0.23</v>
      </c>
      <c r="O66">
        <f ca="1">_xll.BDH($E$20&amp;G$4,"Last Trade",$L66,$L66)</f>
        <v>17.760000000000002</v>
      </c>
      <c r="P66">
        <f ca="1">_xll.BDH($E$20&amp;H$4,"Last Trade",$L66,$L66)</f>
        <v>1.29</v>
      </c>
      <c r="Q66">
        <f ca="1">_xll.BDH($E$20&amp;I$4,"Last Trade",$L66,$L66)</f>
        <v>2.64</v>
      </c>
      <c r="R66">
        <f ca="1">_xll.BDH($E$20&amp;J$4,"Last Trade",$L66,$L66)</f>
        <v>17.78</v>
      </c>
      <c r="U66" s="1">
        <f t="shared" ca="1" si="5"/>
        <v>43019</v>
      </c>
      <c r="V66">
        <f ca="1">_xll.BDH($E$20&amp;E$5,"Last Trade",$U66,$U66)</f>
        <v>1.19</v>
      </c>
      <c r="W66">
        <f ca="1">_xll.BDH($E$20&amp;F$5,"Last Trade",$U66,$U66)</f>
        <v>0.34</v>
      </c>
      <c r="X66">
        <f ca="1">_xll.BDH($E$20&amp;G$5,"Last Trade",$U66,$U66)</f>
        <v>17.7</v>
      </c>
      <c r="Y66">
        <f ca="1">_xll.BDH($E$20&amp;H$5,"Last Trade",$U66,$U66)</f>
        <v>1.1499999999999999</v>
      </c>
      <c r="Z66">
        <f ca="1">_xll.BDH($E$20&amp;I$5,"Last Trade",$U66,$U66)</f>
        <v>2.31</v>
      </c>
      <c r="AA66">
        <f ca="1">_xll.BDH($E$20&amp;J$5,"Last Trade",$U66,$U66)</f>
        <v>17.73</v>
      </c>
      <c r="AD66" s="1">
        <f t="shared" ca="1" si="6"/>
        <v>43019</v>
      </c>
      <c r="AE66">
        <f ca="1">_xll.BDH($E$20&amp;E$10,"Last Trade",$AD66,$AD66)</f>
        <v>1.52</v>
      </c>
      <c r="AF66">
        <f ca="1">_xll.BDH($E$20&amp;F$10,"Last Trade",$AD66,$AD66)</f>
        <v>0.57999999999999996</v>
      </c>
      <c r="AG66">
        <f ca="1">_xll.BDH($E$20&amp;G$10,"Last Trade",$AD66,$AD66)</f>
        <v>17.18</v>
      </c>
      <c r="AH66">
        <f ca="1">_xll.BDH($E$20&amp;H$10,"Last Trade",$AD66,$AD66)</f>
        <v>0.77</v>
      </c>
      <c r="AI66">
        <f ca="1">_xll.BDH($E$20&amp;I$10,"Last Trade",$AD66,$AD66)</f>
        <v>1.47</v>
      </c>
      <c r="AJ66">
        <f ca="1">_xll.BDH($E$20&amp;J$10,"Last Trade",$AD66,$AD66)</f>
        <v>17.25</v>
      </c>
    </row>
    <row r="67" spans="4:36">
      <c r="D67" s="1">
        <f ca="1">_xll.feSubtractPeriod(D66,"1b","P","LME")</f>
        <v>43018</v>
      </c>
      <c r="E67">
        <f ca="1">_xll.BDH($E$20&amp;E$3,"Last Trade",$D67,$D67)</f>
        <v>0.9</v>
      </c>
      <c r="F67">
        <f ca="1">_xll.BDH($E$20&amp;F$3,"Last Trade",$D67,$D67)</f>
        <v>0.16</v>
      </c>
      <c r="G67">
        <f ca="1">_xll.BDH($E$20&amp;G$3,"Last Trade",$D67,$D67)</f>
        <v>17.579999999999998</v>
      </c>
      <c r="H67">
        <f ca="1">_xll.BDH($E$20&amp;H$3,"Last Trade",$D67,$D67)</f>
        <v>1.3599999999999999</v>
      </c>
      <c r="I67">
        <f ca="1">_xll.BDH($E$20&amp;I$3,"Last Trade",$D67,$D67)</f>
        <v>2.67</v>
      </c>
      <c r="J67">
        <f ca="1">_xll.BDH($E$20&amp;J$3,"Last Trade",$D67,$D67)</f>
        <v>17.59</v>
      </c>
      <c r="L67" s="1">
        <f t="shared" ca="1" si="4"/>
        <v>43018</v>
      </c>
      <c r="M67">
        <f ca="1">_xll.BDH($E$20&amp;E$4,"Last Trade",$L67,$L67)</f>
        <v>1.05</v>
      </c>
      <c r="N67">
        <f ca="1">_xll.BDH($E$20&amp;F$4,"Last Trade",$L67,$L67)</f>
        <v>0.25</v>
      </c>
      <c r="O67">
        <f ca="1">_xll.BDH($E$20&amp;G$4,"Last Trade",$L67,$L67)</f>
        <v>17.75</v>
      </c>
      <c r="P67">
        <f ca="1">_xll.BDH($E$20&amp;H$4,"Last Trade",$L67,$L67)</f>
        <v>1.25</v>
      </c>
      <c r="Q67">
        <f ca="1">_xll.BDH($E$20&amp;I$4,"Last Trade",$L67,$L67)</f>
        <v>2.63</v>
      </c>
      <c r="R67">
        <f ca="1">_xll.BDH($E$20&amp;J$4,"Last Trade",$L67,$L67)</f>
        <v>17.77</v>
      </c>
      <c r="U67" s="1">
        <f t="shared" ca="1" si="5"/>
        <v>43018</v>
      </c>
      <c r="V67">
        <f ca="1">_xll.BDH($E$20&amp;E$5,"Last Trade",$U67,$U67)</f>
        <v>1.21</v>
      </c>
      <c r="W67">
        <f ca="1">_xll.BDH($E$20&amp;F$5,"Last Trade",$U67,$U67)</f>
        <v>0.34</v>
      </c>
      <c r="X67">
        <f ca="1">_xll.BDH($E$20&amp;G$5,"Last Trade",$U67,$U67)</f>
        <v>17.690000000000001</v>
      </c>
      <c r="Y67">
        <f ca="1">_xll.BDH($E$20&amp;H$5,"Last Trade",$U67,$U67)</f>
        <v>1.1499999999999999</v>
      </c>
      <c r="Z67">
        <f ca="1">_xll.BDH($E$20&amp;I$5,"Last Trade",$U67,$U67)</f>
        <v>2.2800000000000002</v>
      </c>
      <c r="AA67">
        <f ca="1">_xll.BDH($E$20&amp;J$5,"Last Trade",$U67,$U67)</f>
        <v>17.72</v>
      </c>
      <c r="AD67" s="1">
        <f t="shared" ca="1" si="6"/>
        <v>43018</v>
      </c>
      <c r="AE67">
        <f ca="1">_xll.BDH($E$20&amp;E$10,"Last Trade",$AD67,$AD67)</f>
        <v>1.53</v>
      </c>
      <c r="AF67">
        <f ca="1">_xll.BDH($E$20&amp;F$10,"Last Trade",$AD67,$AD67)</f>
        <v>0.59</v>
      </c>
      <c r="AG67">
        <f ca="1">_xll.BDH($E$20&amp;G$10,"Last Trade",$AD67,$AD67)</f>
        <v>17.170000000000002</v>
      </c>
      <c r="AH67">
        <f ca="1">_xll.BDH($E$20&amp;H$10,"Last Trade",$AD67,$AD67)</f>
        <v>0.77</v>
      </c>
      <c r="AI67">
        <f ca="1">_xll.BDH($E$20&amp;I$10,"Last Trade",$AD67,$AD67)</f>
        <v>1.46</v>
      </c>
      <c r="AJ67">
        <f ca="1">_xll.BDH($E$20&amp;J$10,"Last Trade",$AD67,$AD67)</f>
        <v>17.239999999999998</v>
      </c>
    </row>
    <row r="68" spans="4:36">
      <c r="D68" s="1">
        <f ca="1">_xll.feSubtractPeriod(D67,"1b","P","LME")</f>
        <v>43017</v>
      </c>
      <c r="E68">
        <f ca="1">_xll.BDH($E$20&amp;E$3,"Last Trade",$D68,$D68)</f>
        <v>0.96</v>
      </c>
      <c r="F68">
        <f ca="1">_xll.BDH($E$20&amp;F$3,"Last Trade",$D68,$D68)</f>
        <v>0.19</v>
      </c>
      <c r="G68">
        <f ca="1">_xll.BDH($E$20&amp;G$3,"Last Trade",$D68,$D68)</f>
        <v>17.600000000000001</v>
      </c>
      <c r="H68">
        <f ca="1">_xll.BDH($E$20&amp;H$3,"Last Trade",$D68,$D68)</f>
        <v>1.35</v>
      </c>
      <c r="I68">
        <f ca="1">_xll.BDH($E$20&amp;I$3,"Last Trade",$D68,$D68)</f>
        <v>2.61</v>
      </c>
      <c r="J68">
        <f ca="1">_xll.BDH($E$20&amp;J$3,"Last Trade",$D68,$D68)</f>
        <v>17.61</v>
      </c>
      <c r="L68" s="1">
        <f t="shared" ca="1" si="4"/>
        <v>43017</v>
      </c>
      <c r="M68">
        <f ca="1">_xll.BDH($E$20&amp;E$4,"Last Trade",$L68,$L68)</f>
        <v>1.1100000000000001</v>
      </c>
      <c r="N68">
        <f ca="1">_xll.BDH($E$20&amp;F$4,"Last Trade",$L68,$L68)</f>
        <v>0.31</v>
      </c>
      <c r="O68">
        <f ca="1">_xll.BDH($E$20&amp;G$4,"Last Trade",$L68,$L68)</f>
        <v>17.72</v>
      </c>
      <c r="P68">
        <f ca="1">_xll.BDH($E$20&amp;H$4,"Last Trade",$L68,$L68)</f>
        <v>1.18</v>
      </c>
      <c r="Q68">
        <f ca="1">_xll.BDH($E$20&amp;I$4,"Last Trade",$L68,$L68)</f>
        <v>2.4500000000000002</v>
      </c>
      <c r="R68">
        <f ca="1">_xll.BDH($E$20&amp;J$4,"Last Trade",$L68,$L68)</f>
        <v>17.75</v>
      </c>
      <c r="U68" s="1">
        <f t="shared" ca="1" si="5"/>
        <v>43017</v>
      </c>
      <c r="V68">
        <f ca="1">_xll.BDH($E$20&amp;E$5,"Last Trade",$U68,$U68)</f>
        <v>1.22</v>
      </c>
      <c r="W68">
        <f ca="1">_xll.BDH($E$20&amp;F$5,"Last Trade",$U68,$U68)</f>
        <v>0.35</v>
      </c>
      <c r="X68">
        <f ca="1">_xll.BDH($E$20&amp;G$5,"Last Trade",$U68,$U68)</f>
        <v>17.7</v>
      </c>
      <c r="Y68">
        <f ca="1">_xll.BDH($E$20&amp;H$5,"Last Trade",$U68,$U68)</f>
        <v>1.1299999999999999</v>
      </c>
      <c r="Z68">
        <f ca="1">_xll.BDH($E$20&amp;I$5,"Last Trade",$U68,$U68)</f>
        <v>2.2200000000000002</v>
      </c>
      <c r="AA68">
        <f ca="1">_xll.BDH($E$20&amp;J$5,"Last Trade",$U68,$U68)</f>
        <v>17.73</v>
      </c>
      <c r="AD68" s="1">
        <f t="shared" ca="1" si="6"/>
        <v>43017</v>
      </c>
      <c r="AE68">
        <f ca="1">_xll.BDH($E$20&amp;E$10,"Last Trade",$AD68,$AD68)</f>
        <v>1.52</v>
      </c>
      <c r="AF68">
        <f ca="1">_xll.BDH($E$20&amp;F$10,"Last Trade",$AD68,$AD68)</f>
        <v>0.57999999999999996</v>
      </c>
      <c r="AG68">
        <f ca="1">_xll.BDH($E$20&amp;G$10,"Last Trade",$AD68,$AD68)</f>
        <v>17.22</v>
      </c>
      <c r="AH68">
        <f ca="1">_xll.BDH($E$20&amp;H$10,"Last Trade",$AD68,$AD68)</f>
        <v>0.77</v>
      </c>
      <c r="AI68">
        <f ca="1">_xll.BDH($E$20&amp;I$10,"Last Trade",$AD68,$AD68)</f>
        <v>1.46</v>
      </c>
      <c r="AJ68">
        <f ca="1">_xll.BDH($E$20&amp;J$10,"Last Trade",$AD68,$AD68)</f>
        <v>17.29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I143"/>
  <sheetViews>
    <sheetView showGridLines="0" tabSelected="1" topLeftCell="V4" zoomScale="70" zoomScaleNormal="70" workbookViewId="0">
      <selection activeCell="AL10" sqref="AL10"/>
    </sheetView>
  </sheetViews>
  <sheetFormatPr defaultRowHeight="12.75"/>
  <cols>
    <col min="1" max="1" width="2.5703125" customWidth="1"/>
    <col min="3" max="3" width="10.28515625" bestFit="1" customWidth="1"/>
    <col min="4" max="4" width="10.5703125" customWidth="1"/>
    <col min="6" max="6" width="10.28515625" customWidth="1"/>
    <col min="7" max="19" width="10.140625" bestFit="1" customWidth="1"/>
    <col min="20" max="20" width="10.140625" customWidth="1"/>
    <col min="23" max="23" width="13.7109375" bestFit="1" customWidth="1"/>
    <col min="25" max="25" width="10.140625" bestFit="1" customWidth="1"/>
    <col min="26" max="26" width="10.28515625" bestFit="1" customWidth="1"/>
    <col min="27" max="27" width="17.140625" customWidth="1"/>
    <col min="28" max="29" width="10.28515625" bestFit="1" customWidth="1"/>
    <col min="30" max="30" width="10.140625" bestFit="1" customWidth="1"/>
    <col min="31" max="32" width="10.28515625" bestFit="1" customWidth="1"/>
    <col min="34" max="34" width="15.28515625" bestFit="1" customWidth="1"/>
    <col min="36" max="36" width="10.140625" bestFit="1" customWidth="1"/>
  </cols>
  <sheetData>
    <row r="1" spans="1:36">
      <c r="C1" s="11" t="s">
        <v>33</v>
      </c>
      <c r="D1" s="12">
        <f ca="1">_xll.feMarketSpot("GOLDS comdty",TODAY())</f>
        <v>1323.6</v>
      </c>
      <c r="F1" s="28" t="s">
        <v>38</v>
      </c>
      <c r="G1" s="29" t="s">
        <v>153</v>
      </c>
      <c r="H1" s="30">
        <v>1327.1</v>
      </c>
    </row>
    <row r="2" spans="1:36">
      <c r="C2" s="13" t="s">
        <v>36</v>
      </c>
      <c r="D2" s="14" t="s">
        <v>37</v>
      </c>
      <c r="F2" s="28" t="s">
        <v>94</v>
      </c>
      <c r="G2" s="156">
        <v>43188</v>
      </c>
      <c r="H2" s="77"/>
    </row>
    <row r="3" spans="1:36">
      <c r="AC3" t="s">
        <v>62</v>
      </c>
      <c r="AD3" t="s">
        <v>64</v>
      </c>
    </row>
    <row r="5" spans="1:36">
      <c r="C5" s="70" t="s">
        <v>65</v>
      </c>
      <c r="D5" s="15" t="s">
        <v>34</v>
      </c>
      <c r="E5" s="16">
        <v>1275</v>
      </c>
      <c r="F5" s="16">
        <v>1285</v>
      </c>
      <c r="G5" s="16">
        <v>1295</v>
      </c>
      <c r="H5" s="16">
        <v>1300</v>
      </c>
      <c r="I5" s="16">
        <v>1310</v>
      </c>
      <c r="J5" s="16">
        <v>1320</v>
      </c>
      <c r="K5" s="16">
        <v>1330</v>
      </c>
      <c r="L5" s="16">
        <v>1340</v>
      </c>
      <c r="M5" s="16">
        <v>1350</v>
      </c>
      <c r="N5" s="16">
        <v>1360</v>
      </c>
      <c r="O5" s="16">
        <v>1370</v>
      </c>
      <c r="P5" s="16">
        <v>1380</v>
      </c>
      <c r="Q5" s="16">
        <v>1390</v>
      </c>
      <c r="R5" s="16">
        <v>1400</v>
      </c>
      <c r="S5" s="16">
        <v>1410</v>
      </c>
      <c r="T5" s="16">
        <v>1420</v>
      </c>
      <c r="U5" s="12">
        <v>1430</v>
      </c>
      <c r="V5" s="74" t="s">
        <v>40</v>
      </c>
      <c r="W5" s="74" t="s">
        <v>93</v>
      </c>
      <c r="AA5" s="61" t="s">
        <v>41</v>
      </c>
      <c r="AB5" s="62" t="s">
        <v>42</v>
      </c>
      <c r="AH5" s="15" t="s">
        <v>42</v>
      </c>
      <c r="AI5" s="63" t="s">
        <v>61</v>
      </c>
      <c r="AJ5" s="64" t="s">
        <v>5</v>
      </c>
    </row>
    <row r="6" spans="1:36">
      <c r="A6" t="str">
        <f ca="1">LEFT(B6,1)</f>
        <v>J</v>
      </c>
      <c r="B6" s="19" t="str">
        <f t="shared" ref="B6:B13" ca="1" si="0">monthtocode(D6)</f>
        <v>J8</v>
      </c>
      <c r="C6" s="71">
        <f ca="1">$H$1*EXP(AE6*(Z6-$G$2)/365)</f>
        <v>1329.024666821299</v>
      </c>
      <c r="D6" s="20">
        <v>43191</v>
      </c>
      <c r="E6" s="11">
        <v>53.1</v>
      </c>
      <c r="F6" s="31">
        <v>43.400000000000006</v>
      </c>
      <c r="G6" s="31">
        <v>33.800000000000004</v>
      </c>
      <c r="H6" s="31">
        <v>29.3</v>
      </c>
      <c r="I6" s="31">
        <v>20.8</v>
      </c>
      <c r="J6" s="31">
        <v>13.4</v>
      </c>
      <c r="K6" s="31">
        <v>8.3000000000000007</v>
      </c>
      <c r="L6" s="31">
        <v>4.9000000000000004</v>
      </c>
      <c r="M6" s="31">
        <v>2.8000000000000003</v>
      </c>
      <c r="N6" s="31">
        <v>1.7000000000000002</v>
      </c>
      <c r="O6" s="31">
        <v>1.1000000000000001</v>
      </c>
      <c r="P6" s="31">
        <v>0.70000000000000007</v>
      </c>
      <c r="Q6" s="31">
        <v>0.5</v>
      </c>
      <c r="R6" s="31">
        <v>0.4</v>
      </c>
      <c r="S6" s="31">
        <v>0.30000000000000004</v>
      </c>
      <c r="T6" s="31">
        <v>0.30000000000000004</v>
      </c>
      <c r="U6" s="32">
        <v>0.2</v>
      </c>
      <c r="V6" s="72">
        <v>1327</v>
      </c>
      <c r="W6" s="75" t="str">
        <f t="shared" ref="W6:W13" ca="1" si="1">ExpiryMonthFut(Asset,LEFT(B6,1))</f>
        <v>J</v>
      </c>
      <c r="Z6" s="2">
        <f ca="1">_xll.feSubtractPeriod(EOMONTH(D6,0),"2b","P","LON,NYC")</f>
        <v>43216</v>
      </c>
      <c r="AA6" s="54">
        <v>43185</v>
      </c>
      <c r="AB6" s="43">
        <f ca="1">_xll.fe1DInterpolate($AJ$16,AA6)/100</f>
        <v>1.1813249999999999E-2</v>
      </c>
      <c r="AC6" s="3">
        <f ca="1">_xll.feMarketRateCC("USD",TODAY(),TODAY(),AA6,$AC$3)</f>
        <v>1.9585019344175739E-2</v>
      </c>
      <c r="AD6" s="3">
        <f ca="1">_xll.feMarketRateCC($AD$3,TODAY(),TODAY(),AA6)</f>
        <v>6.9327718895744546E-4</v>
      </c>
      <c r="AE6" s="3">
        <f ca="1">AC6-AD6</f>
        <v>1.8891742155218293E-2</v>
      </c>
      <c r="AG6" s="19" t="s">
        <v>47</v>
      </c>
      <c r="AH6" s="19" t="s">
        <v>59</v>
      </c>
      <c r="AI6" s="31">
        <v>1.1499999999999999</v>
      </c>
      <c r="AJ6" s="57">
        <f ca="1">_xll.feAddPeriod(TODAY(),AG6,"F","NYC")</f>
        <v>43179</v>
      </c>
    </row>
    <row r="7" spans="1:36">
      <c r="A7" t="str">
        <f t="shared" ref="A7:A13" ca="1" si="2">LEFT(B7,1)</f>
        <v>K</v>
      </c>
      <c r="B7" s="21" t="str">
        <f t="shared" ca="1" si="0"/>
        <v>K8</v>
      </c>
      <c r="C7" s="72">
        <f t="shared" ref="C7:C13" ca="1" si="3">$H$1*EXP(AE7*(Z7-$G$2)/365)</f>
        <v>1331.881950714476</v>
      </c>
      <c r="D7" s="17">
        <v>43221</v>
      </c>
      <c r="E7" s="21">
        <v>60.5</v>
      </c>
      <c r="F7" s="36">
        <v>51.300000000000004</v>
      </c>
      <c r="G7" s="36">
        <v>42.7</v>
      </c>
      <c r="H7" s="36">
        <v>38.6</v>
      </c>
      <c r="I7" s="36">
        <v>30.8</v>
      </c>
      <c r="J7" s="36">
        <v>24.200000000000003</v>
      </c>
      <c r="K7" s="36">
        <v>18.600000000000001</v>
      </c>
      <c r="L7" s="36">
        <v>14.100000000000001</v>
      </c>
      <c r="M7" s="36">
        <v>10.5</v>
      </c>
      <c r="N7" s="36">
        <v>7.8000000000000007</v>
      </c>
      <c r="O7" s="36">
        <v>5.8000000000000007</v>
      </c>
      <c r="P7" s="36">
        <v>4.3</v>
      </c>
      <c r="Q7" s="36">
        <v>3.2</v>
      </c>
      <c r="R7" s="36">
        <v>2.5</v>
      </c>
      <c r="S7" s="36">
        <v>1.9000000000000001</v>
      </c>
      <c r="T7" s="36">
        <v>1.5</v>
      </c>
      <c r="U7" s="37">
        <v>1.2000000000000002</v>
      </c>
      <c r="V7" s="72">
        <v>1332.8000000000002</v>
      </c>
      <c r="W7" s="75" t="str">
        <f t="shared" ca="1" si="1"/>
        <v>M</v>
      </c>
      <c r="Z7" s="2">
        <f ca="1">_xll.feSubtractPeriod(EOMONTH(D7,0),"2b","P","LON,NYC")</f>
        <v>43249</v>
      </c>
      <c r="AA7" s="55">
        <v>43215</v>
      </c>
      <c r="AB7" s="46">
        <f ca="1">_xll.fe1DInterpolate($AJ$16,AA7)/100</f>
        <v>1.2841645161290322E-2</v>
      </c>
      <c r="AC7" s="3">
        <f ca="1">_xll.feMarketRateCC("USD",TODAY(),TODAY(),AA7,$AC$3)</f>
        <v>2.6264155438855605E-2</v>
      </c>
      <c r="AD7" s="3">
        <f ca="1">_xll.feMarketRateCC($AD$3,TODAY(),TODAY(),AA7)</f>
        <v>4.7421270606547595E-3</v>
      </c>
      <c r="AE7" s="3">
        <f t="shared" ref="AE7:AE13" ca="1" si="4">AC7-AD7</f>
        <v>2.1522028378200844E-2</v>
      </c>
      <c r="AG7" s="21" t="s">
        <v>43</v>
      </c>
      <c r="AH7" s="21" t="s">
        <v>55</v>
      </c>
      <c r="AI7" s="34">
        <v>1.2753000000000001</v>
      </c>
      <c r="AJ7" s="58">
        <f ca="1">_xll.feAddPeriod(TODAY(),AG7,"F","NYC")</f>
        <v>43203</v>
      </c>
    </row>
    <row r="8" spans="1:36">
      <c r="A8" t="str">
        <f t="shared" ca="1" si="2"/>
        <v>M</v>
      </c>
      <c r="B8" s="21" t="str">
        <f t="shared" ca="1" si="0"/>
        <v>M8</v>
      </c>
      <c r="C8" s="72">
        <f t="shared" ca="1" si="3"/>
        <v>1334.4409994687289</v>
      </c>
      <c r="D8" s="17">
        <v>43252</v>
      </c>
      <c r="E8" s="33">
        <v>62.800000000000004</v>
      </c>
      <c r="F8" s="34">
        <v>54.400000000000006</v>
      </c>
      <c r="G8" s="34">
        <v>46.300000000000004</v>
      </c>
      <c r="H8" s="34">
        <v>42.7</v>
      </c>
      <c r="I8" s="34">
        <v>35.700000000000003</v>
      </c>
      <c r="J8" s="34">
        <v>29.6</v>
      </c>
      <c r="K8" s="34">
        <v>24.400000000000002</v>
      </c>
      <c r="L8" s="34">
        <v>19.8</v>
      </c>
      <c r="M8" s="34">
        <v>16</v>
      </c>
      <c r="N8" s="34">
        <v>12.9</v>
      </c>
      <c r="O8" s="34">
        <v>10.4</v>
      </c>
      <c r="P8" s="34">
        <v>8.4</v>
      </c>
      <c r="Q8" s="34">
        <v>6.8000000000000007</v>
      </c>
      <c r="R8" s="34">
        <v>5.4</v>
      </c>
      <c r="S8" s="34">
        <v>4.4000000000000004</v>
      </c>
      <c r="T8" s="34">
        <v>3.5</v>
      </c>
      <c r="U8" s="35">
        <v>2.9000000000000004</v>
      </c>
      <c r="V8" s="72">
        <v>1332.8000000000002</v>
      </c>
      <c r="W8" s="75" t="str">
        <f t="shared" ca="1" si="1"/>
        <v>M</v>
      </c>
      <c r="Z8" s="2">
        <f ca="1">_xll.feSubtractPeriod(EOMONTH(D8,0),"2b","P","LON,NYC")</f>
        <v>43279</v>
      </c>
      <c r="AA8" s="55">
        <v>43244</v>
      </c>
      <c r="AB8" s="46">
        <f ca="1">_xll.fe1DInterpolate($AJ$16,AA8)/100</f>
        <v>1.3268E-2</v>
      </c>
      <c r="AC8" s="3">
        <f ca="1">_xll.feMarketRateCC("USD",TODAY(),TODAY(),AA8,$AC$3)</f>
        <v>2.4784948867162777E-2</v>
      </c>
      <c r="AD8" s="3">
        <f ca="1">_xll.feMarketRateCC($AD$3,TODAY(),TODAY(),AA8)</f>
        <v>2.6588626095406711E-3</v>
      </c>
      <c r="AE8" s="3">
        <f t="shared" ca="1" si="4"/>
        <v>2.2126086257622107E-2</v>
      </c>
      <c r="AG8" s="21" t="s">
        <v>44</v>
      </c>
      <c r="AH8" s="21" t="s">
        <v>56</v>
      </c>
      <c r="AI8" s="34">
        <v>1.2982</v>
      </c>
      <c r="AJ8" s="58">
        <f ca="1">_xll.feAddPeriod(TODAY(),AG8,"F","NYC")</f>
        <v>43234</v>
      </c>
    </row>
    <row r="9" spans="1:36">
      <c r="A9" t="str">
        <f t="shared" ca="1" si="2"/>
        <v>N</v>
      </c>
      <c r="B9" s="21" t="str">
        <f t="shared" ca="1" si="0"/>
        <v>N8</v>
      </c>
      <c r="C9" s="72">
        <f t="shared" ca="1" si="3"/>
        <v>1336.9849710007463</v>
      </c>
      <c r="D9" s="17">
        <v>43282</v>
      </c>
      <c r="E9" s="21">
        <v>71.2</v>
      </c>
      <c r="F9" s="36">
        <v>63</v>
      </c>
      <c r="G9" s="36">
        <v>55.400000000000006</v>
      </c>
      <c r="H9" s="36">
        <v>51.7</v>
      </c>
      <c r="I9" s="36">
        <v>44.900000000000006</v>
      </c>
      <c r="J9" s="36">
        <v>38.700000000000003</v>
      </c>
      <c r="K9" s="36">
        <v>33.200000000000003</v>
      </c>
      <c r="L9" s="36">
        <v>28.200000000000003</v>
      </c>
      <c r="M9" s="36">
        <v>23.900000000000002</v>
      </c>
      <c r="N9" s="36">
        <v>20.200000000000003</v>
      </c>
      <c r="O9" s="36">
        <v>17</v>
      </c>
      <c r="P9" s="36">
        <v>14.4</v>
      </c>
      <c r="Q9" s="36">
        <v>12.200000000000001</v>
      </c>
      <c r="R9" s="36">
        <v>10.3</v>
      </c>
      <c r="S9" s="36">
        <v>8.7000000000000011</v>
      </c>
      <c r="T9" s="36">
        <v>7.4</v>
      </c>
      <c r="U9" s="37">
        <v>6.2</v>
      </c>
      <c r="V9" s="72">
        <v>1338.7</v>
      </c>
      <c r="W9" s="75" t="str">
        <f t="shared" ca="1" si="1"/>
        <v>Q</v>
      </c>
      <c r="Z9" s="2">
        <f ca="1">_xll.feSubtractPeriod(EOMONTH(D9,0),"2b","P","LON,NYC")</f>
        <v>43308</v>
      </c>
      <c r="AA9" s="55">
        <v>43277</v>
      </c>
      <c r="AB9" s="46">
        <f ca="1">_xll.fe1DInterpolate($AJ$16,AA9)/100</f>
        <v>1.3952336956521739E-2</v>
      </c>
      <c r="AC9" s="3">
        <f ca="1">_xll.feMarketRateCC("USD",TODAY(),TODAY(),AA9,$AC$3)</f>
        <v>2.4655900690601678E-2</v>
      </c>
      <c r="AD9" s="3">
        <f ca="1">_xll.feMarketRateCC($AD$3,TODAY(),TODAY(),AA9)</f>
        <v>2.0838543003991366E-3</v>
      </c>
      <c r="AE9" s="3">
        <f t="shared" ca="1" si="4"/>
        <v>2.2572046390202542E-2</v>
      </c>
      <c r="AG9" s="21" t="s">
        <v>45</v>
      </c>
      <c r="AH9" s="21" t="s">
        <v>60</v>
      </c>
      <c r="AI9" s="34">
        <v>1.3839999999999999</v>
      </c>
      <c r="AJ9" s="58">
        <f ca="1">_xll.feAddPeriod(TODAY(),AG9,"F","NYC")</f>
        <v>43264</v>
      </c>
    </row>
    <row r="10" spans="1:36">
      <c r="A10" t="str">
        <f t="shared" ca="1" si="2"/>
        <v>Q</v>
      </c>
      <c r="B10" s="21" t="str">
        <f t="shared" ca="1" si="0"/>
        <v>Q8</v>
      </c>
      <c r="C10" s="72">
        <f t="shared" ca="1" si="3"/>
        <v>1339.7979739155355</v>
      </c>
      <c r="D10" s="17">
        <v>43313</v>
      </c>
      <c r="E10" s="33">
        <v>74.2</v>
      </c>
      <c r="F10" s="34">
        <v>66.5</v>
      </c>
      <c r="G10" s="34">
        <v>59.2</v>
      </c>
      <c r="H10" s="34">
        <v>55.6</v>
      </c>
      <c r="I10" s="34">
        <v>49.1</v>
      </c>
      <c r="J10" s="34">
        <v>43.2</v>
      </c>
      <c r="K10" s="34">
        <v>37.700000000000003</v>
      </c>
      <c r="L10" s="34">
        <v>32.9</v>
      </c>
      <c r="M10" s="34">
        <v>28.6</v>
      </c>
      <c r="N10" s="34">
        <v>24.8</v>
      </c>
      <c r="O10" s="34">
        <v>21.5</v>
      </c>
      <c r="P10" s="34">
        <v>18.600000000000001</v>
      </c>
      <c r="Q10" s="34">
        <v>16.2</v>
      </c>
      <c r="R10" s="34">
        <v>14.100000000000001</v>
      </c>
      <c r="S10" s="34">
        <v>12.3</v>
      </c>
      <c r="T10" s="34">
        <v>10.700000000000001</v>
      </c>
      <c r="U10" s="35">
        <v>9.4</v>
      </c>
      <c r="V10" s="72">
        <v>1338.7</v>
      </c>
      <c r="W10" s="75" t="str">
        <f t="shared" ca="1" si="1"/>
        <v>Q</v>
      </c>
      <c r="Z10" s="2">
        <f ca="1">_xll.feSubtractPeriod(EOMONTH(D10,0),"2b","P","LON,NYC")</f>
        <v>43341</v>
      </c>
      <c r="AA10" s="55">
        <v>43307</v>
      </c>
      <c r="AB10" s="46">
        <f ca="1">_xll.fe1DInterpolate($AJ$16,AA10)/100</f>
        <v>1.4211576086956522E-2</v>
      </c>
      <c r="AC10" s="3">
        <f ca="1">_xll.feMarketRateCC("USD",TODAY(),TODAY(),AA10,$AC$3)</f>
        <v>2.5149203235532255E-2</v>
      </c>
      <c r="AD10" s="3">
        <f ca="1">_xll.feMarketRateCC($AD$3,TODAY(),TODAY(),AA10)</f>
        <v>2.4315879656910825E-3</v>
      </c>
      <c r="AE10" s="3">
        <f t="shared" ca="1" si="4"/>
        <v>2.2717615269841174E-2</v>
      </c>
      <c r="AG10" s="21" t="s">
        <v>46</v>
      </c>
      <c r="AH10" s="21" t="s">
        <v>48</v>
      </c>
      <c r="AI10" s="34">
        <v>1.4635</v>
      </c>
      <c r="AJ10" s="58">
        <f ca="1">_xll.feAddPeriod(TODAY(),AG10,"F","NYC")</f>
        <v>43356</v>
      </c>
    </row>
    <row r="11" spans="1:36">
      <c r="A11" t="str">
        <f t="shared" ca="1" si="2"/>
        <v>U</v>
      </c>
      <c r="B11" s="21" t="str">
        <f t="shared" ca="1" si="0"/>
        <v>U8</v>
      </c>
      <c r="C11" s="72">
        <f t="shared" ca="1" si="3"/>
        <v>1342.4284793695967</v>
      </c>
      <c r="D11" s="17">
        <v>43344</v>
      </c>
      <c r="E11" s="21">
        <v>82.4</v>
      </c>
      <c r="F11" s="36">
        <v>74.8</v>
      </c>
      <c r="G11" s="36">
        <v>67.5</v>
      </c>
      <c r="H11" s="36">
        <v>64.100000000000009</v>
      </c>
      <c r="I11" s="36">
        <v>57.5</v>
      </c>
      <c r="J11" s="36">
        <v>51.400000000000006</v>
      </c>
      <c r="K11" s="36">
        <v>45.900000000000006</v>
      </c>
      <c r="L11" s="36">
        <v>40.800000000000004</v>
      </c>
      <c r="M11" s="36">
        <v>36.1</v>
      </c>
      <c r="N11" s="36">
        <v>32</v>
      </c>
      <c r="O11" s="36">
        <v>28.3</v>
      </c>
      <c r="P11" s="36">
        <v>25</v>
      </c>
      <c r="Q11" s="36">
        <v>22.200000000000003</v>
      </c>
      <c r="R11" s="36">
        <v>19.700000000000003</v>
      </c>
      <c r="S11" s="36">
        <v>17.5</v>
      </c>
      <c r="T11" s="36">
        <v>15.600000000000001</v>
      </c>
      <c r="U11" s="37">
        <v>13.9</v>
      </c>
      <c r="V11" s="72">
        <v>1344.5</v>
      </c>
      <c r="W11" s="75" t="str">
        <f t="shared" ca="1" si="1"/>
        <v>V</v>
      </c>
      <c r="Z11" s="2">
        <f ca="1">_xll.feSubtractPeriod(EOMONTH(D11,0),"2b","P","LON,NYC")</f>
        <v>43370</v>
      </c>
      <c r="AA11" s="55">
        <v>43340</v>
      </c>
      <c r="AB11" s="46">
        <f ca="1">_xll.fe1DInterpolate($AJ$16,AA11)/100</f>
        <v>1.4496739130434784E-2</v>
      </c>
      <c r="AC11" s="3">
        <f ca="1">_xll.feMarketRateCC("USD",TODAY(),TODAY(),AA11,$AC$3)</f>
        <v>2.5068529008819035E-2</v>
      </c>
      <c r="AD11" s="3">
        <f ca="1">_xll.feMarketRateCC($AD$3,TODAY(),TODAY(),AA11)</f>
        <v>2.0371066052035695E-3</v>
      </c>
      <c r="AE11" s="3">
        <f t="shared" ca="1" si="4"/>
        <v>2.3031422403615467E-2</v>
      </c>
      <c r="AG11" s="21" t="s">
        <v>57</v>
      </c>
      <c r="AH11" s="21" t="s">
        <v>58</v>
      </c>
      <c r="AI11" s="34">
        <v>1.5349999999999999</v>
      </c>
      <c r="AJ11" s="58">
        <f ca="1">_xll.feAddPeriod(TODAY(),AG11,"F","NYC")</f>
        <v>43447</v>
      </c>
    </row>
    <row r="12" spans="1:36">
      <c r="A12" t="str">
        <f t="shared" ca="1" si="2"/>
        <v>V</v>
      </c>
      <c r="B12" s="21" t="str">
        <f t="shared" ca="1" si="0"/>
        <v>V8</v>
      </c>
      <c r="C12" s="72">
        <f t="shared" ca="1" si="3"/>
        <v>1345.3643659237644</v>
      </c>
      <c r="D12" s="17">
        <v>43374</v>
      </c>
      <c r="E12" s="33">
        <v>85.5</v>
      </c>
      <c r="F12" s="34">
        <v>78.2</v>
      </c>
      <c r="G12" s="34">
        <v>71.2</v>
      </c>
      <c r="H12" s="34">
        <v>67.8</v>
      </c>
      <c r="I12" s="34">
        <v>61</v>
      </c>
      <c r="J12" s="34">
        <v>55.1</v>
      </c>
      <c r="K12" s="34">
        <v>49.6</v>
      </c>
      <c r="L12" s="34">
        <v>44.5</v>
      </c>
      <c r="M12" s="34">
        <v>39.900000000000006</v>
      </c>
      <c r="N12" s="34">
        <v>35.800000000000004</v>
      </c>
      <c r="O12" s="34">
        <v>32.1</v>
      </c>
      <c r="P12" s="34">
        <v>28.700000000000003</v>
      </c>
      <c r="Q12" s="34">
        <v>25.700000000000003</v>
      </c>
      <c r="R12" s="34">
        <v>23.1</v>
      </c>
      <c r="S12" s="34">
        <v>20.700000000000003</v>
      </c>
      <c r="T12" s="34">
        <v>18.600000000000001</v>
      </c>
      <c r="U12" s="35">
        <v>16.8</v>
      </c>
      <c r="V12" s="72">
        <v>1344.5</v>
      </c>
      <c r="W12" s="75" t="str">
        <f t="shared" ca="1" si="1"/>
        <v>V</v>
      </c>
      <c r="Z12" s="2">
        <f ca="1">_xll.feSubtractPeriod(EOMONTH(D12,0),"2b","P","LON,NYC")</f>
        <v>43402</v>
      </c>
      <c r="AA12" s="55">
        <v>43368</v>
      </c>
      <c r="AB12" s="46">
        <f ca="1">_xll.fe1DInterpolate($AJ$16,AA12)/100</f>
        <v>1.4729285714285714E-2</v>
      </c>
      <c r="AC12" s="3">
        <f ca="1">_xll.feMarketRateCC("USD",TODAY(),TODAY(),AA12,$AC$3)</f>
        <v>2.5143273756663448E-2</v>
      </c>
      <c r="AD12" s="3">
        <f ca="1">_xll.feMarketRateCC($AD$3,TODAY(),TODAY(),AA12)</f>
        <v>1.8297175550182636E-3</v>
      </c>
      <c r="AE12" s="3">
        <f t="shared" ca="1" si="4"/>
        <v>2.3313556201645186E-2</v>
      </c>
      <c r="AG12" s="21" t="s">
        <v>52</v>
      </c>
      <c r="AH12" s="21" t="s">
        <v>49</v>
      </c>
      <c r="AI12" s="34">
        <v>1.5998000000000001</v>
      </c>
      <c r="AJ12" s="58">
        <f ca="1">_xll.feAddPeriod(TODAY(),AG12,"F","NYC")</f>
        <v>43537</v>
      </c>
    </row>
    <row r="13" spans="1:36">
      <c r="A13" t="str">
        <f t="shared" ca="1" si="2"/>
        <v>Z</v>
      </c>
      <c r="B13" s="22" t="str">
        <f t="shared" ca="1" si="0"/>
        <v>Z8</v>
      </c>
      <c r="C13" s="73">
        <f t="shared" ca="1" si="3"/>
        <v>1351.278947516781</v>
      </c>
      <c r="D13" s="18">
        <v>43435</v>
      </c>
      <c r="E13" s="22">
        <v>96.4</v>
      </c>
      <c r="F13" s="38">
        <v>89.300000000000011</v>
      </c>
      <c r="G13" s="38">
        <v>82.5</v>
      </c>
      <c r="H13" s="38">
        <v>79.2</v>
      </c>
      <c r="I13" s="38">
        <v>72.8</v>
      </c>
      <c r="J13" s="38">
        <v>67</v>
      </c>
      <c r="K13" s="38">
        <v>61.300000000000004</v>
      </c>
      <c r="L13" s="38">
        <v>56.300000000000004</v>
      </c>
      <c r="M13" s="38">
        <v>51.400000000000006</v>
      </c>
      <c r="N13" s="38">
        <v>47</v>
      </c>
      <c r="O13" s="38">
        <v>43</v>
      </c>
      <c r="P13" s="38">
        <v>39.300000000000004</v>
      </c>
      <c r="Q13" s="38">
        <v>35.9</v>
      </c>
      <c r="R13" s="38">
        <v>32.9</v>
      </c>
      <c r="S13" s="38">
        <v>30.200000000000003</v>
      </c>
      <c r="T13" s="38">
        <v>27.700000000000003</v>
      </c>
      <c r="U13" s="39">
        <v>25.3</v>
      </c>
      <c r="V13" s="73">
        <v>1350.7</v>
      </c>
      <c r="W13" s="76" t="str">
        <f t="shared" ca="1" si="1"/>
        <v>Z</v>
      </c>
      <c r="Z13" s="2">
        <f ca="1">_xll.feSubtractPeriod(EOMONTH(D13,0),"2b","P","LON,NYC")</f>
        <v>43461</v>
      </c>
      <c r="AA13" s="56">
        <v>43431</v>
      </c>
      <c r="AB13" s="49">
        <f ca="1">_xll.fe1DInterpolate($AJ$16,AA13)/100</f>
        <v>1.5224285714285715E-2</v>
      </c>
      <c r="AC13" s="3">
        <f ca="1">_xll.feMarketRateCC("USD",TODAY(),TODAY(),AA13,$AC$3)</f>
        <v>2.5623223978591608E-2</v>
      </c>
      <c r="AD13" s="3">
        <f ca="1">_xll.feMarketRateCC($AD$3,TODAY(),TODAY(),AA13)</f>
        <v>1.4832175749111742E-3</v>
      </c>
      <c r="AE13" s="3">
        <f t="shared" ca="1" si="4"/>
        <v>2.4140006403680435E-2</v>
      </c>
      <c r="AG13" s="21" t="s">
        <v>53</v>
      </c>
      <c r="AH13" s="21" t="s">
        <v>50</v>
      </c>
      <c r="AI13" s="34">
        <v>1.7759</v>
      </c>
      <c r="AJ13" s="58">
        <f ca="1">_xll.feAddPeriod(TODAY(),AG13,"F","NYC")</f>
        <v>43903</v>
      </c>
    </row>
    <row r="14" spans="1:36">
      <c r="AG14" s="22" t="s">
        <v>54</v>
      </c>
      <c r="AH14" s="22" t="s">
        <v>51</v>
      </c>
      <c r="AI14" s="59">
        <v>1.8815</v>
      </c>
      <c r="AJ14" s="60">
        <f ca="1">_xll.feAddPeriod(TODAY(),AG14,"F","NYC")</f>
        <v>44270</v>
      </c>
    </row>
    <row r="16" spans="1:36">
      <c r="L16" t="s">
        <v>152</v>
      </c>
      <c r="AJ16" t="str">
        <f ca="1">_xll.feCreate1DInterpolator(AI5,AJ6:AJ14,AI6:AI14,"Linear","Linear")</f>
        <v>USD Rate.16</v>
      </c>
    </row>
    <row r="17" spans="4:61">
      <c r="L17" t="s">
        <v>154</v>
      </c>
      <c r="AH17" s="2"/>
    </row>
    <row r="18" spans="4:61">
      <c r="L18" t="s">
        <v>155</v>
      </c>
      <c r="AH18" s="2"/>
    </row>
    <row r="19" spans="4:61">
      <c r="BI19" t="s">
        <v>136</v>
      </c>
    </row>
    <row r="20" spans="4:61">
      <c r="AB20" s="65"/>
    </row>
    <row r="21" spans="4:61">
      <c r="D21" s="15" t="s">
        <v>35</v>
      </c>
      <c r="E21" s="19">
        <f ca="1">E5</f>
        <v>1275</v>
      </c>
      <c r="F21" s="23">
        <f t="shared" ref="F21:U21" ca="1" si="5">F5</f>
        <v>1285</v>
      </c>
      <c r="G21" s="23">
        <f t="shared" ca="1" si="5"/>
        <v>1295</v>
      </c>
      <c r="H21" s="23">
        <f t="shared" ca="1" si="5"/>
        <v>1300</v>
      </c>
      <c r="I21" s="23">
        <f t="shared" ca="1" si="5"/>
        <v>1310</v>
      </c>
      <c r="J21" s="23">
        <f t="shared" ca="1" si="5"/>
        <v>1320</v>
      </c>
      <c r="K21" s="23">
        <f t="shared" ca="1" si="5"/>
        <v>1330</v>
      </c>
      <c r="L21" s="23">
        <f t="shared" ca="1" si="5"/>
        <v>1340</v>
      </c>
      <c r="M21" s="23">
        <f t="shared" ca="1" si="5"/>
        <v>1350</v>
      </c>
      <c r="N21" s="23">
        <f t="shared" ca="1" si="5"/>
        <v>1360</v>
      </c>
      <c r="O21" s="23">
        <f t="shared" ca="1" si="5"/>
        <v>1370</v>
      </c>
      <c r="P21" s="23">
        <f t="shared" ca="1" si="5"/>
        <v>1380</v>
      </c>
      <c r="Q21" s="23">
        <f t="shared" ca="1" si="5"/>
        <v>1390</v>
      </c>
      <c r="R21" s="23">
        <f t="shared" ca="1" si="5"/>
        <v>1400</v>
      </c>
      <c r="S21" s="23">
        <f t="shared" ca="1" si="5"/>
        <v>1410</v>
      </c>
      <c r="T21" s="23">
        <f t="shared" ca="1" si="5"/>
        <v>1420</v>
      </c>
      <c r="U21" s="24">
        <f t="shared" ca="1" si="5"/>
        <v>1430</v>
      </c>
      <c r="X21" s="116"/>
      <c r="Y21" s="2"/>
      <c r="Z21" s="117">
        <f t="shared" ref="Z21:AE27" ca="1" si="6">G132</f>
        <v>43173</v>
      </c>
      <c r="AA21" s="118">
        <f t="shared" ca="1" si="6"/>
        <v>43179</v>
      </c>
      <c r="AB21" s="118">
        <f t="shared" ca="1" si="6"/>
        <v>43203</v>
      </c>
      <c r="AC21" s="118">
        <f t="shared" ca="1" si="6"/>
        <v>43234</v>
      </c>
      <c r="AD21" s="118">
        <f t="shared" ca="1" si="6"/>
        <v>43264</v>
      </c>
      <c r="AE21" s="119">
        <f t="shared" ca="1" si="6"/>
        <v>43356</v>
      </c>
    </row>
    <row r="22" spans="4:61">
      <c r="D22" s="27">
        <f ca="1">D6</f>
        <v>43191</v>
      </c>
      <c r="E22" s="11">
        <v>52.1</v>
      </c>
      <c r="F22" s="31">
        <v>42.2</v>
      </c>
      <c r="G22" s="31">
        <v>32.700000000000003</v>
      </c>
      <c r="H22" s="31">
        <v>28.1</v>
      </c>
      <c r="I22" s="31">
        <v>20</v>
      </c>
      <c r="J22" s="31">
        <v>13.200000000000001</v>
      </c>
      <c r="K22" s="31">
        <v>8.1</v>
      </c>
      <c r="L22" s="31">
        <v>4.7</v>
      </c>
      <c r="M22" s="31">
        <v>2.6</v>
      </c>
      <c r="N22" s="31">
        <v>1.5</v>
      </c>
      <c r="O22" s="31">
        <v>0.9</v>
      </c>
      <c r="P22" s="31">
        <v>0.60000000000000009</v>
      </c>
      <c r="Q22" s="31">
        <v>0.4</v>
      </c>
      <c r="R22" s="31">
        <v>0.2</v>
      </c>
      <c r="S22" s="31">
        <v>0.2</v>
      </c>
      <c r="T22" s="31">
        <v>0.1</v>
      </c>
      <c r="U22" s="32">
        <v>0.1</v>
      </c>
      <c r="W22" s="34"/>
      <c r="X22" s="116" t="str">
        <f t="shared" ref="X22:Y27" si="7">E133</f>
        <v/>
      </c>
      <c r="Y22" s="114" t="str">
        <f t="shared" si="7"/>
        <v>Delta</v>
      </c>
      <c r="Z22" s="117" t="str">
        <f t="shared" si="6"/>
        <v>1B</v>
      </c>
      <c r="AA22" s="118" t="str">
        <f t="shared" si="6"/>
        <v>1W</v>
      </c>
      <c r="AB22" s="118" t="str">
        <f t="shared" si="6"/>
        <v>1M</v>
      </c>
      <c r="AC22" s="118" t="str">
        <f t="shared" si="6"/>
        <v>2M</v>
      </c>
      <c r="AD22" s="118" t="str">
        <f t="shared" si="6"/>
        <v>3M</v>
      </c>
      <c r="AE22" s="119" t="str">
        <f t="shared" si="6"/>
        <v>6M</v>
      </c>
    </row>
    <row r="23" spans="4:61">
      <c r="D23" s="25">
        <f t="shared" ref="D23:D29" ca="1" si="8">D7</f>
        <v>43221</v>
      </c>
      <c r="E23" s="21">
        <v>59.300000000000004</v>
      </c>
      <c r="F23" s="36">
        <v>50.2</v>
      </c>
      <c r="G23" s="36">
        <v>41.800000000000004</v>
      </c>
      <c r="H23" s="36">
        <v>37.800000000000004</v>
      </c>
      <c r="I23" s="36">
        <v>30.3</v>
      </c>
      <c r="J23" s="36">
        <v>23.700000000000003</v>
      </c>
      <c r="K23" s="36">
        <v>18.2</v>
      </c>
      <c r="L23" s="36">
        <v>13.8</v>
      </c>
      <c r="M23" s="36">
        <v>10.200000000000001</v>
      </c>
      <c r="N23" s="36">
        <v>7.6000000000000005</v>
      </c>
      <c r="O23" s="36">
        <v>5.6000000000000005</v>
      </c>
      <c r="P23" s="36">
        <v>4.1000000000000005</v>
      </c>
      <c r="Q23" s="36">
        <v>3</v>
      </c>
      <c r="R23" s="36">
        <v>2.2000000000000002</v>
      </c>
      <c r="S23" s="36">
        <v>1.7000000000000002</v>
      </c>
      <c r="T23" s="36">
        <v>1.3</v>
      </c>
      <c r="U23" s="37">
        <v>1</v>
      </c>
      <c r="X23" s="104" t="str">
        <f t="shared" si="7"/>
        <v>ATM</v>
      </c>
      <c r="Y23" s="50">
        <f t="shared" si="7"/>
        <v>0</v>
      </c>
      <c r="Z23" s="93">
        <f t="shared" ca="1" si="6"/>
        <v>9.5897986125144566E-2</v>
      </c>
      <c r="AA23" s="87">
        <f t="shared" ca="1" si="6"/>
        <v>9.5576925957743517E-2</v>
      </c>
      <c r="AB23" s="87">
        <f t="shared" ca="1" si="6"/>
        <v>9.4292685288139305E-2</v>
      </c>
      <c r="AC23" s="87">
        <f t="shared" ca="1" si="6"/>
        <v>9.553370566744461E-2</v>
      </c>
      <c r="AD23" s="87">
        <f t="shared" ca="1" si="6"/>
        <v>9.835492646250045E-2</v>
      </c>
      <c r="AE23" s="88">
        <f t="shared" ca="1" si="6"/>
        <v>0.10757443246712092</v>
      </c>
    </row>
    <row r="24" spans="4:61">
      <c r="D24" s="25">
        <f t="shared" ca="1" si="8"/>
        <v>43252</v>
      </c>
      <c r="E24" s="33">
        <v>62</v>
      </c>
      <c r="F24" s="34">
        <v>53.6</v>
      </c>
      <c r="G24" s="34">
        <v>45.800000000000004</v>
      </c>
      <c r="H24" s="34">
        <v>42.1</v>
      </c>
      <c r="I24" s="34">
        <v>35.300000000000004</v>
      </c>
      <c r="J24" s="34">
        <v>29.3</v>
      </c>
      <c r="K24" s="34">
        <v>24</v>
      </c>
      <c r="L24" s="34">
        <v>19.5</v>
      </c>
      <c r="M24" s="34">
        <v>15.8</v>
      </c>
      <c r="N24" s="34">
        <v>12.700000000000001</v>
      </c>
      <c r="O24" s="34">
        <v>10.200000000000001</v>
      </c>
      <c r="P24" s="34">
        <v>8.1</v>
      </c>
      <c r="Q24" s="34">
        <v>6.5</v>
      </c>
      <c r="R24" s="34">
        <v>5.2</v>
      </c>
      <c r="S24" s="34">
        <v>4.1000000000000005</v>
      </c>
      <c r="T24" s="34">
        <v>3.3000000000000003</v>
      </c>
      <c r="U24" s="35">
        <v>2.7</v>
      </c>
      <c r="X24" s="55" t="str">
        <f t="shared" si="7"/>
        <v>RR</v>
      </c>
      <c r="Y24" s="115">
        <f t="shared" si="7"/>
        <v>0.1</v>
      </c>
      <c r="Z24" s="120">
        <f t="shared" ca="1" si="6"/>
        <v>1.2382452488224352E-2</v>
      </c>
      <c r="AA24" s="121">
        <f t="shared" ca="1" si="6"/>
        <v>1.2162384458659525E-2</v>
      </c>
      <c r="AB24" s="121">
        <f t="shared" ca="1" si="6"/>
        <v>1.128211234040026E-2</v>
      </c>
      <c r="AC24" s="121">
        <f t="shared" ca="1" si="6"/>
        <v>1.1846693944429249E-2</v>
      </c>
      <c r="AD24" s="121">
        <f t="shared" ca="1" si="6"/>
        <v>9.8723155897126186E-3</v>
      </c>
      <c r="AE24" s="122">
        <f t="shared" ca="1" si="6"/>
        <v>5.0826199488946677E-3</v>
      </c>
      <c r="AI24" s="96"/>
    </row>
    <row r="25" spans="4:61">
      <c r="D25" s="25">
        <f t="shared" ca="1" si="8"/>
        <v>43282</v>
      </c>
      <c r="E25" s="21">
        <v>70.3</v>
      </c>
      <c r="F25" s="36">
        <v>62.2</v>
      </c>
      <c r="G25" s="36">
        <v>54.6</v>
      </c>
      <c r="H25" s="36">
        <v>51</v>
      </c>
      <c r="I25" s="36">
        <v>44.2</v>
      </c>
      <c r="J25" s="36">
        <v>38.1</v>
      </c>
      <c r="K25" s="36">
        <v>32.6</v>
      </c>
      <c r="L25" s="36">
        <v>27.8</v>
      </c>
      <c r="M25" s="36">
        <v>23.5</v>
      </c>
      <c r="N25" s="36">
        <v>19.900000000000002</v>
      </c>
      <c r="O25" s="36">
        <v>16.8</v>
      </c>
      <c r="P25" s="36">
        <v>14.100000000000001</v>
      </c>
      <c r="Q25" s="36">
        <v>11.9</v>
      </c>
      <c r="R25" s="36">
        <v>10</v>
      </c>
      <c r="S25" s="36">
        <v>8.5</v>
      </c>
      <c r="T25" s="36">
        <v>7</v>
      </c>
      <c r="U25" s="37">
        <v>5.9</v>
      </c>
      <c r="X25" s="55" t="str">
        <f t="shared" si="7"/>
        <v>RR</v>
      </c>
      <c r="Y25" s="115">
        <f t="shared" si="7"/>
        <v>0.25</v>
      </c>
      <c r="Z25" s="120">
        <f t="shared" ca="1" si="6"/>
        <v>4.2091483686130388E-3</v>
      </c>
      <c r="AA25" s="121">
        <f t="shared" ca="1" si="6"/>
        <v>4.5095866732820927E-3</v>
      </c>
      <c r="AB25" s="121">
        <f t="shared" ca="1" si="6"/>
        <v>5.7113398919583364E-3</v>
      </c>
      <c r="AC25" s="121">
        <f t="shared" ca="1" si="6"/>
        <v>7.630835044071374E-3</v>
      </c>
      <c r="AD25" s="121">
        <f t="shared" ca="1" si="6"/>
        <v>8.5727091516614035E-3</v>
      </c>
      <c r="AE25" s="122">
        <f t="shared" ca="1" si="6"/>
        <v>1.1297606144916247E-2</v>
      </c>
    </row>
    <row r="26" spans="4:61">
      <c r="D26" s="25">
        <f t="shared" ca="1" si="8"/>
        <v>43313</v>
      </c>
      <c r="E26" s="33">
        <v>73.3</v>
      </c>
      <c r="F26" s="34">
        <v>65.600000000000009</v>
      </c>
      <c r="G26" s="34">
        <v>58.300000000000004</v>
      </c>
      <c r="H26" s="34">
        <v>55</v>
      </c>
      <c r="I26" s="34">
        <v>48.6</v>
      </c>
      <c r="J26" s="34">
        <v>42.6</v>
      </c>
      <c r="K26" s="34">
        <v>37.200000000000003</v>
      </c>
      <c r="L26" s="34">
        <v>32.4</v>
      </c>
      <c r="M26" s="34">
        <v>28.200000000000003</v>
      </c>
      <c r="N26" s="34">
        <v>24.400000000000002</v>
      </c>
      <c r="O26" s="34">
        <v>21.1</v>
      </c>
      <c r="P26" s="34">
        <v>18.3</v>
      </c>
      <c r="Q26" s="34">
        <v>15.8</v>
      </c>
      <c r="R26" s="34">
        <v>13.700000000000001</v>
      </c>
      <c r="S26" s="34">
        <v>11.9</v>
      </c>
      <c r="T26" s="34">
        <v>10.3</v>
      </c>
      <c r="U26" s="35">
        <v>9</v>
      </c>
      <c r="X26" s="112" t="str">
        <f t="shared" si="7"/>
        <v>BF</v>
      </c>
      <c r="Y26" s="51">
        <f t="shared" si="7"/>
        <v>0.1</v>
      </c>
      <c r="Z26" s="94">
        <f t="shared" ca="1" si="6"/>
        <v>2.4199449618362373E-2</v>
      </c>
      <c r="AA26" s="89">
        <f t="shared" ca="1" si="6"/>
        <v>2.3914200778733519E-2</v>
      </c>
      <c r="AB26" s="89">
        <f t="shared" ca="1" si="6"/>
        <v>2.2773205420218157E-2</v>
      </c>
      <c r="AC26" s="89">
        <f t="shared" ca="1" si="6"/>
        <v>2.2808707246917609E-2</v>
      </c>
      <c r="AD26" s="89">
        <f t="shared" ca="1" si="6"/>
        <v>1.9284025427586976E-2</v>
      </c>
      <c r="AE26" s="90">
        <f t="shared" ca="1" si="6"/>
        <v>9.4100520622417694E-3</v>
      </c>
    </row>
    <row r="27" spans="4:61">
      <c r="D27" s="25">
        <f t="shared" ca="1" si="8"/>
        <v>43344</v>
      </c>
      <c r="E27" s="21">
        <v>81</v>
      </c>
      <c r="F27" s="36">
        <v>73.400000000000006</v>
      </c>
      <c r="G27" s="36">
        <v>66.3</v>
      </c>
      <c r="H27" s="36">
        <v>62.900000000000006</v>
      </c>
      <c r="I27" s="36">
        <v>56.5</v>
      </c>
      <c r="J27" s="36">
        <v>50.5</v>
      </c>
      <c r="K27" s="36">
        <v>45</v>
      </c>
      <c r="L27" s="36">
        <v>40</v>
      </c>
      <c r="M27" s="36">
        <v>35.5</v>
      </c>
      <c r="N27" s="36">
        <v>31.400000000000002</v>
      </c>
      <c r="O27" s="36">
        <v>27.8</v>
      </c>
      <c r="P27" s="36">
        <v>24.5</v>
      </c>
      <c r="Q27" s="36">
        <v>21.700000000000003</v>
      </c>
      <c r="R27" s="36">
        <v>19.200000000000003</v>
      </c>
      <c r="S27" s="36">
        <v>17</v>
      </c>
      <c r="T27" s="36">
        <v>15.100000000000001</v>
      </c>
      <c r="U27" s="37">
        <v>13.4</v>
      </c>
      <c r="X27" s="113" t="str">
        <f t="shared" si="7"/>
        <v>BF</v>
      </c>
      <c r="Y27" s="52">
        <f t="shared" si="7"/>
        <v>0.25</v>
      </c>
      <c r="Z27" s="95">
        <f t="shared" ca="1" si="6"/>
        <v>7.6054858178959683E-3</v>
      </c>
      <c r="AA27" s="91">
        <f t="shared" ca="1" si="6"/>
        <v>7.3609226115695925E-3</v>
      </c>
      <c r="AB27" s="91">
        <f t="shared" ca="1" si="6"/>
        <v>6.3826697862643944E-3</v>
      </c>
      <c r="AC27" s="91">
        <f t="shared" ca="1" si="6"/>
        <v>6.0839391625914507E-3</v>
      </c>
      <c r="AD27" s="91">
        <f t="shared" ca="1" si="6"/>
        <v>7.0740720077358266E-3</v>
      </c>
      <c r="AE27" s="92">
        <f t="shared" ca="1" si="6"/>
        <v>7.840942301161502E-3</v>
      </c>
    </row>
    <row r="28" spans="4:61" ht="13.5" thickBot="1">
      <c r="D28" s="25">
        <f t="shared" ca="1" si="8"/>
        <v>43374</v>
      </c>
      <c r="E28" s="33">
        <v>83.600000000000009</v>
      </c>
      <c r="F28" s="34">
        <v>76.3</v>
      </c>
      <c r="G28" s="34">
        <v>69.400000000000006</v>
      </c>
      <c r="H28" s="34">
        <v>66</v>
      </c>
      <c r="I28" s="34">
        <v>60</v>
      </c>
      <c r="J28" s="34">
        <v>54.1</v>
      </c>
      <c r="K28" s="34">
        <v>48.800000000000004</v>
      </c>
      <c r="L28" s="34">
        <v>43.800000000000004</v>
      </c>
      <c r="M28" s="34">
        <v>39.200000000000003</v>
      </c>
      <c r="N28" s="34">
        <v>35.200000000000003</v>
      </c>
      <c r="O28" s="34">
        <v>31.5</v>
      </c>
      <c r="P28" s="34">
        <v>28.1</v>
      </c>
      <c r="Q28" s="34">
        <v>25.200000000000003</v>
      </c>
      <c r="R28" s="34">
        <v>22.6</v>
      </c>
      <c r="S28" s="34">
        <v>20.200000000000003</v>
      </c>
      <c r="T28" s="34">
        <v>18.100000000000001</v>
      </c>
      <c r="U28" s="35">
        <v>16.3</v>
      </c>
      <c r="AB28" s="3"/>
    </row>
    <row r="29" spans="4:61" ht="13.5" thickBot="1">
      <c r="D29" s="26">
        <f t="shared" ca="1" si="8"/>
        <v>43435</v>
      </c>
      <c r="E29" s="22">
        <v>95</v>
      </c>
      <c r="F29" s="38">
        <v>88</v>
      </c>
      <c r="G29" s="38">
        <v>81.2</v>
      </c>
      <c r="H29" s="38">
        <v>78</v>
      </c>
      <c r="I29" s="38">
        <v>71.8</v>
      </c>
      <c r="J29" s="38">
        <v>66.100000000000009</v>
      </c>
      <c r="K29" s="38">
        <v>60.6</v>
      </c>
      <c r="L29" s="38">
        <v>55.5</v>
      </c>
      <c r="M29" s="38">
        <v>50.800000000000004</v>
      </c>
      <c r="N29" s="38">
        <v>46.400000000000006</v>
      </c>
      <c r="O29" s="38">
        <v>42.400000000000006</v>
      </c>
      <c r="P29" s="38">
        <v>38.700000000000003</v>
      </c>
      <c r="Q29" s="38">
        <v>35.300000000000004</v>
      </c>
      <c r="R29" s="38">
        <v>32.300000000000004</v>
      </c>
      <c r="S29" s="38">
        <v>29.5</v>
      </c>
      <c r="T29" s="38">
        <v>27</v>
      </c>
      <c r="U29" s="39">
        <v>24.8</v>
      </c>
      <c r="X29" s="123"/>
      <c r="Y29" s="123"/>
      <c r="Z29" s="157" t="s">
        <v>134</v>
      </c>
      <c r="AA29" s="158"/>
      <c r="AB29" s="157" t="s">
        <v>135</v>
      </c>
      <c r="AC29" s="158"/>
    </row>
    <row r="30" spans="4:61" ht="13.5" thickBot="1">
      <c r="X30" s="132" t="s">
        <v>141</v>
      </c>
      <c r="Y30" s="124" t="s">
        <v>21</v>
      </c>
      <c r="Z30" s="125">
        <v>0.1</v>
      </c>
      <c r="AA30" s="126">
        <v>0.25</v>
      </c>
      <c r="AB30" s="125">
        <v>0.1</v>
      </c>
      <c r="AC30" s="126">
        <v>0.25</v>
      </c>
    </row>
    <row r="31" spans="4:61">
      <c r="X31" s="133" t="s">
        <v>133</v>
      </c>
      <c r="Y31" s="127">
        <f ca="1">Z23-F37</f>
        <v>-6.1020138748554276E-3</v>
      </c>
      <c r="Z31" s="128"/>
      <c r="AA31" s="129">
        <f ca="1">Z25-F39</f>
        <v>2.0914836883145771E-4</v>
      </c>
      <c r="AB31" s="128"/>
      <c r="AC31" s="130">
        <f ca="1">Z27-F41</f>
        <v>2.0683708470053269E-3</v>
      </c>
    </row>
    <row r="32" spans="4:61">
      <c r="X32" s="134" t="s">
        <v>47</v>
      </c>
      <c r="Y32" s="127">
        <f ca="1">AA23-G37</f>
        <v>-7.4230740422564778E-3</v>
      </c>
      <c r="Z32" s="128"/>
      <c r="AA32" s="129">
        <f ca="1">AA25-G39</f>
        <v>-9.9041332650057212E-4</v>
      </c>
      <c r="AB32" s="128"/>
      <c r="AC32" s="131">
        <f ca="1">AA27-G41</f>
        <v>2.8138891716706776E-3</v>
      </c>
    </row>
    <row r="33" spans="2:46">
      <c r="E33" s="3">
        <f ca="1">E48</f>
        <v>0.10114006060858437</v>
      </c>
      <c r="X33" s="134" t="s">
        <v>43</v>
      </c>
      <c r="Y33" s="127">
        <f ca="1">AB23-H37</f>
        <v>-1.1707314711860678E-2</v>
      </c>
      <c r="Z33" s="128"/>
      <c r="AA33" s="129">
        <f ca="1">AB25-H39</f>
        <v>-7.8866010778624873E-4</v>
      </c>
      <c r="AB33" s="128"/>
      <c r="AC33" s="131">
        <f ca="1">AB27-H41</f>
        <v>2.8127692183822217E-3</v>
      </c>
    </row>
    <row r="34" spans="2:46">
      <c r="X34" s="134" t="s">
        <v>44</v>
      </c>
      <c r="Y34" s="127">
        <f ca="1">AC23-I37</f>
        <v>-1.0966294332555374E-2</v>
      </c>
      <c r="Z34" s="128"/>
      <c r="AA34" s="129">
        <f ca="1">-AC25-I39</f>
        <v>-1.8130835043650512E-2</v>
      </c>
      <c r="AB34" s="128"/>
      <c r="AC34" s="131">
        <f ca="1">AC27-I41</f>
        <v>1.4034410094904692E-3</v>
      </c>
    </row>
    <row r="35" spans="2:46">
      <c r="F35" s="53">
        <f ca="1">_xll.feAddPeriod(TODAY(),F36,"F","LON,NYC")</f>
        <v>43173</v>
      </c>
      <c r="G35" s="53">
        <f ca="1">_xll.feAddPeriod(TODAY(),G36,"F","LON,NYC")</f>
        <v>43179</v>
      </c>
      <c r="H35" s="53">
        <f ca="1">_xll.feAddPeriod(TODAY(),H36,"F","LON,NYC")</f>
        <v>43203</v>
      </c>
      <c r="I35" s="53">
        <f ca="1">_xll.feAddPeriod(TODAY(),I36,"F","LON,NYC")</f>
        <v>43234</v>
      </c>
      <c r="J35" s="53">
        <f ca="1">_xll.feAddPeriod(TODAY(),J36,"F","LON,NYC")</f>
        <v>43264</v>
      </c>
      <c r="K35" s="53">
        <f ca="1">_xll.feAddPeriod(TODAY(),K36,"F","LON,NYC")</f>
        <v>43356</v>
      </c>
      <c r="L35" s="53">
        <f ca="1">_xll.feAddPeriod(TODAY(),L36,"F","LON,NYC")</f>
        <v>43447</v>
      </c>
      <c r="M35" s="53">
        <f ca="1">_xll.feAddPeriod(TODAY(),M36,"F","LON,NYC")</f>
        <v>43537</v>
      </c>
      <c r="N35" s="53">
        <f ca="1">_xll.feAddPeriod(TODAY(),N36,"F","LON,NYC")</f>
        <v>43903</v>
      </c>
      <c r="O35" s="53">
        <f ca="1">_xll.feAddPeriod(TODAY(),O36,"F","LON,NYC")</f>
        <v>44270</v>
      </c>
      <c r="P35" s="53">
        <f ca="1">_xll.feAddPeriod(TODAY(),P36,"F","LON,NYC")</f>
        <v>44634</v>
      </c>
      <c r="Q35" s="53">
        <f ca="1">_xll.feAddPeriod(TODAY(),Q36,"F","LON,NYC")</f>
        <v>44998</v>
      </c>
      <c r="R35" s="53">
        <f ca="1">_xll.feAddPeriod(TODAY(),R36,"F","LON,NYC")</f>
        <v>45729</v>
      </c>
      <c r="S35" s="53">
        <f ca="1">_xll.feAddPeriod(TODAY(),S36,"F","LON,NYC")</f>
        <v>46825</v>
      </c>
      <c r="X35" s="134" t="s">
        <v>45</v>
      </c>
      <c r="Y35" s="127">
        <f ca="1">AD23-J37</f>
        <v>-8.6450735374995341E-3</v>
      </c>
      <c r="Z35" s="128"/>
      <c r="AA35" s="129">
        <f ca="1">AD25-J39</f>
        <v>-2.9272908478732151E-3</v>
      </c>
      <c r="AB35" s="128"/>
      <c r="AC35" s="131">
        <f ca="1">AD27-J41</f>
        <v>1.8530353839567026E-3</v>
      </c>
    </row>
    <row r="36" spans="2:46">
      <c r="B36" t="s">
        <v>39</v>
      </c>
      <c r="D36" t="str">
        <f t="array" aca="1" ref="D36:S41" ca="1">_xll.mdrFeLoadFXParams(B36,,,,TODAY())</f>
        <v/>
      </c>
      <c r="E36" s="40" t="str">
        <f ca="1"/>
        <v>Delta</v>
      </c>
      <c r="F36" s="11" t="str">
        <f ca="1"/>
        <v>1B</v>
      </c>
      <c r="G36" s="31" t="str">
        <f ca="1"/>
        <v>1W</v>
      </c>
      <c r="H36" s="31" t="str">
        <f ca="1"/>
        <v>1M</v>
      </c>
      <c r="I36" s="31" t="str">
        <f ca="1"/>
        <v>2M</v>
      </c>
      <c r="J36" s="31" t="str">
        <f ca="1"/>
        <v>3M</v>
      </c>
      <c r="K36" s="31" t="str">
        <f ca="1"/>
        <v>6M</v>
      </c>
      <c r="L36" s="31" t="str">
        <f ca="1"/>
        <v>9M</v>
      </c>
      <c r="M36" s="31" t="str">
        <f ca="1"/>
        <v>1Y</v>
      </c>
      <c r="N36" s="31" t="str">
        <f ca="1"/>
        <v>2Y</v>
      </c>
      <c r="O36" s="31" t="str">
        <f ca="1"/>
        <v>3Y</v>
      </c>
      <c r="P36" s="31" t="str">
        <f ca="1"/>
        <v>4Y</v>
      </c>
      <c r="Q36" s="31" t="str">
        <f ca="1"/>
        <v>5Y</v>
      </c>
      <c r="R36" s="31" t="str">
        <f ca="1"/>
        <v>7Y</v>
      </c>
      <c r="S36" s="32" t="str">
        <f ca="1"/>
        <v>10Y</v>
      </c>
      <c r="X36" s="135" t="s">
        <v>46</v>
      </c>
      <c r="Y36" s="127">
        <f ca="1">AE23-K37</f>
        <v>-8.4255675328790691E-3</v>
      </c>
      <c r="Z36" s="128"/>
      <c r="AA36" s="129">
        <f ca="1">AE25-K39</f>
        <v>-7.0239385459604231E-4</v>
      </c>
      <c r="AB36" s="128"/>
      <c r="AC36" s="131">
        <f ca="1">AE27-K41</f>
        <v>2.0980972973737855E-3</v>
      </c>
    </row>
    <row r="37" spans="2:46">
      <c r="D37" s="11" t="str">
        <f ca="1"/>
        <v>ATM</v>
      </c>
      <c r="E37" s="50">
        <f ca="1"/>
        <v>0</v>
      </c>
      <c r="F37" s="41">
        <f ca="1"/>
        <v>0.10199999999999999</v>
      </c>
      <c r="G37" s="42">
        <f ca="1"/>
        <v>0.10299999999999999</v>
      </c>
      <c r="H37" s="42">
        <f ca="1"/>
        <v>0.10599999999999998</v>
      </c>
      <c r="I37" s="42">
        <f ca="1"/>
        <v>0.10649999999999998</v>
      </c>
      <c r="J37" s="42">
        <f ca="1"/>
        <v>0.10699999999999998</v>
      </c>
      <c r="K37" s="42">
        <f ca="1"/>
        <v>0.11599999999999999</v>
      </c>
      <c r="L37" s="42">
        <f ca="1"/>
        <v>0.12200000000000001</v>
      </c>
      <c r="M37" s="42">
        <f ca="1"/>
        <v>0.12299999999999998</v>
      </c>
      <c r="N37" s="42">
        <f ca="1"/>
        <v>0.13200000000000001</v>
      </c>
      <c r="O37" s="42">
        <f ca="1"/>
        <v>0.14200000000000002</v>
      </c>
      <c r="P37" s="42">
        <f ca="1"/>
        <v>0.15199999999999997</v>
      </c>
      <c r="Q37" s="42">
        <f ca="1"/>
        <v>0.16100000000000006</v>
      </c>
      <c r="R37" s="42">
        <f ca="1"/>
        <v>0.16500000000000001</v>
      </c>
      <c r="S37" s="43">
        <f ca="1"/>
        <v>0.16500000000000001</v>
      </c>
      <c r="W37" s="97"/>
    </row>
    <row r="38" spans="2:46">
      <c r="D38" s="21" t="str">
        <f ca="1"/>
        <v>RR</v>
      </c>
      <c r="E38" s="115">
        <f ca="1"/>
        <v>0.1</v>
      </c>
      <c r="F38" s="109">
        <f ca="1"/>
        <v>1.0010000015753431E-2</v>
      </c>
      <c r="G38" s="110">
        <f ca="1"/>
        <v>1.0010000010320957E-2</v>
      </c>
      <c r="H38" s="110">
        <f ca="1"/>
        <v>1.1830000012186592E-2</v>
      </c>
      <c r="I38" s="110">
        <f ca="1"/>
        <v>1.9320000020259132E-2</v>
      </c>
      <c r="J38" s="110">
        <f ca="1"/>
        <v>2.1275000022506263E-2</v>
      </c>
      <c r="K38" s="110">
        <f ca="1"/>
        <v>2.2440000024405549E-2</v>
      </c>
      <c r="L38" s="110">
        <f ca="1"/>
        <v>2.5245000027494118E-2</v>
      </c>
      <c r="M38" s="110">
        <f ca="1"/>
        <v>2.5380000027782956E-2</v>
      </c>
      <c r="N38" s="110">
        <f ca="1"/>
        <v>2.2080000025146845E-2</v>
      </c>
      <c r="O38" s="110">
        <f ca="1"/>
        <v>2.2425000026229529E-2</v>
      </c>
      <c r="P38" s="110">
        <f ca="1"/>
        <v>1.9968000021929676E-2</v>
      </c>
      <c r="Q38" s="110">
        <f ca="1"/>
        <v>1.9864000020698151E-2</v>
      </c>
      <c r="R38" s="110">
        <f ca="1"/>
        <v>1.1444999990628257E-2</v>
      </c>
      <c r="S38" s="111">
        <f ca="1"/>
        <v>1.0599999985275057E-2</v>
      </c>
    </row>
    <row r="39" spans="2:46">
      <c r="D39" s="21" t="str">
        <f ca="1"/>
        <v>RR</v>
      </c>
      <c r="E39" s="115">
        <f ca="1"/>
        <v>0.25</v>
      </c>
      <c r="F39" s="109">
        <f ca="1"/>
        <v>3.9999999997815811E-3</v>
      </c>
      <c r="G39" s="110">
        <f ca="1"/>
        <v>5.4999999997826649E-3</v>
      </c>
      <c r="H39" s="110">
        <f ca="1"/>
        <v>6.4999999997445851E-3</v>
      </c>
      <c r="I39" s="110">
        <f ca="1"/>
        <v>1.0499999999579138E-2</v>
      </c>
      <c r="J39" s="110">
        <f ca="1"/>
        <v>1.1499999999534619E-2</v>
      </c>
      <c r="K39" s="110">
        <f ca="1"/>
        <v>1.199999999951229E-2</v>
      </c>
      <c r="L39" s="110">
        <f ca="1"/>
        <v>1.3499999999451366E-2</v>
      </c>
      <c r="M39" s="110">
        <f ca="1"/>
        <v>1.3499999999443651E-2</v>
      </c>
      <c r="N39" s="110">
        <f ca="1"/>
        <v>1.1499999999514066E-2</v>
      </c>
      <c r="O39" s="110">
        <f ca="1"/>
        <v>1.149999999950389E-2</v>
      </c>
      <c r="P39" s="110">
        <f ca="1"/>
        <v>1.0399999999534787E-2</v>
      </c>
      <c r="Q39" s="110">
        <f ca="1"/>
        <v>1.0399999999067591E-2</v>
      </c>
      <c r="R39" s="110">
        <f ca="1"/>
        <v>1.0499999999280252E-2</v>
      </c>
      <c r="S39" s="111">
        <f ca="1"/>
        <v>1.0599999999194086E-2</v>
      </c>
      <c r="AI39" s="98"/>
    </row>
    <row r="40" spans="2:46">
      <c r="D40" s="33" t="str">
        <f ca="1"/>
        <v>BF</v>
      </c>
      <c r="E40" s="51">
        <f ca="1"/>
        <v>0.1</v>
      </c>
      <c r="F40" s="44">
        <f ca="1"/>
        <v>1.3771841435662943E-2</v>
      </c>
      <c r="G40" s="45">
        <f ca="1"/>
        <v>1.3681182472310455E-2</v>
      </c>
      <c r="H40" s="45">
        <f ca="1"/>
        <v>1.0096300582967399E-2</v>
      </c>
      <c r="I40" s="45">
        <f ca="1"/>
        <v>1.3178388904014071E-2</v>
      </c>
      <c r="J40" s="45">
        <f ca="1"/>
        <v>1.4807986829669356E-2</v>
      </c>
      <c r="K40" s="45">
        <f ca="1"/>
        <v>1.7672718162530299E-2</v>
      </c>
      <c r="L40" s="45">
        <f ca="1"/>
        <v>1.9995398353203939E-2</v>
      </c>
      <c r="M40" s="45">
        <f ca="1"/>
        <v>2.4599254477013346E-2</v>
      </c>
      <c r="N40" s="45">
        <f ca="1"/>
        <v>2.986722979416101E-2</v>
      </c>
      <c r="O40" s="45">
        <f ca="1"/>
        <v>3.3429390215250231E-2</v>
      </c>
      <c r="P40" s="45">
        <f ca="1"/>
        <v>4.3804652426769487E-2</v>
      </c>
      <c r="Q40" s="45">
        <f ca="1"/>
        <v>4.5684157735957534E-2</v>
      </c>
      <c r="R40" s="45">
        <f ca="1"/>
        <v>5.202618256257116E-2</v>
      </c>
      <c r="S40" s="46">
        <f ca="1"/>
        <v>6.0787302212774862E-2</v>
      </c>
    </row>
    <row r="41" spans="2:46">
      <c r="D41" s="13" t="str">
        <f ca="1"/>
        <v>BF</v>
      </c>
      <c r="E41" s="52">
        <f ca="1"/>
        <v>0.25</v>
      </c>
      <c r="F41" s="47">
        <f ca="1"/>
        <v>5.5371149708906414E-3</v>
      </c>
      <c r="G41" s="48">
        <f ca="1"/>
        <v>4.5470334398989148E-3</v>
      </c>
      <c r="H41" s="48">
        <f ca="1"/>
        <v>3.5699005678821727E-3</v>
      </c>
      <c r="I41" s="48">
        <f ca="1"/>
        <v>4.6804981531009815E-3</v>
      </c>
      <c r="J41" s="48">
        <f ca="1"/>
        <v>5.2210366237791239E-3</v>
      </c>
      <c r="K41" s="48">
        <f ca="1"/>
        <v>5.7428450037877166E-3</v>
      </c>
      <c r="L41" s="48">
        <f ca="1"/>
        <v>6.3074066288807363E-3</v>
      </c>
      <c r="M41" s="48">
        <f ca="1"/>
        <v>7.5323248393366488E-3</v>
      </c>
      <c r="N41" s="48">
        <f ca="1"/>
        <v>8.819408277134122E-3</v>
      </c>
      <c r="O41" s="48">
        <f ca="1"/>
        <v>9.8774389283792299E-3</v>
      </c>
      <c r="P41" s="48">
        <f ca="1"/>
        <v>1.2927718032490741E-2</v>
      </c>
      <c r="Q41" s="48">
        <f ca="1"/>
        <v>1.3478175396957746E-2</v>
      </c>
      <c r="R41" s="48">
        <f ca="1"/>
        <v>1.5580250652071692E-2</v>
      </c>
      <c r="S41" s="49">
        <f ca="1"/>
        <v>1.8289103728403498E-2</v>
      </c>
      <c r="AA41" s="11"/>
      <c r="AB41" s="101" t="str">
        <f ca="1">CreateFXIndex("XAU")</f>
        <v>USD_XAU.18</v>
      </c>
      <c r="AC41" s="32"/>
      <c r="AE41" s="161" t="s">
        <v>159</v>
      </c>
    </row>
    <row r="42" spans="2:46">
      <c r="AA42" s="22" t="s">
        <v>96</v>
      </c>
      <c r="AB42" s="59" t="str">
        <f ca="1">ABVModel("XAU",F35:S35)</f>
        <v>XAU_BlackModel.0</v>
      </c>
      <c r="AC42" s="99"/>
      <c r="AE42" s="161" t="s">
        <v>160</v>
      </c>
    </row>
    <row r="43" spans="2:46">
      <c r="I43" s="3"/>
      <c r="AE43" s="161" t="s">
        <v>161</v>
      </c>
    </row>
    <row r="44" spans="2:46">
      <c r="D44" s="82" t="s">
        <v>95</v>
      </c>
      <c r="E44" s="83" t="s">
        <v>23</v>
      </c>
      <c r="F44" s="83" t="s">
        <v>23</v>
      </c>
      <c r="G44" s="83" t="s">
        <v>23</v>
      </c>
      <c r="H44" s="83" t="s">
        <v>23</v>
      </c>
      <c r="I44" s="83" t="s">
        <v>23</v>
      </c>
      <c r="J44" s="83" t="s">
        <v>23</v>
      </c>
      <c r="K44" s="83" t="s">
        <v>23</v>
      </c>
      <c r="L44" s="83" t="s">
        <v>23</v>
      </c>
      <c r="M44" s="83" t="s">
        <v>23</v>
      </c>
      <c r="N44" s="83" t="s">
        <v>23</v>
      </c>
      <c r="O44" s="83" t="s">
        <v>23</v>
      </c>
      <c r="P44" s="83" t="s">
        <v>23</v>
      </c>
      <c r="Q44" s="83" t="s">
        <v>23</v>
      </c>
      <c r="R44" s="83" t="s">
        <v>23</v>
      </c>
      <c r="S44" s="83" t="s">
        <v>23</v>
      </c>
      <c r="T44" s="83" t="s">
        <v>23</v>
      </c>
      <c r="U44" s="84" t="s">
        <v>23</v>
      </c>
      <c r="AE44" s="161" t="s">
        <v>162</v>
      </c>
      <c r="AG44" s="97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</row>
    <row r="45" spans="2:46">
      <c r="D45" s="81" t="s">
        <v>34</v>
      </c>
      <c r="E45" s="85">
        <f ca="1">E21</f>
        <v>1275</v>
      </c>
      <c r="F45" s="85">
        <f t="shared" ref="F45:U45" ca="1" si="9">F21</f>
        <v>1285</v>
      </c>
      <c r="G45" s="85">
        <f t="shared" ca="1" si="9"/>
        <v>1295</v>
      </c>
      <c r="H45" s="85">
        <f t="shared" ca="1" si="9"/>
        <v>1300</v>
      </c>
      <c r="I45" s="85">
        <f t="shared" ca="1" si="9"/>
        <v>1310</v>
      </c>
      <c r="J45" s="85">
        <f t="shared" ca="1" si="9"/>
        <v>1320</v>
      </c>
      <c r="K45" s="85">
        <f t="shared" ca="1" si="9"/>
        <v>1330</v>
      </c>
      <c r="L45" s="85">
        <f t="shared" ca="1" si="9"/>
        <v>1340</v>
      </c>
      <c r="M45" s="85">
        <f t="shared" ca="1" si="9"/>
        <v>1350</v>
      </c>
      <c r="N45" s="85">
        <f t="shared" ca="1" si="9"/>
        <v>1360</v>
      </c>
      <c r="O45" s="85">
        <f t="shared" ca="1" si="9"/>
        <v>1370</v>
      </c>
      <c r="P45" s="85">
        <f t="shared" ca="1" si="9"/>
        <v>1380</v>
      </c>
      <c r="Q45" s="85">
        <f t="shared" ca="1" si="9"/>
        <v>1390</v>
      </c>
      <c r="R45" s="85">
        <f t="shared" ca="1" si="9"/>
        <v>1400</v>
      </c>
      <c r="S45" s="85">
        <f t="shared" ca="1" si="9"/>
        <v>1410</v>
      </c>
      <c r="T45" s="85">
        <f t="shared" ca="1" si="9"/>
        <v>1420</v>
      </c>
      <c r="U45" s="84">
        <f t="shared" ca="1" si="9"/>
        <v>1430</v>
      </c>
      <c r="AE45" s="161" t="s">
        <v>163</v>
      </c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</row>
    <row r="46" spans="2:46">
      <c r="D46" s="78">
        <f t="shared" ref="D46:D53" ca="1" si="10">D6</f>
        <v>43191</v>
      </c>
      <c r="E46" s="87">
        <f ca="1">_xll.feImpliedVol(TODAY(),"E",E$44,E$45,$AA6,$V6,E6,0)</f>
        <v>0.14380444514732355</v>
      </c>
      <c r="F46" s="87">
        <f ca="1">_xll.feImpliedVol(TODAY(),"E",F$44,F$45,$AA6,$V6,F6,0)</f>
        <v>0.12939734219856869</v>
      </c>
      <c r="G46" s="87">
        <f ca="1">_xll.feImpliedVol(TODAY(),"E",G$44,G$45,$AA6,$V6,G6,0)</f>
        <v>0.11387449014128245</v>
      </c>
      <c r="H46" s="87">
        <f ca="1">_xll.feImpliedVol(TODAY(),"E",H$44,H$45,$AA6,$V6,H6,0)</f>
        <v>0.10976462833714765</v>
      </c>
      <c r="I46" s="87">
        <f ca="1">_xll.feImpliedVol(TODAY(),"E",I$44,I$45,$AA6,$V6,I6,0)</f>
        <v>0.10180721125824292</v>
      </c>
      <c r="J46" s="87">
        <f ca="1">_xll.feImpliedVol(TODAY(),"E",J$44,J$45,$AA6,$V6,J6,0)</f>
        <v>9.5260347788500205E-2</v>
      </c>
      <c r="K46" s="87">
        <f ca="1">_xll.feImpliedVol(TODAY(),"E",K$44,K$45,$AA6,$V6,K6,0)</f>
        <v>9.7244495408291415E-2</v>
      </c>
      <c r="L46" s="87">
        <f ca="1">_xll.feImpliedVol(TODAY(),"E",L$44,L$45,$AA6,$V6,L6,0)</f>
        <v>0.10056645220236646</v>
      </c>
      <c r="M46" s="87">
        <f ca="1">_xll.feImpliedVol(TODAY(),"E",M$44,M$45,$AA6,$V6,M6,0)</f>
        <v>0.10459901420668331</v>
      </c>
      <c r="N46" s="87">
        <f ca="1">_xll.feImpliedVol(TODAY(),"E",N$44,N$45,$AA6,$V6,N6,0)</f>
        <v>0.11159629900148602</v>
      </c>
      <c r="O46" s="87">
        <f ca="1">_xll.feImpliedVol(TODAY(),"E",O$44,O$45,$AA6,$V6,O6,0)</f>
        <v>0.12000824021556386</v>
      </c>
      <c r="P46" s="87">
        <f ca="1">_xll.feImpliedVol(TODAY(),"E",P$44,P$45,$AA6,$V6,P6,0)</f>
        <v>0.12716866234659807</v>
      </c>
      <c r="Q46" s="87">
        <f ca="1">_xll.feImpliedVol(TODAY(),"E",Q$44,Q$45,$AA6,$V6,Q6,0)</f>
        <v>0.1365611606138584</v>
      </c>
      <c r="R46" s="87">
        <f ca="1">_xll.feImpliedVol(TODAY(),"E",R$44,R$45,$AA6,$V6,R6,0)</f>
        <v>0.14785879560016502</v>
      </c>
      <c r="S46" s="87">
        <f ca="1">_xll.feImpliedVol(TODAY(),"E",S$44,S$45,$AA6,$V6,S6,0)</f>
        <v>0.15679199034695429</v>
      </c>
      <c r="T46" s="87">
        <f ca="1">_xll.feImpliedVol(TODAY(),"E",T$44,T$45,$AA6,$V6,T6,0)</f>
        <v>0.17209154475148988</v>
      </c>
      <c r="U46" s="88">
        <f ca="1">_xll.feImpliedVol(TODAY(),"E",U$44,U$45,$AA6,$V6,U6,0)</f>
        <v>0.17679143567089942</v>
      </c>
      <c r="Y46" t="e">
        <f t="array" aca="1" ref="Y46:Y54" ca="1">FutMonthsList()</f>
        <v>#VALUE!</v>
      </c>
      <c r="Z46" t="e">
        <f t="array" aca="1" ref="Z46:AB46" ca="1">FutMonthsList()</f>
        <v>#VALUE!</v>
      </c>
      <c r="AA46" t="e">
        <f ca="1"/>
        <v>#VALUE!</v>
      </c>
      <c r="AB46" t="e">
        <f ca="1"/>
        <v>#VALUE!</v>
      </c>
      <c r="AE46" s="161" t="s">
        <v>164</v>
      </c>
    </row>
    <row r="47" spans="2:46">
      <c r="D47" s="79">
        <f t="shared" ca="1" si="10"/>
        <v>43221</v>
      </c>
      <c r="E47" s="89">
        <f ca="1">_xll.feImpliedVol(TODAY(),"E",E$44,E$45,$AA7,$V7,E7,0)</f>
        <v>0.1076230835448147</v>
      </c>
      <c r="F47" s="89">
        <f ca="1">_xll.feImpliedVol(TODAY(),"E",F$44,F$45,$AA7,$V7,F7,0)</f>
        <v>0.1018767858336216</v>
      </c>
      <c r="G47" s="89">
        <f ca="1">_xll.feImpliedVol(TODAY(),"E",G$44,G$45,$AA7,$V7,G7,0)</f>
        <v>9.8697733736407098E-2</v>
      </c>
      <c r="H47" s="89">
        <f ca="1">_xll.feImpliedVol(TODAY(),"E",H$44,H$45,$AA7,$V7,H7,0)</f>
        <v>9.7268034690585634E-2</v>
      </c>
      <c r="I47" s="89">
        <f ca="1">_xll.feImpliedVol(TODAY(),"E",I$44,I$45,$AA7,$V7,I7,0)</f>
        <v>9.4107548345035763E-2</v>
      </c>
      <c r="J47" s="89">
        <f ca="1">_xll.feImpliedVol(TODAY(),"E",J$44,J$45,$AA7,$V7,J7,0)</f>
        <v>9.3828281098928767E-2</v>
      </c>
      <c r="K47" s="89">
        <f ca="1">_xll.feImpliedVol(TODAY(),"E",K$44,K$45,$AA7,$V7,K7,0)</f>
        <v>9.4150498427299001E-2</v>
      </c>
      <c r="L47" s="89">
        <f ca="1">_xll.feImpliedVol(TODAY(),"E",L$44,L$45,$AA7,$V7,L7,0)</f>
        <v>9.544182158857574E-2</v>
      </c>
      <c r="M47" s="89">
        <f ca="1">_xll.feImpliedVol(TODAY(),"E",M$44,M$45,$AA7,$V7,M7,0)</f>
        <v>9.687677164855614E-2</v>
      </c>
      <c r="N47" s="89">
        <f ca="1">_xll.feImpliedVol(TODAY(),"E",N$44,N$45,$AA7,$V7,N7,0)</f>
        <v>9.9100055133161308E-2</v>
      </c>
      <c r="O47" s="89">
        <f ca="1">_xll.feImpliedVol(TODAY(),"E",O$44,O$45,$AA7,$V7,O7,0)</f>
        <v>0.101818817206091</v>
      </c>
      <c r="P47" s="89">
        <f ca="1">_xll.feImpliedVol(TODAY(),"E",P$44,P$45,$AA7,$V7,P7,0)</f>
        <v>0.10461215131680265</v>
      </c>
      <c r="Q47" s="89">
        <f ca="1">_xll.feImpliedVol(TODAY(),"E",Q$44,Q$45,$AA7,$V7,Q7,0)</f>
        <v>0.10761258494945108</v>
      </c>
      <c r="R47" s="89">
        <f ca="1">_xll.feImpliedVol(TODAY(),"E",R$44,R$45,$AA7,$V7,R7,0)</f>
        <v>0.11204835428119553</v>
      </c>
      <c r="S47" s="89">
        <f ca="1">_xll.feImpliedVol(TODAY(),"E",S$44,S$45,$AA7,$V7,S7,0)</f>
        <v>0.11542978084469353</v>
      </c>
      <c r="T47" s="89">
        <f ca="1">_xll.feImpliedVol(TODAY(),"E",T$44,T$45,$AA7,$V7,T7,0)</f>
        <v>0.11966338223151272</v>
      </c>
      <c r="U47" s="90">
        <f ca="1">_xll.feImpliedVol(TODAY(),"E",U$44,U$45,$AA7,$V7,U7,0)</f>
        <v>0.12397893273556196</v>
      </c>
      <c r="Y47" t="e">
        <f ca="1"/>
        <v>#VALUE!</v>
      </c>
      <c r="Z47">
        <f t="array" aca="1" ref="Z47:AB49" ca="1">FutPriceList()</f>
        <v>1327</v>
      </c>
      <c r="AA47">
        <f ca="1"/>
        <v>1332.8000000000002</v>
      </c>
      <c r="AB47">
        <f ca="1"/>
        <v>1332.8000000000002</v>
      </c>
      <c r="AE47" s="161" t="s">
        <v>165</v>
      </c>
    </row>
    <row r="48" spans="2:46">
      <c r="D48" s="79">
        <f t="shared" ca="1" si="10"/>
        <v>43252</v>
      </c>
      <c r="E48" s="89">
        <f ca="1">_xll.feImpliedVol(TODAY(),"E",E$44,E$45,$AA8,$V8,E8,0)</f>
        <v>0.10114006060858437</v>
      </c>
      <c r="F48" s="89">
        <f ca="1">_xll.feImpliedVol(TODAY(),"E",F$44,F$45,$AA8,$V8,F8,0)</f>
        <v>9.9302585814780978E-2</v>
      </c>
      <c r="G48" s="89">
        <f ca="1">_xll.feImpliedVol(TODAY(),"E",G$44,G$45,$AA8,$V8,G8,0)</f>
        <v>9.6809394429540174E-2</v>
      </c>
      <c r="H48" s="89">
        <f ca="1">_xll.feImpliedVol(TODAY(),"E",H$44,H$45,$AA8,$V8,H8,0)</f>
        <v>9.6977054392986442E-2</v>
      </c>
      <c r="I48" s="89">
        <f ca="1">_xll.feImpliedVol(TODAY(),"E",I$44,I$45,$AA8,$V8,I8,0)</f>
        <v>9.6043908990502871E-2</v>
      </c>
      <c r="J48" s="89">
        <f ca="1">_xll.feImpliedVol(TODAY(),"E",J$44,J$45,$AA8,$V8,J8,0)</f>
        <v>9.6281830573623189E-2</v>
      </c>
      <c r="K48" s="89">
        <f ca="1">_xll.feImpliedVol(TODAY(),"E",K$44,K$45,$AA8,$V8,K8,0)</f>
        <v>9.7388999221545328E-2</v>
      </c>
      <c r="L48" s="89">
        <f ca="1">_xll.feImpliedVol(TODAY(),"E",L$44,L$45,$AA8,$V8,L8,0)</f>
        <v>9.8079996904542388E-2</v>
      </c>
      <c r="M48" s="89">
        <f ca="1">_xll.feImpliedVol(TODAY(),"E",M$44,M$45,$AA8,$V8,M8,0)</f>
        <v>9.9344982988467306E-2</v>
      </c>
      <c r="N48" s="89">
        <f ca="1">_xll.feImpliedVol(TODAY(),"E",N$44,N$45,$AA8,$V8,N8,0)</f>
        <v>0.10102158547074318</v>
      </c>
      <c r="O48" s="89">
        <f ca="1">_xll.feImpliedVol(TODAY(),"E",O$44,O$45,$AA8,$V8,O8,0)</f>
        <v>0.10302374699914642</v>
      </c>
      <c r="P48" s="89">
        <f ca="1">_xll.feImpliedVol(TODAY(),"E",P$44,P$45,$AA8,$V8,P8,0)</f>
        <v>0.10528461096125286</v>
      </c>
      <c r="Q48" s="89">
        <f ca="1">_xll.feImpliedVol(TODAY(),"E",Q$44,Q$45,$AA8,$V8,Q8,0)</f>
        <v>0.10770435849618881</v>
      </c>
      <c r="R48" s="89">
        <f ca="1">_xll.feImpliedVol(TODAY(),"E",R$44,R$45,$AA8,$V8,R8,0)</f>
        <v>0.10940235030576137</v>
      </c>
      <c r="S48" s="89">
        <f ca="1">_xll.feImpliedVol(TODAY(),"E",S$44,S$45,$AA8,$V8,S8,0)</f>
        <v>0.11207657891078025</v>
      </c>
      <c r="T48" s="89">
        <f ca="1">_xll.feImpliedVol(TODAY(),"E",T$44,T$45,$AA8,$V8,T8,0)</f>
        <v>0.11390547286033463</v>
      </c>
      <c r="U48" s="90">
        <f ca="1">_xll.feImpliedVol(TODAY(),"E",U$44,U$45,$AA8,$V8,U8,0)</f>
        <v>0.1169590192252189</v>
      </c>
      <c r="Y48" t="e">
        <f ca="1"/>
        <v>#VALUE!</v>
      </c>
      <c r="Z48">
        <f ca="1"/>
        <v>1327</v>
      </c>
      <c r="AA48">
        <f ca="1"/>
        <v>1332.8000000000002</v>
      </c>
      <c r="AB48">
        <f ca="1"/>
        <v>1332.8000000000002</v>
      </c>
    </row>
    <row r="49" spans="4:28">
      <c r="D49" s="79">
        <f t="shared" ca="1" si="10"/>
        <v>43282</v>
      </c>
      <c r="E49" s="89">
        <f ca="1">_xll.feImpliedVol(TODAY(),"E",E$44,E$45,$AA9,$V9,E9,0)</f>
        <v>0.10309386796464763</v>
      </c>
      <c r="F49" s="89">
        <f ca="1">_xll.feImpliedVol(TODAY(),"E",F$44,F$45,$AA9,$V9,F9,0)</f>
        <v>0.1013548717323608</v>
      </c>
      <c r="G49" s="89">
        <f ca="1">_xll.feImpliedVol(TODAY(),"E",G$44,G$45,$AA9,$V9,G9,0)</f>
        <v>0.10064527840814869</v>
      </c>
      <c r="H49" s="89">
        <f ca="1">_xll.feImpliedVol(TODAY(),"E",H$44,H$45,$AA9,$V9,H9,0)</f>
        <v>0.10001866795531758</v>
      </c>
      <c r="I49" s="89">
        <f ca="1">_xll.feImpliedVol(TODAY(),"E",I$44,I$45,$AA9,$V9,I9,0)</f>
        <v>9.9749131358608037E-2</v>
      </c>
      <c r="J49" s="89">
        <f ca="1">_xll.feImpliedVol(TODAY(),"E",J$44,J$45,$AA9,$V9,J9,0)</f>
        <v>9.9769123251178995E-2</v>
      </c>
      <c r="K49" s="89">
        <f ca="1">_xll.feImpliedVol(TODAY(),"E",K$44,K$45,$AA9,$V9,K9,0)</f>
        <v>0.10032263860869377</v>
      </c>
      <c r="L49" s="89">
        <f ca="1">_xll.feImpliedVol(TODAY(),"E",L$44,L$45,$AA9,$V9,L9,0)</f>
        <v>0.10066402392640093</v>
      </c>
      <c r="M49" s="89">
        <f ca="1">_xll.feImpliedVol(TODAY(),"E",M$44,M$45,$AA9,$V9,M9,0)</f>
        <v>0.10153365863105365</v>
      </c>
      <c r="N49" s="89">
        <f ca="1">_xll.feImpliedVol(TODAY(),"E",N$44,N$45,$AA9,$V9,N9,0)</f>
        <v>0.10267449832466732</v>
      </c>
      <c r="O49" s="89">
        <f ca="1">_xll.feImpliedVol(TODAY(),"E",O$44,O$45,$AA9,$V9,O9,0)</f>
        <v>0.10387147532211244</v>
      </c>
      <c r="P49" s="89">
        <f ca="1">_xll.feImpliedVol(TODAY(),"E",P$44,P$45,$AA9,$V9,P9,0)</f>
        <v>0.10569617521741062</v>
      </c>
      <c r="Q49" s="89">
        <f ca="1">_xll.feImpliedVol(TODAY(),"E",Q$44,Q$45,$AA9,$V9,Q9,0)</f>
        <v>0.10761553169938461</v>
      </c>
      <c r="R49" s="89">
        <f ca="1">_xll.feImpliedVol(TODAY(),"E",R$44,R$45,$AA9,$V9,R9,0)</f>
        <v>0.10940740755427524</v>
      </c>
      <c r="S49" s="89">
        <f ca="1">_xll.feImpliedVol(TODAY(),"E",S$44,S$45,$AA9,$V9,S9,0)</f>
        <v>0.11125498099723458</v>
      </c>
      <c r="T49" s="89">
        <f ca="1">_xll.feImpliedVol(TODAY(),"E",T$44,T$45,$AA9,$V9,T9,0)</f>
        <v>0.11338946423666819</v>
      </c>
      <c r="U49" s="90">
        <f ca="1">_xll.feImpliedVol(TODAY(),"E",U$44,U$45,$AA9,$V9,U9,0)</f>
        <v>0.11491440811198739</v>
      </c>
      <c r="Y49" t="e">
        <f ca="1"/>
        <v>#VALUE!</v>
      </c>
      <c r="Z49">
        <f ca="1"/>
        <v>1327</v>
      </c>
      <c r="AA49">
        <f ca="1"/>
        <v>1332.8000000000002</v>
      </c>
      <c r="AB49">
        <f ca="1"/>
        <v>1332.8000000000002</v>
      </c>
    </row>
    <row r="50" spans="4:28">
      <c r="D50" s="79">
        <f t="shared" ca="1" si="10"/>
        <v>43313</v>
      </c>
      <c r="E50" s="89">
        <f ca="1">_xll.feImpliedVol(TODAY(),"E",E$44,E$45,$AA10,$V10,E10,0)</f>
        <v>0.10420681421397711</v>
      </c>
      <c r="F50" s="89">
        <f ca="1">_xll.feImpliedVol(TODAY(),"E",F$44,F$45,$AA10,$V10,F10,0)</f>
        <v>0.10344256320646783</v>
      </c>
      <c r="G50" s="89">
        <f ca="1">_xll.feImpliedVol(TODAY(),"E",G$44,G$45,$AA10,$V10,G10,0)</f>
        <v>0.10276987353396617</v>
      </c>
      <c r="H50" s="89">
        <f ca="1">_xll.feImpliedVol(TODAY(),"E",H$44,H$45,$AA10,$V10,H10,0)</f>
        <v>0.10207846213918399</v>
      </c>
      <c r="I50" s="89">
        <f ca="1">_xll.feImpliedVol(TODAY(),"E",I$44,I$45,$AA10,$V10,I10,0)</f>
        <v>0.10200652077656165</v>
      </c>
      <c r="J50" s="89">
        <f ca="1">_xll.feImpliedVol(TODAY(),"E",J$44,J$45,$AA10,$V10,J10,0)</f>
        <v>0.10236731342344947</v>
      </c>
      <c r="K50" s="89">
        <f ca="1">_xll.feImpliedVol(TODAY(),"E",K$44,K$45,$AA10,$V10,K10,0)</f>
        <v>0.10247052477634862</v>
      </c>
      <c r="L50" s="89">
        <f ca="1">_xll.feImpliedVol(TODAY(),"E",L$44,L$45,$AA10,$V10,L10,0)</f>
        <v>0.10324895186876841</v>
      </c>
      <c r="M50" s="89">
        <f ca="1">_xll.feImpliedVol(TODAY(),"E",M$44,M$45,$AA10,$V10,M10,0)</f>
        <v>0.10410883294261886</v>
      </c>
      <c r="N50" s="89">
        <f ca="1">_xll.feImpliedVol(TODAY(),"E",N$44,N$45,$AA10,$V10,N10,0)</f>
        <v>0.10511436404861144</v>
      </c>
      <c r="O50" s="89">
        <f ca="1">_xll.feImpliedVol(TODAY(),"E",O$44,O$45,$AA10,$V10,O10,0)</f>
        <v>0.10636160012273214</v>
      </c>
      <c r="P50" s="89">
        <f ca="1">_xll.feImpliedVol(TODAY(),"E",P$44,P$45,$AA10,$V10,P10,0)</f>
        <v>0.10764421645917879</v>
      </c>
      <c r="Q50" s="89">
        <f ca="1">_xll.feImpliedVol(TODAY(),"E",Q$44,Q$45,$AA10,$V10,Q10,0)</f>
        <v>0.10944144556440152</v>
      </c>
      <c r="R50" s="89">
        <f ca="1">_xll.feImpliedVol(TODAY(),"E",R$44,R$45,$AA10,$V10,R10,0)</f>
        <v>0.1112195368540654</v>
      </c>
      <c r="S50" s="89">
        <f ca="1">_xll.feImpliedVol(TODAY(),"E",S$44,S$45,$AA10,$V10,S10,0)</f>
        <v>0.11311200718902059</v>
      </c>
      <c r="T50" s="89">
        <f ca="1">_xll.feImpliedVol(TODAY(),"E",T$44,T$45,$AA10,$V10,T10,0)</f>
        <v>0.1148521025939236</v>
      </c>
      <c r="U50" s="90">
        <f ca="1">_xll.feImpliedVol(TODAY(),"E",U$44,U$45,$AA10,$V10,U10,0)</f>
        <v>0.11699834274169804</v>
      </c>
      <c r="Y50" t="e">
        <f ca="1"/>
        <v>#VALUE!</v>
      </c>
    </row>
    <row r="51" spans="4:28">
      <c r="D51" s="79">
        <f t="shared" ca="1" si="10"/>
        <v>43344</v>
      </c>
      <c r="E51" s="89">
        <f ca="1">_xll.feImpliedVol(TODAY(),"E",E$44,E$45,$AA11,$V11,E11,0)</f>
        <v>0.10709962766525714</v>
      </c>
      <c r="F51" s="89">
        <f ca="1">_xll.feImpliedVol(TODAY(),"E",F$44,F$45,$AA11,$V11,F11,0)</f>
        <v>0.10637847204867577</v>
      </c>
      <c r="G51" s="89">
        <f ca="1">_xll.feImpliedVol(TODAY(),"E",G$44,G$45,$AA11,$V11,G11,0)</f>
        <v>0.10555602851336604</v>
      </c>
      <c r="H51" s="89">
        <f ca="1">_xll.feImpliedVol(TODAY(),"E",H$44,H$45,$AA11,$V11,H11,0)</f>
        <v>0.10551869431339819</v>
      </c>
      <c r="I51" s="89">
        <f ca="1">_xll.feImpliedVol(TODAY(),"E",I$44,I$45,$AA11,$V11,I11,0)</f>
        <v>0.10516905772075404</v>
      </c>
      <c r="J51" s="89">
        <f ca="1">_xll.feImpliedVol(TODAY(),"E",J$44,J$45,$AA11,$V11,J11,0)</f>
        <v>0.10512349304944527</v>
      </c>
      <c r="K51" s="89">
        <f ca="1">_xll.feImpliedVol(TODAY(),"E",K$44,K$45,$AA11,$V11,K11,0)</f>
        <v>0.10560348370090081</v>
      </c>
      <c r="L51" s="89">
        <f ca="1">_xll.feImpliedVol(TODAY(),"E",L$44,L$45,$AA11,$V11,L11,0)</f>
        <v>0.10602162458982869</v>
      </c>
      <c r="M51" s="89">
        <f ca="1">_xll.feImpliedVol(TODAY(),"E",M$44,M$45,$AA11,$V11,M11,0)</f>
        <v>0.10639591995981065</v>
      </c>
      <c r="N51" s="89">
        <f ca="1">_xll.feImpliedVol(TODAY(),"E",N$44,N$45,$AA11,$V11,N11,0)</f>
        <v>0.10730544797029534</v>
      </c>
      <c r="O51" s="89">
        <f ca="1">_xll.feImpliedVol(TODAY(),"E",O$44,O$45,$AA11,$V11,O11,0)</f>
        <v>0.10825041248713285</v>
      </c>
      <c r="P51" s="89">
        <f ca="1">_xll.feImpliedVol(TODAY(),"E",P$44,P$45,$AA11,$V11,P11,0)</f>
        <v>0.10929547044515511</v>
      </c>
      <c r="Q51" s="89">
        <f ca="1">_xll.feImpliedVol(TODAY(),"E",Q$44,Q$45,$AA11,$V11,Q11,0)</f>
        <v>0.11081917600112678</v>
      </c>
      <c r="R51" s="89">
        <f ca="1">_xll.feImpliedVol(TODAY(),"E",R$44,R$45,$AA11,$V11,R11,0)</f>
        <v>0.1123368054773921</v>
      </c>
      <c r="S51" s="89">
        <f ca="1">_xll.feImpliedVol(TODAY(),"E",S$44,S$45,$AA11,$V11,S11,0)</f>
        <v>0.1139362320341097</v>
      </c>
      <c r="T51" s="89">
        <f ca="1">_xll.feImpliedVol(TODAY(),"E",T$44,T$45,$AA11,$V11,T11,0)</f>
        <v>0.11571939367259999</v>
      </c>
      <c r="U51" s="90">
        <f ca="1">_xll.feImpliedVol(TODAY(),"E",U$44,U$45,$AA11,$V11,U11,0)</f>
        <v>0.11744661037651766</v>
      </c>
      <c r="Y51" t="e">
        <f ca="1"/>
        <v>#VALUE!</v>
      </c>
    </row>
    <row r="52" spans="4:28">
      <c r="D52" s="79">
        <f t="shared" ca="1" si="10"/>
        <v>43374</v>
      </c>
      <c r="E52" s="89">
        <f ca="1">_xll.feImpliedVol(TODAY(),"E",E$44,E$45,$AA12,$V12,E12,0)</f>
        <v>0.1094743437628857</v>
      </c>
      <c r="F52" s="89">
        <f ca="1">_xll.feImpliedVol(TODAY(),"E",F$44,F$45,$AA12,$V12,F12,0)</f>
        <v>0.10906220152906387</v>
      </c>
      <c r="G52" s="89">
        <f ca="1">_xll.feImpliedVol(TODAY(),"E",G$44,G$45,$AA12,$V12,G12,0)</f>
        <v>0.10858549253046305</v>
      </c>
      <c r="H52" s="89">
        <f ca="1">_xll.feImpliedVol(TODAY(),"E",H$44,H$45,$AA12,$V12,H12,0)</f>
        <v>0.10827580020473024</v>
      </c>
      <c r="I52" s="89">
        <f ca="1">_xll.feImpliedVol(TODAY(),"E",I$44,I$45,$AA12,$V12,I12,0)</f>
        <v>0.10695729282650111</v>
      </c>
      <c r="J52" s="89">
        <f ca="1">_xll.feImpliedVol(TODAY(),"E",J$44,J$45,$AA12,$V12,J12,0)</f>
        <v>0.10712411200792447</v>
      </c>
      <c r="K52" s="89">
        <f ca="1">_xll.feImpliedVol(TODAY(),"E",K$44,K$45,$AA12,$V12,K12,0)</f>
        <v>0.10734048043360518</v>
      </c>
      <c r="L52" s="89">
        <f ca="1">_xll.feImpliedVol(TODAY(),"E",L$44,L$45,$AA12,$V12,L12,0)</f>
        <v>0.10760220764277015</v>
      </c>
      <c r="M52" s="89">
        <f ca="1">_xll.feImpliedVol(TODAY(),"E",M$44,M$45,$AA12,$V12,M12,0)</f>
        <v>0.10817258590548715</v>
      </c>
      <c r="N52" s="89">
        <f ca="1">_xll.feImpliedVol(TODAY(),"E",N$44,N$45,$AA12,$V12,N12,0)</f>
        <v>0.10907441617519968</v>
      </c>
      <c r="O52" s="89">
        <f ca="1">_xll.feImpliedVol(TODAY(),"E",O$44,O$45,$AA12,$V12,O12,0)</f>
        <v>0.11009486349216267</v>
      </c>
      <c r="P52" s="89">
        <f ca="1">_xll.feImpliedVol(TODAY(),"E",P$44,P$45,$AA12,$V12,P12,0)</f>
        <v>0.11102502129844066</v>
      </c>
      <c r="Q52" s="89">
        <f ca="1">_xll.feImpliedVol(TODAY(),"E",Q$44,Q$45,$AA12,$V12,Q12,0)</f>
        <v>0.11218460459934283</v>
      </c>
      <c r="R52" s="89">
        <f ca="1">_xll.feImpliedVol(TODAY(),"E",R$44,R$45,$AA12,$V12,R12,0)</f>
        <v>0.11365424426101069</v>
      </c>
      <c r="S52" s="89">
        <f ca="1">_xll.feImpliedVol(TODAY(),"E",S$44,S$45,$AA12,$V12,S12,0)</f>
        <v>0.11495039471618117</v>
      </c>
      <c r="T52" s="89">
        <f ca="1">_xll.feImpliedVol(TODAY(),"E",T$44,T$45,$AA12,$V12,T12,0)</f>
        <v>0.11642319019110517</v>
      </c>
      <c r="U52" s="90">
        <f ca="1">_xll.feImpliedVol(TODAY(),"E",U$44,U$45,$AA12,$V12,U12,0)</f>
        <v>0.11816463525996435</v>
      </c>
      <c r="Y52" t="e">
        <f ca="1"/>
        <v>#VALUE!</v>
      </c>
    </row>
    <row r="53" spans="4:28">
      <c r="D53" s="80">
        <f t="shared" ca="1" si="10"/>
        <v>43435</v>
      </c>
      <c r="E53" s="91">
        <f ca="1">_xll.feImpliedVol(TODAY(),"E",E$44,E$45,$AA13,$V13,E13,0)</f>
        <v>0.11257733167827677</v>
      </c>
      <c r="F53" s="91">
        <f ca="1">_xll.feImpliedVol(TODAY(),"E",F$44,F$45,$AA13,$V13,F13,0)</f>
        <v>0.11227225188704065</v>
      </c>
      <c r="G53" s="91">
        <f ca="1">_xll.feImpliedVol(TODAY(),"E",G$44,G$45,$AA13,$V13,G13,0)</f>
        <v>0.11201344629283164</v>
      </c>
      <c r="H53" s="91">
        <f ca="1">_xll.feImpliedVol(TODAY(),"E",H$44,H$45,$AA13,$V13,H13,0)</f>
        <v>0.11186132328187974</v>
      </c>
      <c r="I53" s="91">
        <f ca="1">_xll.feImpliedVol(TODAY(),"E",I$44,I$45,$AA13,$V13,I13,0)</f>
        <v>0.11150247216212779</v>
      </c>
      <c r="J53" s="91">
        <f ca="1">_xll.feImpliedVol(TODAY(),"E",J$44,J$45,$AA13,$V13,J13,0)</f>
        <v>0.11182741576423316</v>
      </c>
      <c r="K53" s="91">
        <f ca="1">_xll.feImpliedVol(TODAY(),"E",K$44,K$45,$AA13,$V13,K13,0)</f>
        <v>0.11165416820372291</v>
      </c>
      <c r="L53" s="91">
        <f ca="1">_xll.feImpliedVol(TODAY(),"E",L$44,L$45,$AA13,$V13,L13,0)</f>
        <v>0.11233848345971709</v>
      </c>
      <c r="M53" s="91">
        <f ca="1">_xll.feImpliedVol(TODAY(),"E",M$44,M$45,$AA13,$V13,M13,0)</f>
        <v>0.11253573710607535</v>
      </c>
      <c r="N53" s="91">
        <f ca="1">_xll.feImpliedVol(TODAY(),"E",N$44,N$45,$AA13,$V13,N13,0)</f>
        <v>0.11314805313639256</v>
      </c>
      <c r="O53" s="91">
        <f ca="1">_xll.feImpliedVol(TODAY(),"E",O$44,O$45,$AA13,$V13,O13,0)</f>
        <v>0.11397183610731002</v>
      </c>
      <c r="P53" s="91">
        <f ca="1">_xll.feImpliedVol(TODAY(),"E",P$44,P$45,$AA13,$V13,P13,0)</f>
        <v>0.11481349062910126</v>
      </c>
      <c r="Q53" s="91">
        <f ca="1">_xll.feImpliedVol(TODAY(),"E",Q$44,Q$45,$AA13,$V13,Q13,0)</f>
        <v>0.11570393945621815</v>
      </c>
      <c r="R53" s="91">
        <f ca="1">_xll.feImpliedVol(TODAY(),"E",R$44,R$45,$AA13,$V13,R13,0)</f>
        <v>0.11691009571477816</v>
      </c>
      <c r="S53" s="91">
        <f ca="1">_xll.feImpliedVol(TODAY(),"E",S$44,S$45,$AA13,$V13,S13,0)</f>
        <v>0.11825233809280482</v>
      </c>
      <c r="T53" s="91">
        <f ca="1">_xll.feImpliedVol(TODAY(),"E",T$44,T$45,$AA13,$V13,T13,0)</f>
        <v>0.11953759023531031</v>
      </c>
      <c r="U53" s="92">
        <f ca="1">_xll.feImpliedVol(TODAY(),"E",U$44,U$45,$AA13,$V13,U13,0)</f>
        <v>0.12055020307391456</v>
      </c>
      <c r="Y53" t="e">
        <f ca="1"/>
        <v>#VALUE!</v>
      </c>
    </row>
    <row r="54" spans="4:28">
      <c r="Y54" t="e">
        <f ca="1"/>
        <v>#VALUE!</v>
      </c>
    </row>
    <row r="55" spans="4:28">
      <c r="Z55">
        <f t="array" aca="1" ref="Z55:AB58" ca="1">StrikeList()</f>
        <v>1275</v>
      </c>
      <c r="AA55">
        <f ca="1"/>
        <v>1285</v>
      </c>
      <c r="AB55">
        <f ca="1"/>
        <v>1295</v>
      </c>
    </row>
    <row r="56" spans="4:28">
      <c r="D56" s="82" t="s">
        <v>95</v>
      </c>
      <c r="E56" s="83" t="str">
        <f ca="1">E44</f>
        <v>C</v>
      </c>
      <c r="F56" s="83" t="str">
        <f t="shared" ref="F56:U56" ca="1" si="11">F44</f>
        <v>C</v>
      </c>
      <c r="G56" s="83" t="str">
        <f t="shared" ca="1" si="11"/>
        <v>C</v>
      </c>
      <c r="H56" s="83" t="str">
        <f t="shared" ca="1" si="11"/>
        <v>C</v>
      </c>
      <c r="I56" s="83" t="str">
        <f t="shared" ca="1" si="11"/>
        <v>C</v>
      </c>
      <c r="J56" s="83" t="str">
        <f t="shared" ca="1" si="11"/>
        <v>C</v>
      </c>
      <c r="K56" s="83" t="str">
        <f t="shared" ca="1" si="11"/>
        <v>C</v>
      </c>
      <c r="L56" s="83" t="str">
        <f t="shared" ca="1" si="11"/>
        <v>C</v>
      </c>
      <c r="M56" s="83" t="str">
        <f t="shared" ca="1" si="11"/>
        <v>C</v>
      </c>
      <c r="N56" s="83" t="str">
        <f t="shared" ca="1" si="11"/>
        <v>C</v>
      </c>
      <c r="O56" s="83" t="str">
        <f t="shared" ca="1" si="11"/>
        <v>C</v>
      </c>
      <c r="P56" s="83" t="str">
        <f t="shared" ca="1" si="11"/>
        <v>C</v>
      </c>
      <c r="Q56" s="83" t="str">
        <f t="shared" ca="1" si="11"/>
        <v>C</v>
      </c>
      <c r="R56" s="83" t="str">
        <f t="shared" ca="1" si="11"/>
        <v>C</v>
      </c>
      <c r="S56" s="83" t="str">
        <f t="shared" ca="1" si="11"/>
        <v>C</v>
      </c>
      <c r="T56" s="83" t="str">
        <f t="shared" ca="1" si="11"/>
        <v>C</v>
      </c>
      <c r="U56" s="84" t="str">
        <f t="shared" ca="1" si="11"/>
        <v>C</v>
      </c>
      <c r="Z56">
        <f ca="1"/>
        <v>1275</v>
      </c>
      <c r="AA56">
        <f ca="1"/>
        <v>1285</v>
      </c>
      <c r="AB56">
        <f ca="1"/>
        <v>1295</v>
      </c>
    </row>
    <row r="57" spans="4:28">
      <c r="D57" s="81" t="s">
        <v>35</v>
      </c>
      <c r="E57" s="85">
        <f ca="1">E45</f>
        <v>1275</v>
      </c>
      <c r="F57" s="85">
        <f t="shared" ref="F57:U57" ca="1" si="12">F45</f>
        <v>1285</v>
      </c>
      <c r="G57" s="85">
        <f t="shared" ca="1" si="12"/>
        <v>1295</v>
      </c>
      <c r="H57" s="85">
        <f t="shared" ca="1" si="12"/>
        <v>1300</v>
      </c>
      <c r="I57" s="85">
        <f t="shared" ca="1" si="12"/>
        <v>1310</v>
      </c>
      <c r="J57" s="85">
        <f t="shared" ca="1" si="12"/>
        <v>1320</v>
      </c>
      <c r="K57" s="85">
        <f t="shared" ca="1" si="12"/>
        <v>1330</v>
      </c>
      <c r="L57" s="85">
        <f t="shared" ca="1" si="12"/>
        <v>1340</v>
      </c>
      <c r="M57" s="85">
        <f t="shared" ca="1" si="12"/>
        <v>1350</v>
      </c>
      <c r="N57" s="85">
        <f t="shared" ca="1" si="12"/>
        <v>1360</v>
      </c>
      <c r="O57" s="85">
        <f t="shared" ca="1" si="12"/>
        <v>1370</v>
      </c>
      <c r="P57" s="85">
        <f t="shared" ca="1" si="12"/>
        <v>1380</v>
      </c>
      <c r="Q57" s="85">
        <f t="shared" ca="1" si="12"/>
        <v>1390</v>
      </c>
      <c r="R57" s="85">
        <f t="shared" ca="1" si="12"/>
        <v>1400</v>
      </c>
      <c r="S57" s="85">
        <f t="shared" ca="1" si="12"/>
        <v>1410</v>
      </c>
      <c r="T57" s="85">
        <f t="shared" ca="1" si="12"/>
        <v>1420</v>
      </c>
      <c r="U57" s="86">
        <f t="shared" ca="1" si="12"/>
        <v>1430</v>
      </c>
      <c r="Z57">
        <f ca="1"/>
        <v>1275</v>
      </c>
      <c r="AA57">
        <f ca="1"/>
        <v>1285</v>
      </c>
      <c r="AB57">
        <f ca="1"/>
        <v>1295</v>
      </c>
    </row>
    <row r="58" spans="4:28">
      <c r="D58" s="27">
        <f ca="1">D6</f>
        <v>43191</v>
      </c>
      <c r="E58" s="93">
        <f ca="1">_xll.feImpliedVol(TODAY(),"E",E$44,E$45,$AA6,$V6,E22,0)</f>
        <v>9.4413831537377979E-2</v>
      </c>
      <c r="F58" s="87">
        <f ca="1">_xll.feImpliedVol(TODAY(),"E",F$44,F$45,$AA6,$V6,F22,0)</f>
        <v>8.6782401590188768E-2</v>
      </c>
      <c r="G58" s="87">
        <f ca="1">_xll.feImpliedVol(TODAY(),"E",G$44,G$45,$AA6,$V6,G22,0)</f>
        <v>8.8497068027446696E-2</v>
      </c>
      <c r="H58" s="87">
        <f ca="1">_xll.feImpliedVol(TODAY(),"E",H$44,H$45,$AA6,$V6,H22,0)</f>
        <v>8.730179968831267E-2</v>
      </c>
      <c r="I58" s="87">
        <f ca="1">_xll.feImpliedVol(TODAY(),"E",I$44,I$45,$AA6,$V6,I22,0)</f>
        <v>9.1453210408094121E-2</v>
      </c>
      <c r="J58" s="87">
        <f ca="1">_xll.feImpliedVol(TODAY(),"E",J$44,J$45,$AA6,$V6,J22,0)</f>
        <v>9.316232876732071E-2</v>
      </c>
      <c r="K58" s="87">
        <f ca="1">_xll.feImpliedVol(TODAY(),"E",K$44,K$45,$AA6,$V6,K22,0)</f>
        <v>9.5229339104608429E-2</v>
      </c>
      <c r="L58" s="87">
        <f ca="1">_xll.feImpliedVol(TODAY(),"E",L$44,L$45,$AA6,$V6,L22,0)</f>
        <v>9.8286399990441142E-2</v>
      </c>
      <c r="M58" s="87">
        <f ca="1">_xll.feImpliedVol(TODAY(),"E",M$44,M$45,$AA6,$V6,M22,0)</f>
        <v>0.10166817121703346</v>
      </c>
      <c r="N58" s="87">
        <f ca="1">_xll.feImpliedVol(TODAY(),"E",N$44,N$45,$AA6,$V6,N22,0)</f>
        <v>0.10759266364875378</v>
      </c>
      <c r="O58" s="87">
        <f ca="1">_xll.feImpliedVol(TODAY(),"E",O$44,O$45,$AA6,$V6,O22,0)</f>
        <v>0.11443864471555688</v>
      </c>
      <c r="P58" s="87">
        <f ca="1">_xll.feImpliedVol(TODAY(),"E",P$44,P$45,$AA6,$V6,P22,0)</f>
        <v>0.12329454589364426</v>
      </c>
      <c r="Q58" s="87">
        <f ca="1">_xll.feImpliedVol(TODAY(),"E",Q$44,Q$45,$AA6,$V6,Q22,0)</f>
        <v>0.1312930107328858</v>
      </c>
      <c r="R58" s="87">
        <f ca="1">_xll.feImpliedVol(TODAY(),"E",R$44,R$45,$AA6,$V6,R22,0)</f>
        <v>0.13284540496697383</v>
      </c>
      <c r="S58" s="87">
        <f ca="1">_xll.feImpliedVol(TODAY(),"E",S$44,S$45,$AA6,$V6,S22,0)</f>
        <v>0.14778811843166137</v>
      </c>
      <c r="T58" s="87">
        <f ca="1">_xll.feImpliedVol(TODAY(),"E",T$44,T$45,$AA6,$V6,T22,0)</f>
        <v>0.14860454208007734</v>
      </c>
      <c r="U58" s="88">
        <f ca="1">_xll.feImpliedVol(TODAY(),"E",U$44,U$45,$AA6,$V6,U22,0)</f>
        <v>0.16201601671822213</v>
      </c>
      <c r="Z58">
        <f ca="1"/>
        <v>1275</v>
      </c>
      <c r="AA58">
        <f ca="1"/>
        <v>1285</v>
      </c>
      <c r="AB58">
        <f ca="1"/>
        <v>1295</v>
      </c>
    </row>
    <row r="59" spans="4:28">
      <c r="D59" s="25">
        <f t="shared" ref="D59:D65" ca="1" si="13">D7</f>
        <v>43221</v>
      </c>
      <c r="E59" s="94">
        <f ca="1">_xll.feImpliedVol(TODAY(),"E",E$44,E$45,$AA7,$V7,E23,0)</f>
        <v>9.2061659963228043E-2</v>
      </c>
      <c r="F59" s="89">
        <f ca="1">_xll.feImpliedVol(TODAY(),"E",F$44,F$45,$AA7,$V7,F23,0)</f>
        <v>9.0545114388927622E-2</v>
      </c>
      <c r="G59" s="89">
        <f ca="1">_xll.feImpliedVol(TODAY(),"E",G$44,G$45,$AA7,$V7,G23,0)</f>
        <v>9.1309793927265404E-2</v>
      </c>
      <c r="H59" s="89">
        <f ca="1">_xll.feImpliedVol(TODAY(),"E",H$44,H$45,$AA7,$V7,H23,0)</f>
        <v>9.1295710894637713E-2</v>
      </c>
      <c r="I59" s="89">
        <f ca="1">_xll.feImpliedVol(TODAY(),"E",I$44,I$45,$AA7,$V7,I23,0)</f>
        <v>9.0903825476739766E-2</v>
      </c>
      <c r="J59" s="89">
        <f ca="1">_xll.feImpliedVol(TODAY(),"E",J$44,J$45,$AA7,$V7,J23,0)</f>
        <v>9.094441110889577E-2</v>
      </c>
      <c r="K59" s="89">
        <f ca="1">_xll.feImpliedVol(TODAY(),"E",K$44,K$45,$AA7,$V7,K23,0)</f>
        <v>9.1951377181568802E-2</v>
      </c>
      <c r="L59" s="89">
        <f ca="1">_xll.feImpliedVol(TODAY(),"E",L$44,L$45,$AA7,$V7,L23,0)</f>
        <v>9.3779463501920957E-2</v>
      </c>
      <c r="M59" s="89">
        <f ca="1">_xll.feImpliedVol(TODAY(),"E",M$44,M$45,$AA7,$V7,M23,0)</f>
        <v>9.5114697857630104E-2</v>
      </c>
      <c r="N59" s="89">
        <f ca="1">_xll.feImpliedVol(TODAY(),"E",N$44,N$45,$AA7,$V7,N23,0)</f>
        <v>9.7802698766957602E-2</v>
      </c>
      <c r="O59" s="89">
        <f ca="1">_xll.feImpliedVol(TODAY(),"E",O$44,O$45,$AA7,$V7,O23,0)</f>
        <v>0.10033773517515542</v>
      </c>
      <c r="P59" s="89">
        <f ca="1">_xll.feImpliedVol(TODAY(),"E",P$44,P$45,$AA7,$V7,P23,0)</f>
        <v>0.10287551417706167</v>
      </c>
      <c r="Q59" s="89">
        <f ca="1">_xll.feImpliedVol(TODAY(),"E",Q$44,Q$45,$AA7,$V7,Q23,0)</f>
        <v>0.10553624848709978</v>
      </c>
      <c r="R59" s="89">
        <f ca="1">_xll.feImpliedVol(TODAY(),"E",R$44,R$45,$AA7,$V7,R23,0)</f>
        <v>0.10830978297065856</v>
      </c>
      <c r="S59" s="89">
        <f ca="1">_xll.feImpliedVol(TODAY(),"E",S$44,S$45,$AA7,$V7,S23,0)</f>
        <v>0.11242433107024212</v>
      </c>
      <c r="T59" s="89">
        <f ca="1">_xll.feImpliedVol(TODAY(),"E",T$44,T$45,$AA7,$V7,T23,0)</f>
        <v>0.11603981315355025</v>
      </c>
      <c r="U59" s="90">
        <f ca="1">_xll.feImpliedVol(TODAY(),"E",U$44,U$45,$AA7,$V7,U23,0)</f>
        <v>0.11961085301755248</v>
      </c>
    </row>
    <row r="60" spans="4:28">
      <c r="D60" s="25">
        <f t="shared" ca="1" si="13"/>
        <v>43252</v>
      </c>
      <c r="E60" s="94">
        <f ca="1">_xll.feImpliedVol(TODAY(),"E",E$44,E$45,$AA8,$V8,E24,0)</f>
        <v>9.5332706959890712E-2</v>
      </c>
      <c r="F60" s="89">
        <f ca="1">_xll.feImpliedVol(TODAY(),"E",F$44,F$45,$AA8,$V8,F24,0)</f>
        <v>9.4352350679024768E-2</v>
      </c>
      <c r="G60" s="89">
        <f ca="1">_xll.feImpliedVol(TODAY(),"E",G$44,G$45,$AA8,$V8,G24,0)</f>
        <v>9.4104573603147848E-2</v>
      </c>
      <c r="H60" s="89">
        <f ca="1">_xll.feImpliedVol(TODAY(),"E",H$44,H$45,$AA8,$V8,H24,0)</f>
        <v>9.3918590012685654E-2</v>
      </c>
      <c r="I60" s="89">
        <f ca="1">_xll.feImpliedVol(TODAY(),"E",I$44,I$45,$AA8,$V8,I24,0)</f>
        <v>9.418635879722323E-2</v>
      </c>
      <c r="J60" s="89">
        <f ca="1">_xll.feImpliedVol(TODAY(),"E",J$44,J$45,$AA8,$V8,J24,0)</f>
        <v>9.4971647284774446E-2</v>
      </c>
      <c r="K60" s="89">
        <f ca="1">_xll.feImpliedVol(TODAY(),"E",K$44,K$45,$AA8,$V8,K24,0)</f>
        <v>9.5690983020580211E-2</v>
      </c>
      <c r="L60" s="89">
        <f ca="1">_xll.feImpliedVol(TODAY(),"E",L$44,L$45,$AA8,$V8,L24,0)</f>
        <v>9.6802900411640955E-2</v>
      </c>
      <c r="M60" s="89">
        <f ca="1">_xll.feImpliedVol(TODAY(),"E",M$44,M$45,$AA8,$V8,M24,0)</f>
        <v>9.8466647516100153E-2</v>
      </c>
      <c r="N60" s="89">
        <f ca="1">_xll.feImpliedVol(TODAY(),"E",N$44,N$45,$AA8,$V8,N24,0)</f>
        <v>0.10009263880324569</v>
      </c>
      <c r="O60" s="89">
        <f ca="1">_xll.feImpliedVol(TODAY(),"E",O$44,O$45,$AA8,$V8,O24,0)</f>
        <v>0.10202066083126998</v>
      </c>
      <c r="P60" s="89">
        <f ca="1">_xll.feImpliedVol(TODAY(),"E",P$44,P$45,$AA8,$V8,P24,0)</f>
        <v>0.10363006555834416</v>
      </c>
      <c r="Q60" s="89">
        <f ca="1">_xll.feImpliedVol(TODAY(),"E",Q$44,Q$45,$AA8,$V8,Q24,0)</f>
        <v>0.10586186695544587</v>
      </c>
      <c r="R60" s="89">
        <f ca="1">_xll.feImpliedVol(TODAY(),"E",R$44,R$45,$AA8,$V8,R24,0)</f>
        <v>0.10801340298408514</v>
      </c>
      <c r="S60" s="89">
        <f ca="1">_xll.feImpliedVol(TODAY(),"E",S$44,S$45,$AA8,$V8,S24,0)</f>
        <v>0.10970141734499471</v>
      </c>
      <c r="T60" s="89">
        <f ca="1">_xll.feImpliedVol(TODAY(),"E",T$44,T$45,$AA8,$V8,T24,0)</f>
        <v>0.11208362827743393</v>
      </c>
      <c r="U60" s="90">
        <f ca="1">_xll.feImpliedVol(TODAY(),"E",U$44,U$45,$AA8,$V8,U24,0)</f>
        <v>0.11487617266453545</v>
      </c>
    </row>
    <row r="61" spans="4:28">
      <c r="D61" s="25">
        <f t="shared" ca="1" si="13"/>
        <v>43282</v>
      </c>
      <c r="E61" s="94">
        <f ca="1">_xll.feImpliedVol(TODAY(),"E",E$44,E$45,$AA9,$V9,E25,0)</f>
        <v>9.82516509352028E-2</v>
      </c>
      <c r="F61" s="89">
        <f ca="1">_xll.feImpliedVol(TODAY(),"E",F$44,F$45,$AA9,$V9,F25,0)</f>
        <v>9.7525951796995067E-2</v>
      </c>
      <c r="G61" s="89">
        <f ca="1">_xll.feImpliedVol(TODAY(),"E",G$44,G$45,$AA9,$V9,G25,0)</f>
        <v>9.7190659058283724E-2</v>
      </c>
      <c r="H61" s="89">
        <f ca="1">_xll.feImpliedVol(TODAY(),"E",H$44,H$45,$AA9,$V9,H25,0)</f>
        <v>9.7125047181186877E-2</v>
      </c>
      <c r="I61" s="89">
        <f ca="1">_xll.feImpliedVol(TODAY(),"E",I$44,I$45,$AA9,$V9,I25,0)</f>
        <v>9.7060491831896786E-2</v>
      </c>
      <c r="J61" s="89">
        <f ca="1">_xll.feImpliedVol(TODAY(),"E",J$44,J$45,$AA9,$V9,J25,0)</f>
        <v>9.7583065384966139E-2</v>
      </c>
      <c r="K61" s="89">
        <f ca="1">_xll.feImpliedVol(TODAY(),"E",K$44,K$45,$AA9,$V9,K25,0)</f>
        <v>9.8204587403666416E-2</v>
      </c>
      <c r="L61" s="89">
        <f ca="1">_xll.feImpliedVol(TODAY(),"E",L$44,L$45,$AA9,$V9,L25,0)</f>
        <v>9.9267549736845803E-2</v>
      </c>
      <c r="M61" s="89">
        <f ca="1">_xll.feImpliedVol(TODAY(),"E",M$44,M$45,$AA9,$V9,M25,0)</f>
        <v>0.10012567048377737</v>
      </c>
      <c r="N61" s="89">
        <f ca="1">_xll.feImpliedVol(TODAY(),"E",N$44,N$45,$AA9,$V9,N25,0)</f>
        <v>0.10159094528808969</v>
      </c>
      <c r="O61" s="89">
        <f ca="1">_xll.feImpliedVol(TODAY(),"E",O$44,O$45,$AA9,$V9,O25,0)</f>
        <v>0.10311849885147653</v>
      </c>
      <c r="P61" s="89">
        <f ca="1">_xll.feImpliedVol(TODAY(),"E",P$44,P$45,$AA9,$V9,P25,0)</f>
        <v>0.10450288899475398</v>
      </c>
      <c r="Q61" s="89">
        <f ca="1">_xll.feImpliedVol(TODAY(),"E",Q$44,Q$45,$AA9,$V9,Q25,0)</f>
        <v>0.10634095829994372</v>
      </c>
      <c r="R61" s="89">
        <f ca="1">_xll.feImpliedVol(TODAY(),"E",R$44,R$45,$AA9,$V9,R25,0)</f>
        <v>0.10803158036750976</v>
      </c>
      <c r="S61" s="89">
        <f ca="1">_xll.feImpliedVol(TODAY(),"E",S$44,S$45,$AA9,$V9,S25,0)</f>
        <v>0.11025819098102028</v>
      </c>
      <c r="T61" s="89">
        <f ca="1">_xll.feImpliedVol(TODAY(),"E",T$44,T$45,$AA9,$V9,T25,0)</f>
        <v>0.11119915860384617</v>
      </c>
      <c r="U61" s="90">
        <f ca="1">_xll.feImpliedVol(TODAY(),"E",U$44,U$45,$AA9,$V9,U25,0)</f>
        <v>0.11309990461123944</v>
      </c>
    </row>
    <row r="62" spans="4:28">
      <c r="D62" s="25">
        <f t="shared" ca="1" si="13"/>
        <v>43313</v>
      </c>
      <c r="E62" s="94">
        <f ca="1">_xll.feImpliedVol(TODAY(),"E",E$44,E$45,$AA10,$V10,E26,0)</f>
        <v>0.10034434976202755</v>
      </c>
      <c r="F62" s="89">
        <f ca="1">_xll.feImpliedVol(TODAY(),"E",F$44,F$45,$AA10,$V10,F26,0)</f>
        <v>9.9919458089308702E-2</v>
      </c>
      <c r="G62" s="89">
        <f ca="1">_xll.feImpliedVol(TODAY(),"E",G$44,G$45,$AA10,$V10,G26,0)</f>
        <v>9.9509464166085859E-2</v>
      </c>
      <c r="H62" s="89">
        <f ca="1">_xll.feImpliedVol(TODAY(),"E",H$44,H$45,$AA10,$V10,H26,0)</f>
        <v>9.9976541825450307E-2</v>
      </c>
      <c r="I62" s="89">
        <f ca="1">_xll.feImpliedVol(TODAY(),"E",I$44,I$45,$AA10,$V10,I26,0)</f>
        <v>0.10034996056479116</v>
      </c>
      <c r="J62" s="89">
        <f ca="1">_xll.feImpliedVol(TODAY(),"E",J$44,J$45,$AA10,$V10,J26,0)</f>
        <v>0.10045702684329648</v>
      </c>
      <c r="K62" s="89">
        <f ca="1">_xll.feImpliedVol(TODAY(),"E",K$44,K$45,$AA10,$V10,K26,0)</f>
        <v>0.1009167337545956</v>
      </c>
      <c r="L62" s="89">
        <f ca="1">_xll.feImpliedVol(TODAY(),"E",L$44,L$45,$AA10,$V10,L26,0)</f>
        <v>0.10170935342484544</v>
      </c>
      <c r="M62" s="89">
        <f ca="1">_xll.feImpliedVol(TODAY(),"E",M$44,M$45,$AA10,$V10,M26,0)</f>
        <v>0.1028708647968382</v>
      </c>
      <c r="N62" s="89">
        <f ca="1">_xll.feImpliedVol(TODAY(),"E",N$44,N$45,$AA10,$V10,N26,0)</f>
        <v>0.10385357754021085</v>
      </c>
      <c r="O62" s="89">
        <f ca="1">_xll.feImpliedVol(TODAY(),"E",O$44,O$45,$AA10,$V10,O26,0)</f>
        <v>0.10506227603431592</v>
      </c>
      <c r="P62" s="89">
        <f ca="1">_xll.feImpliedVol(TODAY(),"E",P$44,P$45,$AA10,$V10,P26,0)</f>
        <v>0.10662945854339333</v>
      </c>
      <c r="Q62" s="89">
        <f ca="1">_xll.feImpliedVol(TODAY(),"E",Q$44,Q$45,$AA10,$V10,Q26,0)</f>
        <v>0.1080199550557589</v>
      </c>
      <c r="R62" s="89">
        <f ca="1">_xll.feImpliedVol(TODAY(),"E",R$44,R$45,$AA10,$V10,R26,0)</f>
        <v>0.10971495595567986</v>
      </c>
      <c r="S62" s="89">
        <f ca="1">_xll.feImpliedVol(TODAY(),"E",S$44,S$45,$AA10,$V10,S26,0)</f>
        <v>0.11150963937048117</v>
      </c>
      <c r="T62" s="89">
        <f ca="1">_xll.feImpliedVol(TODAY(),"E",T$44,T$45,$AA10,$V10,T26,0)</f>
        <v>0.11313435315357356</v>
      </c>
      <c r="U62" s="90">
        <f ca="1">_xll.feImpliedVol(TODAY(),"E",U$44,U$45,$AA10,$V10,U26,0)</f>
        <v>0.1151530484250456</v>
      </c>
    </row>
    <row r="63" spans="4:28">
      <c r="D63" s="25">
        <f t="shared" ca="1" si="13"/>
        <v>43344</v>
      </c>
      <c r="E63" s="94">
        <f ca="1">_xll.feImpliedVol(TODAY(),"E",E$44,E$45,$AA11,$V11,E27,0)</f>
        <v>0.10186665083834505</v>
      </c>
      <c r="F63" s="89">
        <f ca="1">_xll.feImpliedVol(TODAY(),"E",F$44,F$45,$AA11,$V11,F27,0)</f>
        <v>0.10153984571348013</v>
      </c>
      <c r="G63" s="89">
        <f ca="1">_xll.feImpliedVol(TODAY(),"E",G$44,G$45,$AA11,$V11,G27,0)</f>
        <v>0.10167931097058557</v>
      </c>
      <c r="H63" s="89">
        <f ca="1">_xll.feImpliedVol(TODAY(),"E",H$44,H$45,$AA11,$V11,H27,0)</f>
        <v>0.10175551996827867</v>
      </c>
      <c r="I63" s="89">
        <f ca="1">_xll.feImpliedVol(TODAY(),"E",I$44,I$45,$AA11,$V11,I27,0)</f>
        <v>0.10218642215961479</v>
      </c>
      <c r="J63" s="89">
        <f ca="1">_xll.feImpliedVol(TODAY(),"E",J$44,J$45,$AA11,$V11,J27,0)</f>
        <v>0.10253926380997722</v>
      </c>
      <c r="K63" s="89">
        <f ca="1">_xll.feImpliedVol(TODAY(),"E",K$44,K$45,$AA11,$V11,K27,0)</f>
        <v>0.10308588643570045</v>
      </c>
      <c r="L63" s="89">
        <f ca="1">_xll.feImpliedVol(TODAY(),"E",L$44,L$45,$AA11,$V11,L27,0)</f>
        <v>0.10381568655235751</v>
      </c>
      <c r="M63" s="89">
        <f ca="1">_xll.feImpliedVol(TODAY(),"E",M$44,M$45,$AA11,$V11,M27,0)</f>
        <v>0.10474674223300065</v>
      </c>
      <c r="N63" s="89">
        <f ca="1">_xll.feImpliedVol(TODAY(),"E",N$44,N$45,$AA11,$V11,N27,0)</f>
        <v>0.1056441967514207</v>
      </c>
      <c r="O63" s="89">
        <f ca="1">_xll.feImpliedVol(TODAY(),"E",O$44,O$45,$AA11,$V11,O27,0)</f>
        <v>0.10684241451988688</v>
      </c>
      <c r="P63" s="89">
        <f ca="1">_xll.feImpliedVol(TODAY(),"E",P$44,P$45,$AA11,$V11,P27,0)</f>
        <v>0.10785065759922344</v>
      </c>
      <c r="Q63" s="89">
        <f ca="1">_xll.feImpliedVol(TODAY(),"E",Q$44,Q$45,$AA11,$V11,Q27,0)</f>
        <v>0.1093256952518309</v>
      </c>
      <c r="R63" s="89">
        <f ca="1">_xll.feImpliedVol(TODAY(),"E",R$44,R$45,$AA11,$V11,R27,0)</f>
        <v>0.11078247327483226</v>
      </c>
      <c r="S63" s="89">
        <f ca="1">_xll.feImpliedVol(TODAY(),"E",S$44,S$45,$AA11,$V11,S27,0)</f>
        <v>0.11230918330183912</v>
      </c>
      <c r="T63" s="89">
        <f ca="1">_xll.feImpliedVol(TODAY(),"E",T$44,T$45,$AA11,$V11,T27,0)</f>
        <v>0.11400861541985076</v>
      </c>
      <c r="U63" s="90">
        <f ca="1">_xll.feImpliedVol(TODAY(),"E",U$44,U$45,$AA11,$V11,U27,0)</f>
        <v>0.11563954737517436</v>
      </c>
    </row>
    <row r="64" spans="4:28">
      <c r="D64" s="25">
        <f t="shared" ca="1" si="13"/>
        <v>43374</v>
      </c>
      <c r="E64" s="94">
        <f ca="1">_xll.feImpliedVol(TODAY(),"E",E$44,E$45,$AA12,$V12,E28,0)</f>
        <v>0.10320874502806447</v>
      </c>
      <c r="F64" s="89">
        <f ca="1">_xll.feImpliedVol(TODAY(),"E",F$44,F$45,$AA12,$V12,F28,0)</f>
        <v>0.10320001962000759</v>
      </c>
      <c r="G64" s="89">
        <f ca="1">_xll.feImpliedVol(TODAY(),"E",G$44,G$45,$AA12,$V12,G28,0)</f>
        <v>0.1033374209104292</v>
      </c>
      <c r="H64" s="89">
        <f ca="1">_xll.feImpliedVol(TODAY(),"E",H$44,H$45,$AA12,$V12,H28,0)</f>
        <v>0.10315344899404025</v>
      </c>
      <c r="I64" s="89">
        <f ca="1">_xll.feImpliedVol(TODAY(),"E",I$44,I$45,$AA12,$V12,I28,0)</f>
        <v>0.10422811935645043</v>
      </c>
      <c r="J64" s="89">
        <f ca="1">_xll.feImpliedVol(TODAY(),"E",J$44,J$45,$AA12,$V12,J28,0)</f>
        <v>0.10448116185541975</v>
      </c>
      <c r="K64" s="89">
        <f ca="1">_xll.feImpliedVol(TODAY(),"E",K$44,K$45,$AA12,$V12,K28,0)</f>
        <v>0.10527258081384687</v>
      </c>
      <c r="L64" s="89">
        <f ca="1">_xll.feImpliedVol(TODAY(),"E",L$44,L$45,$AA12,$V12,L28,0)</f>
        <v>0.10581530033743673</v>
      </c>
      <c r="M64" s="89">
        <f ca="1">_xll.feImpliedVol(TODAY(),"E",M$44,M$45,$AA12,$V12,M28,0)</f>
        <v>0.10639152889982516</v>
      </c>
      <c r="N64" s="89">
        <f ca="1">_xll.feImpliedVol(TODAY(),"E",N$44,N$45,$AA12,$V12,N28,0)</f>
        <v>0.10753951027212284</v>
      </c>
      <c r="O64" s="89">
        <f ca="1">_xll.feImpliedVol(TODAY(),"E",O$44,O$45,$AA12,$V12,O28,0)</f>
        <v>0.10853920051729819</v>
      </c>
      <c r="P64" s="89">
        <f ca="1">_xll.feImpliedVol(TODAY(),"E",P$44,P$45,$AA12,$V12,P28,0)</f>
        <v>0.10943647182311285</v>
      </c>
      <c r="Q64" s="89">
        <f ca="1">_xll.feImpliedVol(TODAY(),"E",Q$44,Q$45,$AA12,$V12,Q28,0)</f>
        <v>0.1108241592943332</v>
      </c>
      <c r="R64" s="89">
        <f ca="1">_xll.feImpliedVol(TODAY(),"E",R$44,R$45,$AA12,$V12,R28,0)</f>
        <v>0.11224829755857345</v>
      </c>
      <c r="S64" s="89">
        <f ca="1">_xll.feImpliedVol(TODAY(),"E",S$44,S$45,$AA12,$V12,S28,0)</f>
        <v>0.11348921589195732</v>
      </c>
      <c r="T64" s="89">
        <f ca="1">_xll.feImpliedVol(TODAY(),"E",T$44,T$45,$AA12,$V12,T28,0)</f>
        <v>0.11489817056598783</v>
      </c>
      <c r="U64" s="90">
        <f ca="1">_xll.feImpliedVol(TODAY(),"E",U$44,U$45,$AA12,$V12,U28,0)</f>
        <v>0.11656832818704105</v>
      </c>
    </row>
    <row r="65" spans="2:21">
      <c r="D65" s="26">
        <f t="shared" ca="1" si="13"/>
        <v>43435</v>
      </c>
      <c r="E65" s="95">
        <f ca="1">_xll.feImpliedVol(TODAY(),"E",E$44,E$45,$AA13,$V13,E29,0)</f>
        <v>0.10872863523444791</v>
      </c>
      <c r="F65" s="91">
        <f ca="1">_xll.feImpliedVol(TODAY(),"E",F$44,F$45,$AA13,$V13,F29,0)</f>
        <v>0.10887980982488939</v>
      </c>
      <c r="G65" s="91">
        <f ca="1">_xll.feImpliedVol(TODAY(),"E",G$44,G$45,$AA13,$V13,G29,0)</f>
        <v>0.10876909058322674</v>
      </c>
      <c r="H65" s="91">
        <f ca="1">_xll.feImpliedVol(TODAY(),"E",H$44,H$45,$AA13,$V13,H29,0)</f>
        <v>0.1089253735685814</v>
      </c>
      <c r="I65" s="91">
        <f ca="1">_xll.feImpliedVol(TODAY(),"E",I$44,I$45,$AA13,$V13,I29,0)</f>
        <v>0.10913828169757124</v>
      </c>
      <c r="J65" s="91">
        <f ca="1">_xll.feImpliedVol(TODAY(),"E",J$44,J$45,$AA13,$V13,J29,0)</f>
        <v>0.10975767043083184</v>
      </c>
      <c r="K65" s="91">
        <f ca="1">_xll.feImpliedVol(TODAY(),"E",K$44,K$45,$AA13,$V13,K29,0)</f>
        <v>0.11007694746707615</v>
      </c>
      <c r="L65" s="91">
        <f ca="1">_xll.feImpliedVol(TODAY(),"E",L$44,L$45,$AA13,$V13,L29,0)</f>
        <v>0.11056069502239599</v>
      </c>
      <c r="M65" s="91">
        <f ca="1">_xll.feImpliedVol(TODAY(),"E",M$44,M$45,$AA13,$V13,M29,0)</f>
        <v>0.11121206765792394</v>
      </c>
      <c r="N65" s="91">
        <f ca="1">_xll.feImpliedVol(TODAY(),"E",N$44,N$45,$AA13,$V13,N29,0)</f>
        <v>0.11182580694577396</v>
      </c>
      <c r="O65" s="91">
        <f ca="1">_xll.feImpliedVol(TODAY(),"E",O$44,O$45,$AA13,$V13,O29,0)</f>
        <v>0.11264324544066742</v>
      </c>
      <c r="P65" s="91">
        <f ca="1">_xll.feImpliedVol(TODAY(),"E",P$44,P$45,$AA13,$V13,P29,0)</f>
        <v>0.1134712180237936</v>
      </c>
      <c r="Q65" s="91">
        <f ca="1">_xll.feImpliedVol(TODAY(),"E",Q$44,Q$45,$AA13,$V13,Q29,0)</f>
        <v>0.1143409569223839</v>
      </c>
      <c r="R65" s="91">
        <f ca="1">_xll.feImpliedVol(TODAY(),"E",R$44,R$45,$AA13,$V13,R29,0)</f>
        <v>0.11552002584428488</v>
      </c>
      <c r="S65" s="91">
        <f ca="1">_xll.feImpliedVol(TODAY(),"E",S$44,S$45,$AA13,$V13,S29,0)</f>
        <v>0.11659159086678741</v>
      </c>
      <c r="T65" s="91">
        <f ca="1">_xll.feImpliedVol(TODAY(),"E",T$44,T$45,$AA13,$V13,T29,0)</f>
        <v>0.11783075433237153</v>
      </c>
      <c r="U65" s="92">
        <f ca="1">_xll.feImpliedVol(TODAY(),"E",U$44,U$45,$AA13,$V13,U29,0)</f>
        <v>0.11929294783979927</v>
      </c>
    </row>
    <row r="66" spans="2:21">
      <c r="E66" s="34"/>
      <c r="F66" s="34"/>
      <c r="G66" s="34"/>
      <c r="H66" s="34"/>
      <c r="I66" s="34"/>
      <c r="J66" s="34"/>
      <c r="K66" s="34"/>
      <c r="L66" s="34"/>
      <c r="M66" s="45"/>
      <c r="N66" s="34"/>
      <c r="O66" s="34"/>
      <c r="P66" s="34"/>
      <c r="Q66" s="34"/>
      <c r="R66" s="34"/>
      <c r="S66" s="34"/>
      <c r="T66" s="34"/>
      <c r="U66" s="34"/>
    </row>
    <row r="67" spans="2:21"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</row>
    <row r="68" spans="2:21">
      <c r="D68" s="82" t="s">
        <v>95</v>
      </c>
      <c r="E68" s="83" t="str">
        <f ca="1">E44</f>
        <v>C</v>
      </c>
      <c r="F68" s="83" t="str">
        <f t="shared" ref="F68:U68" ca="1" si="14">F44</f>
        <v>C</v>
      </c>
      <c r="G68" s="83" t="str">
        <f t="shared" ca="1" si="14"/>
        <v>C</v>
      </c>
      <c r="H68" s="83" t="str">
        <f t="shared" ca="1" si="14"/>
        <v>C</v>
      </c>
      <c r="I68" s="83" t="str">
        <f t="shared" ca="1" si="14"/>
        <v>C</v>
      </c>
      <c r="J68" s="83" t="str">
        <f t="shared" ca="1" si="14"/>
        <v>C</v>
      </c>
      <c r="K68" s="83" t="str">
        <f t="shared" ca="1" si="14"/>
        <v>C</v>
      </c>
      <c r="L68" s="83" t="str">
        <f t="shared" ca="1" si="14"/>
        <v>C</v>
      </c>
      <c r="M68" s="83" t="str">
        <f t="shared" ca="1" si="14"/>
        <v>C</v>
      </c>
      <c r="N68" s="83" t="str">
        <f t="shared" ca="1" si="14"/>
        <v>C</v>
      </c>
      <c r="O68" s="83" t="str">
        <f t="shared" ca="1" si="14"/>
        <v>C</v>
      </c>
      <c r="P68" s="83" t="str">
        <f t="shared" ca="1" si="14"/>
        <v>C</v>
      </c>
      <c r="Q68" s="83" t="str">
        <f t="shared" ca="1" si="14"/>
        <v>C</v>
      </c>
      <c r="R68" s="83" t="str">
        <f t="shared" ca="1" si="14"/>
        <v>C</v>
      </c>
      <c r="S68" s="83" t="str">
        <f t="shared" ca="1" si="14"/>
        <v>C</v>
      </c>
      <c r="T68" s="83" t="str">
        <f t="shared" ca="1" si="14"/>
        <v>C</v>
      </c>
      <c r="U68" s="84" t="str">
        <f t="shared" ca="1" si="14"/>
        <v>C</v>
      </c>
    </row>
    <row r="69" spans="2:21">
      <c r="D69" s="81" t="s">
        <v>97</v>
      </c>
      <c r="E69" s="85">
        <f ca="1">E57</f>
        <v>1275</v>
      </c>
      <c r="F69" s="85">
        <f t="shared" ref="F69:U69" ca="1" si="15">F57</f>
        <v>1285</v>
      </c>
      <c r="G69" s="85">
        <f t="shared" ca="1" si="15"/>
        <v>1295</v>
      </c>
      <c r="H69" s="85">
        <f t="shared" ca="1" si="15"/>
        <v>1300</v>
      </c>
      <c r="I69" s="85">
        <f t="shared" ca="1" si="15"/>
        <v>1310</v>
      </c>
      <c r="J69" s="85">
        <f t="shared" ca="1" si="15"/>
        <v>1320</v>
      </c>
      <c r="K69" s="85">
        <f t="shared" ca="1" si="15"/>
        <v>1330</v>
      </c>
      <c r="L69" s="85">
        <f t="shared" ca="1" si="15"/>
        <v>1340</v>
      </c>
      <c r="M69" s="85">
        <f t="shared" ca="1" si="15"/>
        <v>1350</v>
      </c>
      <c r="N69" s="85">
        <f t="shared" ca="1" si="15"/>
        <v>1360</v>
      </c>
      <c r="O69" s="85">
        <f t="shared" ca="1" si="15"/>
        <v>1370</v>
      </c>
      <c r="P69" s="85">
        <f t="shared" ca="1" si="15"/>
        <v>1380</v>
      </c>
      <c r="Q69" s="85">
        <f t="shared" ca="1" si="15"/>
        <v>1390</v>
      </c>
      <c r="R69" s="85">
        <f t="shared" ca="1" si="15"/>
        <v>1400</v>
      </c>
      <c r="S69" s="85">
        <f t="shared" ca="1" si="15"/>
        <v>1410</v>
      </c>
      <c r="T69" s="85">
        <f t="shared" ca="1" si="15"/>
        <v>1420</v>
      </c>
      <c r="U69" s="86">
        <f t="shared" ca="1" si="15"/>
        <v>1430</v>
      </c>
    </row>
    <row r="70" spans="2:21">
      <c r="D70" s="27">
        <f ca="1">D6</f>
        <v>43191</v>
      </c>
      <c r="E70" s="93">
        <f ca="1">INDEX(_xll.feCxVanilla(TODAY(),"E",E$68,E$69,$AA6,$V6,AVERAGE(E58,E46),0),2,0)</f>
        <v>0.96323885784289554</v>
      </c>
      <c r="F70" s="87">
        <f ca="1">INDEX(_xll.feCxVanilla(TODAY(),"E",F$68,F$69,$AA6,$V6,AVERAGE(F58,F46),0),2,0)</f>
        <v>0.94372581467445538</v>
      </c>
      <c r="G70" s="87">
        <f ca="1">INDEX(_xll.feCxVanilla(TODAY(),"E",G$68,G$69,$AA6,$V6,AVERAGE(G58,G46),0),2,0)</f>
        <v>0.90109606513370821</v>
      </c>
      <c r="H70" s="87">
        <f ca="1">INDEX(_xll.feCxVanilla(TODAY(),"E",H$68,H$69,$AA6,$V6,AVERAGE(H58,H46),0),2,0)</f>
        <v>0.8675217710891151</v>
      </c>
      <c r="I70" s="87">
        <f ca="1">INDEX(_xll.feCxVanilla(TODAY(),"E",I$68,I$69,$AA6,$V6,AVERAGE(I58,I46),0),2,0)</f>
        <v>0.76304953873537595</v>
      </c>
      <c r="J70" s="87">
        <f ca="1">INDEX(_xll.feCxVanilla(TODAY(),"E",J$68,J$69,$AA6,$V6,AVERAGE(J58,J46),0),2,0)</f>
        <v>0.62033554600470708</v>
      </c>
      <c r="K70" s="87">
        <f ca="1">INDEX(_xll.feCxVanilla(TODAY(),"E",K$68,K$69,$AA6,$V6,AVERAGE(K58,K46),0),2,0)</f>
        <v>0.45412193033300491</v>
      </c>
      <c r="L70" s="87">
        <f ca="1">INDEX(_xll.feCxVanilla(TODAY(),"E",L$68,L$69,$AA6,$V6,AVERAGE(L58,L46),0),2,0)</f>
        <v>0.3049671572980156</v>
      </c>
      <c r="M70" s="87">
        <f ca="1">INDEX(_xll.feCxVanilla(TODAY(),"E",M$68,M$69,$AA6,$V6,AVERAGE(M58,M46),0),2,0)</f>
        <v>0.19129495715150988</v>
      </c>
      <c r="N70" s="87">
        <f ca="1">INDEX(_xll.feCxVanilla(TODAY(),"E",N$68,N$69,$AA6,$V6,AVERAGE(N58,N46),0),2,0)</f>
        <v>0.11953860195445354</v>
      </c>
      <c r="O70" s="87">
        <f ca="1">INDEX(_xll.feCxVanilla(TODAY(),"E",O$68,O$69,$AA6,$V6,AVERAGE(O58,O46),0),2,0)</f>
        <v>7.6295657771842953E-2</v>
      </c>
      <c r="P70" s="87">
        <f ca="1">INDEX(_xll.feCxVanilla(TODAY(),"E",P$68,P$69,$AA6,$V6,AVERAGE(P58,P46),0),2,0)</f>
        <v>4.9961539223635811E-2</v>
      </c>
      <c r="Q70" s="87">
        <f ca="1">INDEX(_xll.feCxVanilla(TODAY(),"E",Q$68,Q$69,$AA6,$V6,AVERAGE(Q58,Q46),0),2,0)</f>
        <v>3.4190650427377345E-2</v>
      </c>
      <c r="R70" s="87">
        <f ca="1">INDEX(_xll.feCxVanilla(TODAY(),"E",R$68,R$69,$AA6,$V6,AVERAGE(R58,R46),0),2,0)</f>
        <v>2.2294727237074326E-2</v>
      </c>
      <c r="S70" s="87">
        <f ca="1">INDEX(_xll.feCxVanilla(TODAY(),"E",S$68,S$69,$AA6,$V6,AVERAGE(S58,S46),0),2,0)</f>
        <v>1.801711559355372E-2</v>
      </c>
      <c r="T70" s="87">
        <f ca="1">INDEX(_xll.feCxVanilla(TODAY(),"E",T$68,T$69,$AA6,$V6,AVERAGE(T58,T46),0),2,0)</f>
        <v>1.309987519070863E-2</v>
      </c>
      <c r="U70" s="88">
        <f ca="1">INDEX(_xll.feCxVanilla(TODAY(),"E",U$68,U$69,$AA6,$V6,AVERAGE(U58,U46),0),2,0)</f>
        <v>1.0110260853607148E-2</v>
      </c>
    </row>
    <row r="71" spans="2:21">
      <c r="D71" s="25">
        <f t="shared" ref="D71:D77" ca="1" si="16">D7</f>
        <v>43221</v>
      </c>
      <c r="E71" s="94">
        <f ca="1">INDEX(_xll.feCxVanilla(TODAY(),"E",E$68,E$69,$AA7,$V7,AVERAGE(E59,E47),0),2,0)</f>
        <v>0.90505237408932382</v>
      </c>
      <c r="F71" s="89">
        <f ca="1">INDEX(_xll.feCxVanilla(TODAY(),"E",F$68,F$69,$AA7,$V7,AVERAGE(F59,F47),0),2,0)</f>
        <v>0.86917864070862916</v>
      </c>
      <c r="G71" s="89">
        <f ca="1">INDEX(_xll.feCxVanilla(TODAY(),"E",G$68,G$69,$AA7,$V7,AVERAGE(G59,G47),0),2,0)</f>
        <v>0.81557614479513341</v>
      </c>
      <c r="H71" s="89">
        <f ca="1">INDEX(_xll.feCxVanilla(TODAY(),"E",H$68,H$69,$AA7,$V7,AVERAGE(H59,H47),0),2,0)</f>
        <v>0.78412002124383096</v>
      </c>
      <c r="I71" s="89">
        <f ca="1">INDEX(_xll.feCxVanilla(TODAY(),"E",I$68,I$69,$AA7,$V7,AVERAGE(I59,I47),0),2,0)</f>
        <v>0.71202830232829872</v>
      </c>
      <c r="J71" s="89">
        <f ca="1">INDEX(_xll.feCxVanilla(TODAY(),"E",J$68,J$69,$AA7,$V7,AVERAGE(J59,J47),0),2,0)</f>
        <v>0.62558547441247947</v>
      </c>
      <c r="K71" s="89">
        <f ca="1">INDEX(_xll.feCxVanilla(TODAY(),"E",K$68,K$69,$AA7,$V7,AVERAGE(K59,K47),0),2,0)</f>
        <v>0.5326038708346289</v>
      </c>
      <c r="L71" s="89">
        <f ca="1">INDEX(_xll.feCxVanilla(TODAY(),"E",L$68,L$69,$AA7,$V7,AVERAGE(L59,L47),0),2,0)</f>
        <v>0.44051166044714385</v>
      </c>
      <c r="M71" s="89">
        <f ca="1">INDEX(_xll.feCxVanilla(TODAY(),"E",M$68,M$69,$AA7,$V7,AVERAGE(M59,M47),0),2,0)</f>
        <v>0.35468856003682808</v>
      </c>
      <c r="N71" s="89">
        <f ca="1">INDEX(_xll.feCxVanilla(TODAY(),"E",N$68,N$69,$AA7,$V7,AVERAGE(N59,N47),0),2,0)</f>
        <v>0.28063203137795456</v>
      </c>
      <c r="O71" s="89">
        <f ca="1">INDEX(_xll.feCxVanilla(TODAY(),"E",O$68,O$69,$AA7,$V7,AVERAGE(O59,O47),0),2,0)</f>
        <v>0.21883244516093625</v>
      </c>
      <c r="P71" s="89">
        <f ca="1">INDEX(_xll.feCxVanilla(TODAY(),"E",P$68,P$69,$AA7,$V7,AVERAGE(P59,P47),0),2,0)</f>
        <v>0.16864311481129951</v>
      </c>
      <c r="Q71" s="89">
        <f ca="1">INDEX(_xll.feCxVanilla(TODAY(),"E",Q$68,Q$69,$AA7,$V7,AVERAGE(Q59,Q47),0),2,0)</f>
        <v>0.12913684484140181</v>
      </c>
      <c r="R71" s="89">
        <f ca="1">INDEX(_xll.feCxVanilla(TODAY(),"E",R$68,R$69,$AA7,$V7,AVERAGE(R59,R47),0),2,0)</f>
        <v>9.995010925080805E-2</v>
      </c>
      <c r="S71" s="89">
        <f ca="1">INDEX(_xll.feCxVanilla(TODAY(),"E",S$68,S$69,$AA7,$V7,AVERAGE(S59,S47),0),2,0)</f>
        <v>7.7743130741311089E-2</v>
      </c>
      <c r="T71" s="89">
        <f ca="1">INDEX(_xll.feCxVanilla(TODAY(),"E",T$68,T$69,$AA7,$V7,AVERAGE(T59,T47),0),2,0)</f>
        <v>6.0991491388937884E-2</v>
      </c>
      <c r="U71" s="90">
        <f ca="1">INDEX(_xll.feCxVanilla(TODAY(),"E",U$68,U$69,$AA7,$V7,AVERAGE(U59,U47),0),2,0)</f>
        <v>4.8159139140139945E-2</v>
      </c>
    </row>
    <row r="72" spans="2:21">
      <c r="D72" s="25">
        <f t="shared" ca="1" si="16"/>
        <v>43252</v>
      </c>
      <c r="E72" s="94">
        <f ca="1">INDEX(_xll.feCxVanilla(TODAY(),"E",E$68,E$69,$AA8,$V8,AVERAGE(E60,E48),0),2,0)</f>
        <v>0.85035943563254812</v>
      </c>
      <c r="F72" s="89">
        <f ca="1">INDEX(_xll.feCxVanilla(TODAY(),"E",F$68,F$69,$AA8,$V8,AVERAGE(F60,F48),0),2,0)</f>
        <v>0.80806379632022329</v>
      </c>
      <c r="G72" s="89">
        <f ca="1">INDEX(_xll.feCxVanilla(TODAY(),"E",G$68,G$69,$AA8,$V8,AVERAGE(G60,G48),0),2,0)</f>
        <v>0.75798219746122175</v>
      </c>
      <c r="H72" s="89">
        <f ca="1">INDEX(_xll.feCxVanilla(TODAY(),"E",H$68,H$69,$AA8,$V8,AVERAGE(H60,H48),0),2,0)</f>
        <v>0.72873341093135158</v>
      </c>
      <c r="I72" s="89">
        <f ca="1">INDEX(_xll.feCxVanilla(TODAY(),"E",I$68,I$69,$AA8,$V8,AVERAGE(I60,I48),0),2,0)</f>
        <v>0.66624756207882418</v>
      </c>
      <c r="J72" s="89">
        <f ca="1">INDEX(_xll.feCxVanilla(TODAY(),"E",J$68,J$69,$AA8,$V8,AVERAGE(J60,J48),0),2,0)</f>
        <v>0.59810768283600102</v>
      </c>
      <c r="K72" s="89">
        <f ca="1">INDEX(_xll.feCxVanilla(TODAY(),"E",K$68,K$69,$AA8,$V8,AVERAGE(K60,K48),0),2,0)</f>
        <v>0.52809695737819751</v>
      </c>
      <c r="L72" s="89">
        <f ca="1">INDEX(_xll.feCxVanilla(TODAY(),"E",L$68,L$69,$AA8,$V8,AVERAGE(L60,L48),0),2,0)</f>
        <v>0.4590405911755695</v>
      </c>
      <c r="M72" s="89">
        <f ca="1">INDEX(_xll.feCxVanilla(TODAY(),"E",M$68,M$69,$AA8,$V8,AVERAGE(M60,M48),0),2,0)</f>
        <v>0.39360471570070532</v>
      </c>
      <c r="N72" s="89">
        <f ca="1">INDEX(_xll.feCxVanilla(TODAY(),"E",N$68,N$69,$AA8,$V8,AVERAGE(N60,N48),0),2,0)</f>
        <v>0.33358993938030879</v>
      </c>
      <c r="O72" s="89">
        <f ca="1">INDEX(_xll.feCxVanilla(TODAY(),"E",O$68,O$69,$AA8,$V8,AVERAGE(O60,O48),0),2,0)</f>
        <v>0.28034869102868476</v>
      </c>
      <c r="P72" s="89">
        <f ca="1">INDEX(_xll.feCxVanilla(TODAY(),"E",P$68,P$69,$AA8,$V8,AVERAGE(P60,P48),0),2,0)</f>
        <v>0.23363192550704648</v>
      </c>
      <c r="Q72" s="89">
        <f ca="1">INDEX(_xll.feCxVanilla(TODAY(),"E",Q$68,Q$69,$AA8,$V8,AVERAGE(Q60,Q48),0),2,0)</f>
        <v>0.19425470349620255</v>
      </c>
      <c r="R72" s="89">
        <f ca="1">INDEX(_xll.feCxVanilla(TODAY(),"E",R$68,R$69,$AA8,$V8,AVERAGE(R60,R48),0),2,0)</f>
        <v>0.1599457568461099</v>
      </c>
      <c r="S72" s="89">
        <f ca="1">INDEX(_xll.feCxVanilla(TODAY(),"E",S$68,S$69,$AA8,$V8,AVERAGE(S60,S48),0),2,0)</f>
        <v>0.13163981379491874</v>
      </c>
      <c r="T72" s="89">
        <f ca="1">INDEX(_xll.feCxVanilla(TODAY(),"E",T$68,T$69,$AA8,$V8,AVERAGE(T60,T48),0),2,0)</f>
        <v>0.10790953517580951</v>
      </c>
      <c r="U72" s="90">
        <f ca="1">INDEX(_xll.feCxVanilla(TODAY(),"E",U$68,U$69,$AA8,$V8,AVERAGE(U60,U48),0),2,0)</f>
        <v>8.9873232818587306E-2</v>
      </c>
    </row>
    <row r="73" spans="2:21">
      <c r="D73" s="25">
        <f t="shared" ca="1" si="16"/>
        <v>43282</v>
      </c>
      <c r="E73" s="94">
        <f ca="1">INDEX(_xll.feCxVanilla(TODAY(),"E",E$68,E$69,$AA9,$V9,AVERAGE(E61,E49),0),2,0)</f>
        <v>0.82378797275928906</v>
      </c>
      <c r="F73" s="89">
        <f ca="1">INDEX(_xll.feCxVanilla(TODAY(),"E",F$68,F$69,$AA9,$V9,AVERAGE(F61,F49),0),2,0)</f>
        <v>0.78648258381608394</v>
      </c>
      <c r="G73" s="89">
        <f ca="1">INDEX(_xll.feCxVanilla(TODAY(),"E",G$68,G$69,$AA9,$V9,AVERAGE(G61,G49),0),2,0)</f>
        <v>0.74282421441857815</v>
      </c>
      <c r="H73" s="89">
        <f ca="1">INDEX(_xll.feCxVanilla(TODAY(),"E",H$68,H$69,$AA9,$V9,AVERAGE(H61,H49),0),2,0)</f>
        <v>0.71947798198473489</v>
      </c>
      <c r="I73" s="89">
        <f ca="1">INDEX(_xll.feCxVanilla(TODAY(),"E",I$68,I$69,$AA9,$V9,AVERAGE(I61,I49),0),2,0)</f>
        <v>0.66894489328700346</v>
      </c>
      <c r="J73" s="89">
        <f ca="1">INDEX(_xll.feCxVanilla(TODAY(),"E",J$68,J$69,$AA9,$V9,AVERAGE(J61,J49),0),2,0)</f>
        <v>0.61495561874335358</v>
      </c>
      <c r="K73" s="89">
        <f ca="1">INDEX(_xll.feCxVanilla(TODAY(),"E",K$68,K$69,$AA9,$V9,AVERAGE(K61,K49),0),2,0)</f>
        <v>0.55925682891802131</v>
      </c>
      <c r="L73" s="89">
        <f ca="1">INDEX(_xll.feCxVanilla(TODAY(),"E",L$68,L$69,$AA9,$V9,AVERAGE(L61,L49),0),2,0)</f>
        <v>0.50347291148447515</v>
      </c>
      <c r="M73" s="89">
        <f ca="1">INDEX(_xll.feCxVanilla(TODAY(),"E",M$68,M$69,$AA9,$V9,AVERAGE(M61,M49),0),2,0)</f>
        <v>0.44892051816843526</v>
      </c>
      <c r="N73" s="89">
        <f ca="1">INDEX(_xll.feCxVanilla(TODAY(),"E",N$68,N$69,$AA9,$V9,AVERAGE(N61,N49),0),2,0)</f>
        <v>0.39713038123107725</v>
      </c>
      <c r="O73" s="89">
        <f ca="1">INDEX(_xll.feCxVanilla(TODAY(),"E",O$68,O$69,$AA9,$V9,AVERAGE(O61,O49),0),2,0)</f>
        <v>0.34878548442161944</v>
      </c>
      <c r="P73" s="89">
        <f ca="1">INDEX(_xll.feCxVanilla(TODAY(),"E",P$68,P$69,$AA9,$V9,AVERAGE(P61,P49),0),2,0)</f>
        <v>0.30473405174852281</v>
      </c>
      <c r="Q73" s="89">
        <f ca="1">INDEX(_xll.feCxVanilla(TODAY(),"E",Q$68,Q$69,$AA9,$V9,AVERAGE(Q61,Q49),0),2,0)</f>
        <v>0.26542789742344924</v>
      </c>
      <c r="R73" s="89">
        <f ca="1">INDEX(_xll.feCxVanilla(TODAY(),"E",R$68,R$69,$AA9,$V9,AVERAGE(R61,R49),0),2,0)</f>
        <v>0.23005353080790186</v>
      </c>
      <c r="S73" s="89">
        <f ca="1">INDEX(_xll.feCxVanilla(TODAY(),"E",S$68,S$69,$AA9,$V9,AVERAGE(S61,S49),0),2,0)</f>
        <v>0.19938611364040279</v>
      </c>
      <c r="T73" s="89">
        <f ca="1">INDEX(_xll.feCxVanilla(TODAY(),"E",T$68,T$69,$AA9,$V9,AVERAGE(T61,T49),0),2,0)</f>
        <v>0.17136626003929173</v>
      </c>
      <c r="U73" s="90">
        <f ca="1">INDEX(_xll.feCxVanilla(TODAY(),"E",U$68,U$69,$AA9,$V9,AVERAGE(U61,U49),0),2,0)</f>
        <v>0.14723228724441395</v>
      </c>
    </row>
    <row r="74" spans="2:21">
      <c r="D74" s="25">
        <f t="shared" ca="1" si="16"/>
        <v>43313</v>
      </c>
      <c r="E74" s="94">
        <f ca="1">INDEX(_xll.feCxVanilla(TODAY(),"E",E$68,E$69,$AA10,$V10,AVERAGE(E62,E50),0),2,0)</f>
        <v>0.792436374027365</v>
      </c>
      <c r="F74" s="89">
        <f ca="1">INDEX(_xll.feCxVanilla(TODAY(),"E",F$68,F$69,$AA10,$V10,AVERAGE(F62,F50),0),2,0)</f>
        <v>0.75583551882529865</v>
      </c>
      <c r="G74" s="89">
        <f ca="1">INDEX(_xll.feCxVanilla(TODAY(),"E",G$68,G$69,$AA10,$V10,AVERAGE(G62,G50),0),2,0)</f>
        <v>0.71576929200001793</v>
      </c>
      <c r="H74" s="89">
        <f ca="1">INDEX(_xll.feCxVanilla(TODAY(),"E",H$68,H$69,$AA10,$V10,AVERAGE(H62,H50),0),2,0)</f>
        <v>0.69433090066887171</v>
      </c>
      <c r="I74" s="89">
        <f ca="1">INDEX(_xll.feCxVanilla(TODAY(),"E",I$68,I$69,$AA10,$V10,AVERAGE(I62,I50),0),2,0)</f>
        <v>0.64912739059016911</v>
      </c>
      <c r="J74" s="89">
        <f ca="1">INDEX(_xll.feCxVanilla(TODAY(),"E",J$68,J$69,$AA10,$V10,AVERAGE(J62,J50),0),2,0)</f>
        <v>0.60215290458114645</v>
      </c>
      <c r="K74" s="89">
        <f ca="1">INDEX(_xll.feCxVanilla(TODAY(),"E",K$68,K$69,$AA10,$V10,AVERAGE(K62,K50),0),2,0)</f>
        <v>0.55422636416310456</v>
      </c>
      <c r="L74" s="89">
        <f ca="1">INDEX(_xll.feCxVanilla(TODAY(),"E",L$68,L$69,$AA10,$V10,AVERAGE(L62,L50),0),2,0)</f>
        <v>0.50621861090954778</v>
      </c>
      <c r="M74" s="89">
        <f ca="1">INDEX(_xll.feCxVanilla(TODAY(),"E",M$68,M$69,$AA10,$V10,AVERAGE(M62,M50),0),2,0)</f>
        <v>0.45934548521025409</v>
      </c>
      <c r="N74" s="89">
        <f ca="1">INDEX(_xll.feCxVanilla(TODAY(),"E",N$68,N$69,$AA10,$V10,AVERAGE(N62,N50),0),2,0)</f>
        <v>0.41423961085059963</v>
      </c>
      <c r="O74" s="89">
        <f ca="1">INDEX(_xll.feCxVanilla(TODAY(),"E",O$68,O$69,$AA10,$V10,AVERAGE(O62,O50),0),2,0)</f>
        <v>0.37170311851611354</v>
      </c>
      <c r="P74" s="89">
        <f ca="1">INDEX(_xll.feCxVanilla(TODAY(),"E",P$68,P$69,$AA10,$V10,AVERAGE(P62,P50),0),2,0)</f>
        <v>0.33223461095546181</v>
      </c>
      <c r="Q74" s="89">
        <f ca="1">INDEX(_xll.feCxVanilla(TODAY(),"E",Q$68,Q$69,$AA10,$V10,AVERAGE(Q62,Q50),0),2,0)</f>
        <v>0.29611064950852672</v>
      </c>
      <c r="R74" s="89">
        <f ca="1">INDEX(_xll.feCxVanilla(TODAY(),"E",R$68,R$69,$AA10,$V10,AVERAGE(R62,R50),0),2,0)</f>
        <v>0.26341432971135942</v>
      </c>
      <c r="S74" s="89">
        <f ca="1">INDEX(_xll.feCxVanilla(TODAY(),"E",S$68,S$69,$AA10,$V10,AVERAGE(S62,S50),0),2,0)</f>
        <v>0.23405487006823741</v>
      </c>
      <c r="T74" s="89">
        <f ca="1">INDEX(_xll.feCxVanilla(TODAY(),"E",T$68,T$69,$AA10,$V10,AVERAGE(T62,T50),0),2,0)</f>
        <v>0.20731461097924514</v>
      </c>
      <c r="U74" s="90">
        <f ca="1">INDEX(_xll.feCxVanilla(TODAY(),"E",U$68,U$69,$AA10,$V10,AVERAGE(U62,U50),0),2,0)</f>
        <v>0.18424843624332837</v>
      </c>
    </row>
    <row r="75" spans="2:21">
      <c r="D75" s="25">
        <f t="shared" ca="1" si="16"/>
        <v>43344</v>
      </c>
      <c r="E75" s="94">
        <f ca="1">INDEX(_xll.feCxVanilla(TODAY(),"E",E$68,E$69,$AA11,$V11,AVERAGE(E63,E51),0),2,0)</f>
        <v>0.78354006642040219</v>
      </c>
      <c r="F75" s="89">
        <f ca="1">INDEX(_xll.feCxVanilla(TODAY(),"E",F$68,F$69,$AA11,$V11,AVERAGE(F63,F51),0),2,0)</f>
        <v>0.75080697331314028</v>
      </c>
      <c r="G75" s="89">
        <f ca="1">INDEX(_xll.feCxVanilla(TODAY(),"E",G$68,G$69,$AA11,$V11,AVERAGE(G63,G51),0),2,0)</f>
        <v>0.71523952150685999</v>
      </c>
      <c r="H75" s="89">
        <f ca="1">INDEX(_xll.feCxVanilla(TODAY(),"E",H$68,H$69,$AA11,$V11,AVERAGE(H63,H51),0),2,0)</f>
        <v>0.69632370727674675</v>
      </c>
      <c r="I75" s="89">
        <f ca="1">INDEX(_xll.feCxVanilla(TODAY(),"E",I$68,I$69,$AA11,$V11,AVERAGE(I63,I51),0),2,0)</f>
        <v>0.65716549985215766</v>
      </c>
      <c r="J75" s="89">
        <f ca="1">INDEX(_xll.feCxVanilla(TODAY(),"E",J$68,J$69,$AA11,$V11,AVERAGE(J63,J51),0),2,0)</f>
        <v>0.61649589052420317</v>
      </c>
      <c r="K75" s="89">
        <f ca="1">INDEX(_xll.feCxVanilla(TODAY(),"E",K$68,K$69,$AA11,$V11,AVERAGE(K63,K51),0),2,0)</f>
        <v>0.57478433802074369</v>
      </c>
      <c r="L75" s="89">
        <f ca="1">INDEX(_xll.feCxVanilla(TODAY(),"E",L$68,L$69,$AA11,$V11,AVERAGE(L63,L51),0),2,0)</f>
        <v>0.53295104480787336</v>
      </c>
      <c r="M75" s="89">
        <f ca="1">INDEX(_xll.feCxVanilla(TODAY(),"E",M$68,M$69,$AA11,$V11,AVERAGE(M63,M51),0),2,0)</f>
        <v>0.49154838801005984</v>
      </c>
      <c r="N75" s="89">
        <f ca="1">INDEX(_xll.feCxVanilla(TODAY(),"E",N$68,N$69,$AA11,$V11,AVERAGE(N63,N51),0),2,0)</f>
        <v>0.45122666877587503</v>
      </c>
      <c r="O75" s="89">
        <f ca="1">INDEX(_xll.feCxVanilla(TODAY(),"E",O$68,O$69,$AA11,$V11,AVERAGE(O63,O51),0),2,0)</f>
        <v>0.41253638974958007</v>
      </c>
      <c r="P75" s="89">
        <f ca="1">INDEX(_xll.feCxVanilla(TODAY(),"E",P$68,P$69,$AA11,$V11,AVERAGE(P63,P51),0),2,0)</f>
        <v>0.37563073426728893</v>
      </c>
      <c r="Q75" s="89">
        <f ca="1">INDEX(_xll.feCxVanilla(TODAY(),"E",Q$68,Q$69,$AA11,$V11,AVERAGE(Q63,Q51),0),2,0)</f>
        <v>0.34151392960208266</v>
      </c>
      <c r="R75" s="89">
        <f ca="1">INDEX(_xll.feCxVanilla(TODAY(),"E",R$68,R$69,$AA11,$V11,AVERAGE(R63,R51),0),2,0)</f>
        <v>0.3097345876210576</v>
      </c>
      <c r="S75" s="89">
        <f ca="1">INDEX(_xll.feCxVanilla(TODAY(),"E",S$68,S$69,$AA11,$V11,AVERAGE(S63,S51),0),2,0)</f>
        <v>0.2804759768218007</v>
      </c>
      <c r="T75" s="89">
        <f ca="1">INDEX(_xll.feCxVanilla(TODAY(),"E",T$68,T$69,$AA11,$V11,AVERAGE(T63,T51),0),2,0)</f>
        <v>0.25394387174175781</v>
      </c>
      <c r="U75" s="90">
        <f ca="1">INDEX(_xll.feCxVanilla(TODAY(),"E",U$68,U$69,$AA11,$V11,AVERAGE(U63,U51),0),2,0)</f>
        <v>0.22958486423643937</v>
      </c>
    </row>
    <row r="76" spans="2:21">
      <c r="D76" s="25">
        <f t="shared" ca="1" si="16"/>
        <v>43374</v>
      </c>
      <c r="E76" s="94">
        <f ca="1">INDEX(_xll.feCxVanilla(TODAY(),"E",E$68,E$69,$AA12,$V12,AVERAGE(E64,E52),0),2,0)</f>
        <v>0.76425842480851669</v>
      </c>
      <c r="F76" s="89">
        <f ca="1">INDEX(_xll.feCxVanilla(TODAY(),"E",F$68,F$69,$AA12,$V12,AVERAGE(F64,F52),0),2,0)</f>
        <v>0.73266305127974873</v>
      </c>
      <c r="G76" s="89">
        <f ca="1">INDEX(_xll.feCxVanilla(TODAY(),"E",G$68,G$69,$AA12,$V12,AVERAGE(G64,G52),0),2,0)</f>
        <v>0.69913755324237203</v>
      </c>
      <c r="H76" s="89">
        <f ca="1">INDEX(_xll.feCxVanilla(TODAY(),"E",H$68,H$69,$AA12,$V12,AVERAGE(H64,H52),0),2,0)</f>
        <v>0.68196990136303171</v>
      </c>
      <c r="I76" s="89">
        <f ca="1">INDEX(_xll.feCxVanilla(TODAY(),"E",I$68,I$69,$AA12,$V12,AVERAGE(I64,I52),0),2,0)</f>
        <v>0.64603558455164145</v>
      </c>
      <c r="J76" s="89">
        <f ca="1">INDEX(_xll.feCxVanilla(TODAY(),"E",J$68,J$69,$AA12,$V12,AVERAGE(J64,J52),0),2,0)</f>
        <v>0.60871271169480301</v>
      </c>
      <c r="K76" s="89">
        <f ca="1">INDEX(_xll.feCxVanilla(TODAY(),"E",K$68,K$69,$AA12,$V12,AVERAGE(K64,K52),0),2,0)</f>
        <v>0.57069489216266589</v>
      </c>
      <c r="L76" s="89">
        <f ca="1">INDEX(_xll.feCxVanilla(TODAY(),"E",L$68,L$69,$AA12,$V12,AVERAGE(L64,L52),0),2,0)</f>
        <v>0.53266562596998801</v>
      </c>
      <c r="M76" s="89">
        <f ca="1">INDEX(_xll.feCxVanilla(TODAY(),"E",M$68,M$69,$AA12,$V12,AVERAGE(M64,M52),0),2,0)</f>
        <v>0.49496514328558561</v>
      </c>
      <c r="N76" s="89">
        <f ca="1">INDEX(_xll.feCxVanilla(TODAY(),"E",N$68,N$69,$AA12,$V12,AVERAGE(N64,N52),0),2,0)</f>
        <v>0.45829045575807836</v>
      </c>
      <c r="O76" s="89">
        <f ca="1">INDEX(_xll.feCxVanilla(TODAY(),"E",O$68,O$69,$AA12,$V12,AVERAGE(O64,O52),0),2,0)</f>
        <v>0.42289603598807762</v>
      </c>
      <c r="P76" s="89">
        <f ca="1">INDEX(_xll.feCxVanilla(TODAY(),"E",P$68,P$69,$AA12,$V12,AVERAGE(P64,P52),0),2,0)</f>
        <v>0.38887711285854976</v>
      </c>
      <c r="Q76" s="89">
        <f ca="1">INDEX(_xll.feCxVanilla(TODAY(),"E",Q$68,Q$69,$AA12,$V12,AVERAGE(Q64,Q52),0),2,0)</f>
        <v>0.35701106280354722</v>
      </c>
      <c r="R76" s="89">
        <f ca="1">INDEX(_xll.feCxVanilla(TODAY(),"E",R$68,R$69,$AA12,$V12,AVERAGE(R64,R52),0),2,0)</f>
        <v>0.32732225303364421</v>
      </c>
      <c r="S76" s="89">
        <f ca="1">INDEX(_xll.feCxVanilla(TODAY(),"E",S$68,S$69,$AA12,$V12,AVERAGE(S64,S52),0),2,0)</f>
        <v>0.29928327112429526</v>
      </c>
      <c r="T76" s="89">
        <f ca="1">INDEX(_xll.feCxVanilla(TODAY(),"E",T$68,T$69,$AA12,$V12,AVERAGE(T64,T52),0),2,0)</f>
        <v>0.27350773897862762</v>
      </c>
      <c r="U76" s="90">
        <f ca="1">INDEX(_xll.feCxVanilla(TODAY(),"E",U$68,U$69,$AA12,$V12,AVERAGE(U64,U52),0),2,0)</f>
        <v>0.25020678542016972</v>
      </c>
    </row>
    <row r="77" spans="2:21">
      <c r="D77" s="26">
        <f t="shared" ca="1" si="16"/>
        <v>43435</v>
      </c>
      <c r="E77" s="95">
        <f ca="1">INDEX(_xll.feCxVanilla(TODAY(),"E",E$68,E$69,$AA13,$V13,AVERAGE(E65,E53),0),2,0)</f>
        <v>0.74709729540920256</v>
      </c>
      <c r="F77" s="91">
        <f ca="1">INDEX(_xll.feCxVanilla(TODAY(),"E",F$68,F$69,$AA13,$V13,AVERAGE(F65,F53),0),2,0)</f>
        <v>0.71968542930966395</v>
      </c>
      <c r="G77" s="91">
        <f ca="1">INDEX(_xll.feCxVanilla(TODAY(),"E",G$68,G$69,$AA13,$V13,AVERAGE(G65,G53),0),2,0)</f>
        <v>0.69123785767956514</v>
      </c>
      <c r="H77" s="91">
        <f ca="1">INDEX(_xll.feCxVanilla(TODAY(),"E",H$68,H$69,$AA13,$V13,AVERAGE(H65,H53),0),2,0)</f>
        <v>0.67649313785530407</v>
      </c>
      <c r="I77" s="91">
        <f ca="1">INDEX(_xll.feCxVanilla(TODAY(),"E",I$68,I$69,$AA13,$V13,AVERAGE(I65,I53),0),2,0)</f>
        <v>0.64642931406311566</v>
      </c>
      <c r="J77" s="91">
        <f ca="1">INDEX(_xll.feCxVanilla(TODAY(),"E",J$68,J$69,$AA13,$V13,AVERAGE(J65,J53),0),2,0)</f>
        <v>0.61524339399413119</v>
      </c>
      <c r="K77" s="91">
        <f ca="1">INDEX(_xll.feCxVanilla(TODAY(),"E",K$68,K$69,$AA13,$V13,AVERAGE(K65,K53),0),2,0)</f>
        <v>0.5839723804112632</v>
      </c>
      <c r="L77" s="91">
        <f ca="1">INDEX(_xll.feCxVanilla(TODAY(),"E",L$68,L$69,$AA13,$V13,AVERAGE(L65,L53),0),2,0)</f>
        <v>0.55237248261959637</v>
      </c>
      <c r="M77" s="91">
        <f ca="1">INDEX(_xll.feCxVanilla(TODAY(),"E",M$68,M$69,$AA13,$V13,AVERAGE(M65,M53),0),2,0)</f>
        <v>0.52098288349196253</v>
      </c>
      <c r="N77" s="91">
        <f ca="1">INDEX(_xll.feCxVanilla(TODAY(),"E",N$68,N$69,$AA13,$V13,AVERAGE(N65,N53),0),2,0)</f>
        <v>0.49001268217319904</v>
      </c>
      <c r="O77" s="91">
        <f ca="1">INDEX(_xll.feCxVanilla(TODAY(),"E",O$68,O$69,$AA13,$V13,AVERAGE(O65,O53),0),2,0)</f>
        <v>0.45980614333722458</v>
      </c>
      <c r="P77" s="91">
        <f ca="1">INDEX(_xll.feCxVanilla(TODAY(),"E",P$68,P$69,$AA13,$V13,AVERAGE(P65,P53),0),2,0)</f>
        <v>0.43049159474069676</v>
      </c>
      <c r="Q77" s="91">
        <f ca="1">INDEX(_xll.feCxVanilla(TODAY(),"E",Q$68,Q$69,$AA13,$V13,AVERAGE(Q65,Q53),0),2,0)</f>
        <v>0.40223628203634204</v>
      </c>
      <c r="R77" s="91">
        <f ca="1">INDEX(_xll.feCxVanilla(TODAY(),"E",R$68,R$69,$AA13,$V13,AVERAGE(R65,R53),0),2,0)</f>
        <v>0.37552758377232165</v>
      </c>
      <c r="S77" s="91">
        <f ca="1">INDEX(_xll.feCxVanilla(TODAY(),"E",S$68,S$69,$AA13,$V13,AVERAGE(S65,S53),0),2,0)</f>
        <v>0.35014349083684793</v>
      </c>
      <c r="T77" s="91">
        <f ca="1">INDEX(_xll.feCxVanilla(TODAY(),"E",T$68,T$69,$AA13,$V13,AVERAGE(T65,T53),0),2,0)</f>
        <v>0.32618565619315776</v>
      </c>
      <c r="U77" s="92">
        <f ca="1">INDEX(_xll.feCxVanilla(TODAY(),"E",U$68,U$69,$AA13,$V13,AVERAGE(U65,U53),0),2,0)</f>
        <v>0.30353736307208812</v>
      </c>
    </row>
    <row r="80" spans="2:21">
      <c r="B80" t="s">
        <v>131</v>
      </c>
      <c r="D80" s="82" t="s">
        <v>95</v>
      </c>
      <c r="E80" s="83" t="str">
        <f ca="1">E44</f>
        <v>C</v>
      </c>
      <c r="F80" s="83" t="str">
        <f t="shared" ref="F80:U80" ca="1" si="17">F44</f>
        <v>C</v>
      </c>
      <c r="G80" s="83" t="str">
        <f t="shared" ca="1" si="17"/>
        <v>C</v>
      </c>
      <c r="H80" s="83" t="str">
        <f t="shared" ca="1" si="17"/>
        <v>C</v>
      </c>
      <c r="I80" s="83" t="str">
        <f t="shared" ca="1" si="17"/>
        <v>C</v>
      </c>
      <c r="J80" s="83" t="str">
        <f t="shared" ca="1" si="17"/>
        <v>C</v>
      </c>
      <c r="K80" s="83" t="str">
        <f t="shared" ca="1" si="17"/>
        <v>C</v>
      </c>
      <c r="L80" s="83" t="str">
        <f t="shared" ca="1" si="17"/>
        <v>C</v>
      </c>
      <c r="M80" s="83" t="str">
        <f t="shared" ca="1" si="17"/>
        <v>C</v>
      </c>
      <c r="N80" s="83" t="str">
        <f t="shared" ca="1" si="17"/>
        <v>C</v>
      </c>
      <c r="O80" s="83" t="str">
        <f t="shared" ca="1" si="17"/>
        <v>C</v>
      </c>
      <c r="P80" s="83" t="str">
        <f t="shared" ca="1" si="17"/>
        <v>C</v>
      </c>
      <c r="Q80" s="83" t="str">
        <f t="shared" ca="1" si="17"/>
        <v>C</v>
      </c>
      <c r="R80" s="83" t="str">
        <f t="shared" ca="1" si="17"/>
        <v>C</v>
      </c>
      <c r="S80" s="83" t="str">
        <f t="shared" ca="1" si="17"/>
        <v>C</v>
      </c>
      <c r="T80" s="83" t="str">
        <f t="shared" ca="1" si="17"/>
        <v>C</v>
      </c>
      <c r="U80" s="84" t="str">
        <f t="shared" ca="1" si="17"/>
        <v>C</v>
      </c>
    </row>
    <row r="81" spans="2:22">
      <c r="D81" s="81" t="s">
        <v>96</v>
      </c>
      <c r="E81" s="85">
        <f ca="1">E5</f>
        <v>1275</v>
      </c>
      <c r="F81" s="85">
        <f t="shared" ref="F81:U81" ca="1" si="18">F5</f>
        <v>1285</v>
      </c>
      <c r="G81" s="85">
        <f t="shared" ca="1" si="18"/>
        <v>1295</v>
      </c>
      <c r="H81" s="85">
        <f t="shared" ca="1" si="18"/>
        <v>1300</v>
      </c>
      <c r="I81" s="85">
        <f t="shared" ca="1" si="18"/>
        <v>1310</v>
      </c>
      <c r="J81" s="85">
        <f t="shared" ca="1" si="18"/>
        <v>1320</v>
      </c>
      <c r="K81" s="85">
        <f t="shared" ca="1" si="18"/>
        <v>1330</v>
      </c>
      <c r="L81" s="85">
        <f t="shared" ca="1" si="18"/>
        <v>1340</v>
      </c>
      <c r="M81" s="85">
        <f t="shared" ca="1" si="18"/>
        <v>1350</v>
      </c>
      <c r="N81" s="85">
        <f t="shared" ca="1" si="18"/>
        <v>1360</v>
      </c>
      <c r="O81" s="85">
        <f t="shared" ca="1" si="18"/>
        <v>1370</v>
      </c>
      <c r="P81" s="85">
        <f t="shared" ca="1" si="18"/>
        <v>1380</v>
      </c>
      <c r="Q81" s="85">
        <f t="shared" ca="1" si="18"/>
        <v>1390</v>
      </c>
      <c r="R81" s="85">
        <f t="shared" ca="1" si="18"/>
        <v>1400</v>
      </c>
      <c r="S81" s="85">
        <f t="shared" ca="1" si="18"/>
        <v>1410</v>
      </c>
      <c r="T81" s="85">
        <f t="shared" ca="1" si="18"/>
        <v>1420</v>
      </c>
      <c r="U81" s="86">
        <f t="shared" ca="1" si="18"/>
        <v>1430</v>
      </c>
    </row>
    <row r="82" spans="2:22">
      <c r="D82" s="27">
        <f ca="1">D46</f>
        <v>43191</v>
      </c>
      <c r="E82" s="93">
        <f ca="1">_xll.feFxVolatilityForDeltaStrike($AB$42,$AA6,ABS(E70),"ForwardDelta",IF(E$80="P","PUT","CALL"),$B$36)</f>
        <v>0.11590887683315756</v>
      </c>
      <c r="F82" s="87">
        <f ca="1">_xll.feFxVolatilityForDeltaStrike($AB$42,$AA6,ABS(F70),"ForwardDelta",IF(F$80="P","PUT","CALL"),$B$36)</f>
        <v>0.11344095823543959</v>
      </c>
      <c r="G82" s="87">
        <f ca="1">_xll.feFxVolatilityForDeltaStrike($AB$42,$AA6,ABS(G70),"ForwardDelta",IF(G$80="P","PUT","CALL"),$B$36)</f>
        <v>0.10988324254772103</v>
      </c>
      <c r="H82" s="87">
        <f ca="1">_xll.feFxVolatilityForDeltaStrike($AB$42,$AA6,ABS(H70),"ForwardDelta",IF(H$80="P","PUT","CALL"),$B$36)</f>
        <v>0.10788960390521964</v>
      </c>
      <c r="I82" s="87">
        <f ca="1">_xll.feFxVolatilityForDeltaStrike($AB$42,$AA6,ABS(I70),"ForwardDelta",IF(I$80="P","PUT","CALL"),$B$36)</f>
        <v>0.10404257585856687</v>
      </c>
      <c r="J82" s="87">
        <f ca="1">_xll.feFxVolatilityForDeltaStrike($AB$42,$AA6,ABS(J70),"ForwardDelta",IF(J$80="P","PUT","CALL"),$B$36)</f>
        <v>0.1019987556595261</v>
      </c>
      <c r="K82" s="87">
        <f ca="1">_xll.feFxVolatilityForDeltaStrike($AB$42,$AA6,ABS(K70),"ForwardDelta",IF(K$80="P","PUT","CALL"),$B$36)</f>
        <v>0.10292436103263285</v>
      </c>
      <c r="L82" s="87">
        <f ca="1">_xll.feFxVolatilityForDeltaStrike($AB$42,$AA6,ABS(L70),"ForwardDelta",IF(L$80="P","PUT","CALL"),$B$36)</f>
        <v>0.10699049181115622</v>
      </c>
      <c r="M82" s="87">
        <f ca="1">_xll.feFxVolatilityForDeltaStrike($AB$42,$AA6,ABS(M70),"ForwardDelta",IF(M$80="P","PUT","CALL"),$B$36)</f>
        <v>0.11259498363091409</v>
      </c>
      <c r="N82" s="87">
        <f ca="1">_xll.feFxVolatilityForDeltaStrike($AB$42,$AA6,ABS(N70),"ForwardDelta",IF(N$80="P","PUT","CALL"),$B$36)</f>
        <v>0.11808683570745517</v>
      </c>
      <c r="O82" s="87">
        <f ca="1">_xll.feFxVolatilityForDeltaStrike($AB$42,$AA6,ABS(O70),"ForwardDelta",IF(O$80="P","PUT","CALL"),$B$36)</f>
        <v>0.12297348035514725</v>
      </c>
      <c r="P82" s="87">
        <f ca="1">_xll.feFxVolatilityForDeltaStrike($AB$42,$AA6,ABS(P70),"ForwardDelta",IF(P$80="P","PUT","CALL"),$B$36)</f>
        <v>0.1272451904255949</v>
      </c>
      <c r="Q82" s="87">
        <f ca="1">_xll.feFxVolatilityForDeltaStrike($AB$42,$AA6,ABS(Q70),"ForwardDelta",IF(Q$80="P","PUT","CALL"),$B$36)</f>
        <v>0.130852651130756</v>
      </c>
      <c r="R82" s="87">
        <f ca="1">_xll.feFxVolatilityForDeltaStrike($AB$42,$AA6,ABS(R70),"ForwardDelta",IF(R$80="P","PUT","CALL"),$B$36)</f>
        <v>0.13471659624035234</v>
      </c>
      <c r="S82" s="87">
        <f ca="1">_xll.feFxVolatilityForDeltaStrike($AB$42,$AA6,ABS(S70),"ForwardDelta",IF(S$80="P","PUT","CALL"),$B$36)</f>
        <v>0.13657257217089805</v>
      </c>
      <c r="T82" s="87">
        <f ca="1">_xll.feFxVolatilityForDeltaStrike($AB$42,$AA6,ABS(T70),"ForwardDelta",IF(T$80="P","PUT","CALL"),$B$36)</f>
        <v>0.13927385892800001</v>
      </c>
      <c r="U82" s="88">
        <f ca="1">_xll.feFxVolatilityForDeltaStrike($AB$42,$AA6,ABS(U70),"ForwardDelta",IF(U$80="P","PUT","CALL"),$B$36)</f>
        <v>0.14140861198548815</v>
      </c>
    </row>
    <row r="83" spans="2:22">
      <c r="D83" s="25">
        <f t="shared" ref="D83:D89" ca="1" si="19">D47</f>
        <v>43221</v>
      </c>
      <c r="E83" s="94">
        <f ca="1">_xll.feFxVolatilityForDeltaStrike($AB$42,$AA7,ABS(E71),"ForwardDelta",IF(E$80="P","PUT","CALL"),$B$36)</f>
        <v>0.11023248046650697</v>
      </c>
      <c r="F83" s="89">
        <f ca="1">_xll.feFxVolatilityForDeltaStrike($AB$42,$AA7,ABS(F71),"ForwardDelta",IF(F$80="P","PUT","CALL"),$B$36)</f>
        <v>0.10880371337670248</v>
      </c>
      <c r="G83" s="89">
        <f ca="1">_xll.feFxVolatilityForDeltaStrike($AB$42,$AA7,ABS(G71),"ForwardDelta",IF(G$80="P","PUT","CALL"),$B$36)</f>
        <v>0.10726794569845494</v>
      </c>
      <c r="H83" s="89">
        <f ca="1">_xll.feFxVolatilityForDeltaStrike($AB$42,$AA7,ABS(H71),"ForwardDelta",IF(H$80="P","PUT","CALL"),$B$36)</f>
        <v>0.10661334746032762</v>
      </c>
      <c r="I83" s="89">
        <f ca="1">_xll.feFxVolatilityForDeltaStrike($AB$42,$AA7,ABS(I71),"ForwardDelta",IF(I$80="P","PUT","CALL"),$B$36)</f>
        <v>0.10562195223806106</v>
      </c>
      <c r="J83" s="89">
        <f ca="1">_xll.feFxVolatilityForDeltaStrike($AB$42,$AA7,ABS(J71),"ForwardDelta",IF(J$80="P","PUT","CALL"),$B$36)</f>
        <v>0.10521189876163491</v>
      </c>
      <c r="K83" s="89">
        <f ca="1">_xll.feFxVolatilityForDeltaStrike($AB$42,$AA7,ABS(K71),"ForwardDelta",IF(K$80="P","PUT","CALL"),$B$36)</f>
        <v>0.10567725701231891</v>
      </c>
      <c r="L83" s="89">
        <f ca="1">_xll.feFxVolatilityForDeltaStrike($AB$42,$AA7,ABS(L71),"ForwardDelta",IF(L$80="P","PUT","CALL"),$B$36)</f>
        <v>0.10719987578281472</v>
      </c>
      <c r="M83" s="89">
        <f ca="1">_xll.feFxVolatilityForDeltaStrike($AB$42,$AA7,ABS(M71),"ForwardDelta",IF(M$80="P","PUT","CALL"),$B$36)</f>
        <v>0.10964985508922916</v>
      </c>
      <c r="N83" s="89">
        <f ca="1">_xll.feFxVolatilityForDeltaStrike($AB$42,$AA7,ABS(N71),"ForwardDelta",IF(N$80="P","PUT","CALL"),$B$36)</f>
        <v>0.11261194113841201</v>
      </c>
      <c r="O83" s="89">
        <f ca="1">_xll.feFxVolatilityForDeltaStrike($AB$42,$AA7,ABS(O71),"ForwardDelta",IF(O$80="P","PUT","CALL"),$B$36)</f>
        <v>0.11574619441298896</v>
      </c>
      <c r="P83" s="89">
        <f ca="1">_xll.feFxVolatilityForDeltaStrike($AB$42,$AA7,ABS(P71),"ForwardDelta",IF(P$80="P","PUT","CALL"),$B$36)</f>
        <v>0.11887097639557617</v>
      </c>
      <c r="Q83" s="89">
        <f ca="1">_xll.feFxVolatilityForDeltaStrike($AB$42,$AA7,ABS(Q71),"ForwardDelta",IF(Q$80="P","PUT","CALL"),$B$36)</f>
        <v>0.12191427575619906</v>
      </c>
      <c r="R83" s="89">
        <f ca="1">_xll.feFxVolatilityForDeltaStrike($AB$42,$AA7,ABS(R71),"ForwardDelta",IF(R$80="P","PUT","CALL"),$B$36)</f>
        <v>0.12469173682003076</v>
      </c>
      <c r="S83" s="89">
        <f ca="1">_xll.feFxVolatilityForDeltaStrike($AB$42,$AA7,ABS(S71),"ForwardDelta",IF(S$80="P","PUT","CALL"),$B$36)</f>
        <v>0.1272839413109372</v>
      </c>
      <c r="T83" s="89">
        <f ca="1">_xll.feFxVolatilityForDeltaStrike($AB$42,$AA7,ABS(T71),"ForwardDelta",IF(T$80="P","PUT","CALL"),$B$36)</f>
        <v>0.12967957448273246</v>
      </c>
      <c r="U83" s="90">
        <f ca="1">_xll.feFxVolatilityForDeltaStrike($AB$42,$AA7,ABS(U71),"ForwardDelta",IF(U$80="P","PUT","CALL"),$B$36)</f>
        <v>0.131923527489098</v>
      </c>
    </row>
    <row r="84" spans="2:22">
      <c r="D84" s="25">
        <f t="shared" ca="1" si="19"/>
        <v>43252</v>
      </c>
      <c r="E84" s="94">
        <f ca="1">_xll.feFxVolatilityForDeltaStrike($AB$42,$AA8,ABS(E72),"ForwardDelta",IF(E$80="P","PUT","CALL"),$B$36)</f>
        <v>0.10872817486870653</v>
      </c>
      <c r="F84" s="89">
        <f ca="1">_xll.feFxVolatilityForDeltaStrike($AB$42,$AA8,ABS(F72),"ForwardDelta",IF(F$80="P","PUT","CALL"),$B$36)</f>
        <v>0.10752465062999626</v>
      </c>
      <c r="G84" s="89">
        <f ca="1">_xll.feFxVolatilityForDeltaStrike($AB$42,$AA8,ABS(G72),"ForwardDelta",IF(G$80="P","PUT","CALL"),$B$36)</f>
        <v>0.1065462712129233</v>
      </c>
      <c r="H84" s="89">
        <f ca="1">_xll.feFxVolatilityForDeltaStrike($AB$42,$AA8,ABS(H72),"ForwardDelta",IF(H$80="P","PUT","CALL"),$B$36)</f>
        <v>0.10615472805115919</v>
      </c>
      <c r="I84" s="89">
        <f ca="1">_xll.feFxVolatilityForDeltaStrike($AB$42,$AA8,ABS(I72),"ForwardDelta",IF(I$80="P","PUT","CALL"),$B$36)</f>
        <v>0.10570461548805554</v>
      </c>
      <c r="J84" s="89">
        <f ca="1">_xll.feFxVolatilityForDeltaStrike($AB$42,$AA8,ABS(J72),"ForwardDelta",IF(J$80="P","PUT","CALL"),$B$36)</f>
        <v>0.10578081141807348</v>
      </c>
      <c r="K84" s="89">
        <f ca="1">_xll.feFxVolatilityForDeltaStrike($AB$42,$AA8,ABS(K72),"ForwardDelta",IF(K$80="P","PUT","CALL"),$B$36)</f>
        <v>0.10649486905847702</v>
      </c>
      <c r="L84" s="89">
        <f ca="1">_xll.feFxVolatilityForDeltaStrike($AB$42,$AA8,ABS(L72),"ForwardDelta",IF(L$80="P","PUT","CALL"),$B$36)</f>
        <v>0.10793338017419155</v>
      </c>
      <c r="M84" s="89">
        <f ca="1">_xll.feFxVolatilityForDeltaStrike($AB$42,$AA8,ABS(M72),"ForwardDelta",IF(M$80="P","PUT","CALL"),$B$36)</f>
        <v>0.11002873007612184</v>
      </c>
      <c r="N84" s="89">
        <f ca="1">_xll.feFxVolatilityForDeltaStrike($AB$42,$AA8,ABS(N72),"ForwardDelta",IF(N$80="P","PUT","CALL"),$B$36)</f>
        <v>0.11260204053246783</v>
      </c>
      <c r="O84" s="89">
        <f ca="1">_xll.feFxVolatilityForDeltaStrike($AB$42,$AA8,ABS(O72),"ForwardDelta",IF(O$80="P","PUT","CALL"),$B$36)</f>
        <v>0.11545028838200869</v>
      </c>
      <c r="P84" s="89">
        <f ca="1">_xll.feFxVolatilityForDeltaStrike($AB$42,$AA8,ABS(P72),"ForwardDelta",IF(P$80="P","PUT","CALL"),$B$36)</f>
        <v>0.1184132581353865</v>
      </c>
      <c r="Q84" s="89">
        <f ca="1">_xll.feFxVolatilityForDeltaStrike($AB$42,$AA8,ABS(Q72),"ForwardDelta",IF(Q$80="P","PUT","CALL"),$B$36)</f>
        <v>0.12129891472101323</v>
      </c>
      <c r="R84" s="89">
        <f ca="1">_xll.feFxVolatilityForDeltaStrike($AB$42,$AA8,ABS(R72),"ForwardDelta",IF(R$80="P","PUT","CALL"),$B$36)</f>
        <v>0.1242198181370341</v>
      </c>
      <c r="S84" s="89">
        <f ca="1">_xll.feFxVolatilityForDeltaStrike($AB$42,$AA8,ABS(S72),"ForwardDelta",IF(S$80="P","PUT","CALL"),$B$36)</f>
        <v>0.12703765172884948</v>
      </c>
      <c r="T84" s="89">
        <f ca="1">_xll.feFxVolatilityForDeltaStrike($AB$42,$AA8,ABS(T72),"ForwardDelta",IF(T$80="P","PUT","CALL"),$B$36)</f>
        <v>0.12980785095875175</v>
      </c>
      <c r="U84" s="90">
        <f ca="1">_xll.feFxVolatilityForDeltaStrike($AB$42,$AA8,ABS(U72),"ForwardDelta",IF(U$80="P","PUT","CALL"),$B$36)</f>
        <v>0.13226565356187034</v>
      </c>
    </row>
    <row r="85" spans="2:22">
      <c r="D85" s="25">
        <f t="shared" ca="1" si="19"/>
        <v>43282</v>
      </c>
      <c r="E85" s="94">
        <f ca="1">_xll.feFxVolatilityForDeltaStrike($AB$42,$AA9,ABS(E73),"ForwardDelta",IF(E$80="P","PUT","CALL"),$B$36)</f>
        <v>0.10906126466470399</v>
      </c>
      <c r="F85" s="89">
        <f ca="1">_xll.feFxVolatilityForDeltaStrike($AB$42,$AA9,ABS(F73),"ForwardDelta",IF(F$80="P","PUT","CALL"),$B$36)</f>
        <v>0.10805827426323412</v>
      </c>
      <c r="G85" s="89">
        <f ca="1">_xll.feFxVolatilityForDeltaStrike($AB$42,$AA9,ABS(G73),"ForwardDelta",IF(G$80="P","PUT","CALL"),$B$36)</f>
        <v>0.10723322140127357</v>
      </c>
      <c r="H85" s="89">
        <f ca="1">_xll.feFxVolatilityForDeltaStrike($AB$42,$AA9,ABS(H73),"ForwardDelta",IF(H$80="P","PUT","CALL"),$B$36)</f>
        <v>0.10692243859975899</v>
      </c>
      <c r="I85" s="89">
        <f ca="1">_xll.feFxVolatilityForDeltaStrike($AB$42,$AA9,ABS(I73),"ForwardDelta",IF(I$80="P","PUT","CALL"),$B$36)</f>
        <v>0.1065281224033257</v>
      </c>
      <c r="J85" s="89">
        <f ca="1">_xll.feFxVolatilityForDeltaStrike($AB$42,$AA9,ABS(J73),"ForwardDelta",IF(J$80="P","PUT","CALL"),$B$36)</f>
        <v>0.10650169798561969</v>
      </c>
      <c r="K85" s="89">
        <f ca="1">_xll.feFxVolatilityForDeltaStrike($AB$42,$AA9,ABS(K73),"ForwardDelta",IF(K$80="P","PUT","CALL"),$B$36)</f>
        <v>0.10689876734005638</v>
      </c>
      <c r="L85" s="89">
        <f ca="1">_xll.feFxVolatilityForDeltaStrike($AB$42,$AA9,ABS(L73),"ForwardDelta",IF(L$80="P","PUT","CALL"),$B$36)</f>
        <v>0.10776567511120981</v>
      </c>
      <c r="M85" s="89">
        <f ca="1">_xll.feFxVolatilityForDeltaStrike($AB$42,$AA9,ABS(M73),"ForwardDelta",IF(M$80="P","PUT","CALL"),$B$36)</f>
        <v>0.10913317150410469</v>
      </c>
      <c r="N85" s="89">
        <f ca="1">_xll.feFxVolatilityForDeltaStrike($AB$42,$AA9,ABS(N73),"ForwardDelta",IF(N$80="P","PUT","CALL"),$B$36)</f>
        <v>0.11092399241785882</v>
      </c>
      <c r="O85" s="89">
        <f ca="1">_xll.feFxVolatilityForDeltaStrike($AB$42,$AA9,ABS(O73),"ForwardDelta",IF(O$80="P","PUT","CALL"),$B$36)</f>
        <v>0.11304825039997636</v>
      </c>
      <c r="P85" s="89">
        <f ca="1">_xll.feFxVolatilityForDeltaStrike($AB$42,$AA9,ABS(P73),"ForwardDelta",IF(P$80="P","PUT","CALL"),$B$36)</f>
        <v>0.11539411372071243</v>
      </c>
      <c r="Q85" s="89">
        <f ca="1">_xll.feFxVolatilityForDeltaStrike($AB$42,$AA9,ABS(Q73),"ForwardDelta",IF(Q$80="P","PUT","CALL"),$B$36)</f>
        <v>0.11784311829048552</v>
      </c>
      <c r="R85" s="89">
        <f ca="1">_xll.feFxVolatilityForDeltaStrike($AB$42,$AA9,ABS(R73),"ForwardDelta",IF(R$80="P","PUT","CALL"),$B$36)</f>
        <v>0.12034631167535269</v>
      </c>
      <c r="S85" s="89">
        <f ca="1">_xll.feFxVolatilityForDeltaStrike($AB$42,$AA9,ABS(S73),"ForwardDelta",IF(S$80="P","PUT","CALL"),$B$36)</f>
        <v>0.12278537063568143</v>
      </c>
      <c r="T85" s="89">
        <f ca="1">_xll.feFxVolatilityForDeltaStrike($AB$42,$AA9,ABS(T73),"ForwardDelta",IF(T$80="P","PUT","CALL"),$B$36)</f>
        <v>0.12529979578188793</v>
      </c>
      <c r="U85" s="90">
        <f ca="1">_xll.feFxVolatilityForDeltaStrike($AB$42,$AA9,ABS(U73),"ForwardDelta",IF(U$80="P","PUT","CALL"),$B$36)</f>
        <v>0.12775435637494315</v>
      </c>
    </row>
    <row r="86" spans="2:22">
      <c r="D86" s="25">
        <f t="shared" ca="1" si="19"/>
        <v>43313</v>
      </c>
      <c r="E86" s="94">
        <f ca="1">_xll.feFxVolatilityForDeltaStrike($AB$42,$AA10,ABS(E74),"ForwardDelta",IF(E$80="P","PUT","CALL"),$B$36)</f>
        <v>0.11187808635337873</v>
      </c>
      <c r="F86" s="89">
        <f ca="1">_xll.feFxVolatilityForDeltaStrike($AB$42,$AA10,ABS(F74),"ForwardDelta",IF(F$80="P","PUT","CALL"),$B$36)</f>
        <v>0.11103188795252532</v>
      </c>
      <c r="G86" s="89">
        <f ca="1">_xll.feFxVolatilityForDeltaStrike($AB$42,$AA10,ABS(G74),"ForwardDelta",IF(G$80="P","PUT","CALL"),$B$36)</f>
        <v>0.11040563338188454</v>
      </c>
      <c r="H86" s="89">
        <f ca="1">_xll.feFxVolatilityForDeltaStrike($AB$42,$AA10,ABS(H74),"ForwardDelta",IF(H$80="P","PUT","CALL"),$B$36)</f>
        <v>0.11018337590540518</v>
      </c>
      <c r="I86" s="89">
        <f ca="1">_xll.feFxVolatilityForDeltaStrike($AB$42,$AA10,ABS(I74),"ForwardDelta",IF(I$80="P","PUT","CALL"),$B$36)</f>
        <v>0.10994838400148819</v>
      </c>
      <c r="J86" s="89">
        <f ca="1">_xll.feFxVolatilityForDeltaStrike($AB$42,$AA10,ABS(J74),"ForwardDelta",IF(J$80="P","PUT","CALL"),$B$36)</f>
        <v>0.11002186737848837</v>
      </c>
      <c r="K86" s="89">
        <f ca="1">_xll.feFxVolatilityForDeltaStrike($AB$42,$AA10,ABS(K74),"ForwardDelta",IF(K$80="P","PUT","CALL"),$B$36)</f>
        <v>0.11042871565463719</v>
      </c>
      <c r="L86" s="89">
        <f ca="1">_xll.feFxVolatilityForDeltaStrike($AB$42,$AA10,ABS(L74),"ForwardDelta",IF(L$80="P","PUT","CALL"),$B$36)</f>
        <v>0.11119596310391013</v>
      </c>
      <c r="M86" s="89">
        <f ca="1">_xll.feFxVolatilityForDeltaStrike($AB$42,$AA10,ABS(M74),"ForwardDelta",IF(M$80="P","PUT","CALL"),$B$36)</f>
        <v>0.11233456200532346</v>
      </c>
      <c r="N86" s="89">
        <f ca="1">_xll.feFxVolatilityForDeltaStrike($AB$42,$AA10,ABS(N74),"ForwardDelta",IF(N$80="P","PUT","CALL"),$B$36)</f>
        <v>0.11380686707960348</v>
      </c>
      <c r="O86" s="89">
        <f ca="1">_xll.feFxVolatilityForDeltaStrike($AB$42,$AA10,ABS(O74),"ForwardDelta",IF(O$80="P","PUT","CALL"),$B$36)</f>
        <v>0.11554610274212461</v>
      </c>
      <c r="P86" s="89">
        <f ca="1">_xll.feFxVolatilityForDeltaStrike($AB$42,$AA10,ABS(P74),"ForwardDelta",IF(P$80="P","PUT","CALL"),$B$36)</f>
        <v>0.1174862793670146</v>
      </c>
      <c r="Q86" s="89">
        <f ca="1">_xll.feFxVolatilityForDeltaStrike($AB$42,$AA10,ABS(Q74),"ForwardDelta",IF(Q$80="P","PUT","CALL"),$B$36)</f>
        <v>0.11956124401399859</v>
      </c>
      <c r="R86" s="89">
        <f ca="1">_xll.feFxVolatilityForDeltaStrike($AB$42,$AA10,ABS(R74),"ForwardDelta",IF(R$80="P","PUT","CALL"),$B$36)</f>
        <v>0.12170622292137236</v>
      </c>
      <c r="S86" s="89">
        <f ca="1">_xll.feFxVolatilityForDeltaStrike($AB$42,$AA10,ABS(S74),"ForwardDelta",IF(S$80="P","PUT","CALL"),$B$36)</f>
        <v>0.12386072872489619</v>
      </c>
      <c r="T86" s="89">
        <f ca="1">_xll.feFxVolatilityForDeltaStrike($AB$42,$AA10,ABS(T74),"ForwardDelta",IF(T$80="P","PUT","CALL"),$B$36)</f>
        <v>0.12604075274652829</v>
      </c>
      <c r="U86" s="90">
        <f ca="1">_xll.feFxVolatilityForDeltaStrike($AB$42,$AA10,ABS(U74),"ForwardDelta",IF(U$80="P","PUT","CALL"),$B$36)</f>
        <v>0.12812772674017664</v>
      </c>
    </row>
    <row r="87" spans="2:22">
      <c r="D87" s="25">
        <f t="shared" ca="1" si="19"/>
        <v>43344</v>
      </c>
      <c r="E87" s="94">
        <f ca="1">_xll.feFxVolatilityForDeltaStrike($AB$42,$AA11,ABS(E75),"ForwardDelta",IF(E$80="P","PUT","CALL"),$B$36)</f>
        <v>0.11496869942236185</v>
      </c>
      <c r="F87" s="89">
        <f ca="1">_xll.feFxVolatilityForDeltaStrike($AB$42,$AA11,ABS(F75),"ForwardDelta",IF(F$80="P","PUT","CALL"),$B$36)</f>
        <v>0.1141820567318588</v>
      </c>
      <c r="G87" s="89">
        <f ca="1">_xll.feFxVolatilityForDeltaStrike($AB$42,$AA11,ABS(G75),"ForwardDelta",IF(G$80="P","PUT","CALL"),$B$36)</f>
        <v>0.11358919343230106</v>
      </c>
      <c r="H87" s="89">
        <f ca="1">_xll.feFxVolatilityForDeltaStrike($AB$42,$AA11,ABS(H75),"ForwardDelta",IF(H$80="P","PUT","CALL"),$B$36)</f>
        <v>0.11337116810986911</v>
      </c>
      <c r="I87" s="89">
        <f ca="1">_xll.feFxVolatilityForDeltaStrike($AB$42,$AA11,ABS(I75),"ForwardDelta",IF(I$80="P","PUT","CALL"),$B$36)</f>
        <v>0.11311215373233721</v>
      </c>
      <c r="J87" s="89">
        <f ca="1">_xll.feFxVolatilityForDeltaStrike($AB$42,$AA11,ABS(J75),"ForwardDelta",IF(J$80="P","PUT","CALL"),$B$36)</f>
        <v>0.11309826937603983</v>
      </c>
      <c r="K87" s="89">
        <f ca="1">_xll.feFxVolatilityForDeltaStrike($AB$42,$AA11,ABS(K75),"ForwardDelta",IF(K$80="P","PUT","CALL"),$B$36)</f>
        <v>0.11334390802829319</v>
      </c>
      <c r="L87" s="89">
        <f ca="1">_xll.feFxVolatilityForDeltaStrike($AB$42,$AA11,ABS(L75),"ForwardDelta",IF(L$80="P","PUT","CALL"),$B$36)</f>
        <v>0.11386007614686218</v>
      </c>
      <c r="M87" s="89">
        <f ca="1">_xll.feFxVolatilityForDeltaStrike($AB$42,$AA11,ABS(M75),"ForwardDelta",IF(M$80="P","PUT","CALL"),$B$36)</f>
        <v>0.11465908233207321</v>
      </c>
      <c r="N87" s="89">
        <f ca="1">_xll.feFxVolatilityForDeltaStrike($AB$42,$AA11,ABS(N75),"ForwardDelta",IF(N$80="P","PUT","CALL"),$B$36)</f>
        <v>0.11573590046670522</v>
      </c>
      <c r="O87" s="89">
        <f ca="1">_xll.feFxVolatilityForDeltaStrike($AB$42,$AA11,ABS(O75),"ForwardDelta",IF(O$80="P","PUT","CALL"),$B$36)</f>
        <v>0.11705182476404981</v>
      </c>
      <c r="P87" s="89">
        <f ca="1">_xll.feFxVolatilityForDeltaStrike($AB$42,$AA11,ABS(P75),"ForwardDelta",IF(P$80="P","PUT","CALL"),$B$36)</f>
        <v>0.11857677628251304</v>
      </c>
      <c r="Q87" s="89">
        <f ca="1">_xll.feFxVolatilityForDeltaStrike($AB$42,$AA11,ABS(Q75),"ForwardDelta",IF(Q$80="P","PUT","CALL"),$B$36)</f>
        <v>0.12023744498365457</v>
      </c>
      <c r="R87" s="89">
        <f ca="1">_xll.feFxVolatilityForDeltaStrike($AB$42,$AA11,ABS(R75),"ForwardDelta",IF(R$80="P","PUT","CALL"),$B$36)</f>
        <v>0.12201996440288825</v>
      </c>
      <c r="S87" s="89">
        <f ca="1">_xll.feFxVolatilityForDeltaStrike($AB$42,$AA11,ABS(S75),"ForwardDelta",IF(S$80="P","PUT","CALL"),$B$36)</f>
        <v>0.12388028589773585</v>
      </c>
      <c r="T87" s="89">
        <f ca="1">_xll.feFxVolatilityForDeltaStrike($AB$42,$AA11,ABS(T75),"ForwardDelta",IF(T$80="P","PUT","CALL"),$B$36)</f>
        <v>0.12576306816999749</v>
      </c>
      <c r="U87" s="90">
        <f ca="1">_xll.feFxVolatilityForDeltaStrike($AB$42,$AA11,ABS(U75),"ForwardDelta",IF(U$80="P","PUT","CALL"),$B$36)</f>
        <v>0.12766821819421817</v>
      </c>
    </row>
    <row r="88" spans="2:22">
      <c r="D88" s="25">
        <f t="shared" ca="1" si="19"/>
        <v>43374</v>
      </c>
      <c r="E88" s="94">
        <f ca="1">_xll.feFxVolatilityForDeltaStrike($AB$42,$AA12,ABS(E76),"ForwardDelta",IF(E$80="P","PUT","CALL"),$B$36)</f>
        <v>0.11675706597042616</v>
      </c>
      <c r="F88" s="89">
        <f ca="1">_xll.feFxVolatilityForDeltaStrike($AB$42,$AA12,ABS(F76),"ForwardDelta",IF(F$80="P","PUT","CALL"),$B$36)</f>
        <v>0.11608994099028548</v>
      </c>
      <c r="G88" s="89">
        <f ca="1">_xll.feFxVolatilityForDeltaStrike($AB$42,$AA12,ABS(G76),"ForwardDelta",IF(G$80="P","PUT","CALL"),$B$36)</f>
        <v>0.11561576536803804</v>
      </c>
      <c r="H88" s="89">
        <f ca="1">_xll.feFxVolatilityForDeltaStrike($AB$42,$AA12,ABS(H76),"ForwardDelta",IF(H$80="P","PUT","CALL"),$B$36)</f>
        <v>0.11545502312660795</v>
      </c>
      <c r="I88" s="89">
        <f ca="1">_xll.feFxVolatilityForDeltaStrike($AB$42,$AA12,ABS(I76),"ForwardDelta",IF(I$80="P","PUT","CALL"),$B$36)</f>
        <v>0.11528267117285994</v>
      </c>
      <c r="J88" s="89">
        <f ca="1">_xll.feFxVolatilityForDeltaStrike($AB$42,$AA12,ABS(J76),"ForwardDelta",IF(J$80="P","PUT","CALL"),$B$36)</f>
        <v>0.11532417073733178</v>
      </c>
      <c r="K88" s="89">
        <f ca="1">_xll.feFxVolatilityForDeltaStrike($AB$42,$AA12,ABS(K76),"ForwardDelta",IF(K$80="P","PUT","CALL"),$B$36)</f>
        <v>0.11558990117739776</v>
      </c>
      <c r="L88" s="89">
        <f ca="1">_xll.feFxVolatilityForDeltaStrike($AB$42,$AA12,ABS(L76),"ForwardDelta",IF(L$80="P","PUT","CALL"),$B$36)</f>
        <v>0.11608561292397791</v>
      </c>
      <c r="M88" s="89">
        <f ca="1">_xll.feFxVolatilityForDeltaStrike($AB$42,$AA12,ABS(M76),"ForwardDelta",IF(M$80="P","PUT","CALL"),$B$36)</f>
        <v>0.11682026687490787</v>
      </c>
      <c r="N88" s="89">
        <f ca="1">_xll.feFxVolatilityForDeltaStrike($AB$42,$AA12,ABS(N76),"ForwardDelta",IF(N$80="P","PUT","CALL"),$B$36)</f>
        <v>0.11778542324388648</v>
      </c>
      <c r="O88" s="89">
        <f ca="1">_xll.feFxVolatilityForDeltaStrike($AB$42,$AA12,ABS(O76),"ForwardDelta",IF(O$80="P","PUT","CALL"),$B$36)</f>
        <v>0.11895627437305614</v>
      </c>
      <c r="P88" s="89">
        <f ca="1">_xll.feFxVolatilityForDeltaStrike($AB$42,$AA12,ABS(P76),"ForwardDelta",IF(P$80="P","PUT","CALL"),$B$36)</f>
        <v>0.12031176214780823</v>
      </c>
      <c r="Q88" s="89">
        <f ca="1">_xll.feFxVolatilityForDeltaStrike($AB$42,$AA12,ABS(Q76),"ForwardDelta",IF(Q$80="P","PUT","CALL"),$B$36)</f>
        <v>0.12179916573254815</v>
      </c>
      <c r="R88" s="89">
        <f ca="1">_xll.feFxVolatilityForDeltaStrike($AB$42,$AA12,ABS(R76),"ForwardDelta",IF(R$80="P","PUT","CALL"),$B$36)</f>
        <v>0.12338997471520009</v>
      </c>
      <c r="S88" s="89">
        <f ca="1">_xll.feFxVolatilityForDeltaStrike($AB$42,$AA12,ABS(S76),"ForwardDelta",IF(S$80="P","PUT","CALL"),$B$36)</f>
        <v>0.12508990246540952</v>
      </c>
      <c r="T88" s="89">
        <f ca="1">_xll.feFxVolatilityForDeltaStrike($AB$42,$AA12,ABS(T76),"ForwardDelta",IF(T$80="P","PUT","CALL"),$B$36)</f>
        <v>0.1268371324384801</v>
      </c>
      <c r="U88" s="90">
        <f ca="1">_xll.feFxVolatilityForDeltaStrike($AB$42,$AA12,ABS(U76),"ForwardDelta",IF(U$80="P","PUT","CALL"),$B$36)</f>
        <v>0.12858028007800021</v>
      </c>
    </row>
    <row r="89" spans="2:22">
      <c r="D89" s="26">
        <f t="shared" ca="1" si="19"/>
        <v>43435</v>
      </c>
      <c r="E89" s="95">
        <f ca="1">_xll.feFxVolatilityForDeltaStrike($AB$42,$AA13,ABS(E77),"ForwardDelta",IF(E$80="P","PUT","CALL"),$B$36)</f>
        <v>0.12075960261579945</v>
      </c>
      <c r="F89" s="91">
        <f ca="1">_xll.feFxVolatilityForDeltaStrike($AB$42,$AA13,ABS(F77),"ForwardDelta",IF(F$80="P","PUT","CALL"),$B$36)</f>
        <v>0.1202403476070024</v>
      </c>
      <c r="G89" s="91">
        <f ca="1">_xll.feFxVolatilityForDeltaStrike($AB$42,$AA13,ABS(G77),"ForwardDelta",IF(G$80="P","PUT","CALL"),$B$36)</f>
        <v>0.11988034773232127</v>
      </c>
      <c r="H89" s="91">
        <f ca="1">_xll.feFxVolatilityForDeltaStrike($AB$42,$AA13,ABS(H77),"ForwardDelta",IF(H$80="P","PUT","CALL"),$B$36)</f>
        <v>0.11975791488758009</v>
      </c>
      <c r="I89" s="91">
        <f ca="1">_xll.feFxVolatilityForDeltaStrike($AB$42,$AA13,ABS(I77),"ForwardDelta",IF(I$80="P","PUT","CALL"),$B$36)</f>
        <v>0.11963318304664933</v>
      </c>
      <c r="J89" s="91">
        <f ca="1">_xll.feFxVolatilityForDeltaStrike($AB$42,$AA13,ABS(J77),"ForwardDelta",IF(J$80="P","PUT","CALL"),$B$36)</f>
        <v>0.11967028962395895</v>
      </c>
      <c r="K89" s="91">
        <f ca="1">_xll.feFxVolatilityForDeltaStrike($AB$42,$AA13,ABS(K77),"ForwardDelta",IF(K$80="P","PUT","CALL"),$B$36)</f>
        <v>0.11987084518384306</v>
      </c>
      <c r="L89" s="91">
        <f ca="1">_xll.feFxVolatilityForDeltaStrike($AB$42,$AA13,ABS(L77),"ForwardDelta",IF(L$80="P","PUT","CALL"),$B$36)</f>
        <v>0.12023928255209049</v>
      </c>
      <c r="M89" s="91">
        <f ca="1">_xll.feFxVolatilityForDeltaStrike($AB$42,$AA13,ABS(M77),"ForwardDelta",IF(M$80="P","PUT","CALL"),$B$36)</f>
        <v>0.1207752605047348</v>
      </c>
      <c r="N89" s="91">
        <f ca="1">_xll.feFxVolatilityForDeltaStrike($AB$42,$AA13,ABS(N77),"ForwardDelta",IF(N$80="P","PUT","CALL"),$B$36)</f>
        <v>0.1214820335040067</v>
      </c>
      <c r="O89" s="91">
        <f ca="1">_xll.feFxVolatilityForDeltaStrike($AB$42,$AA13,ABS(O77),"ForwardDelta",IF(O$80="P","PUT","CALL"),$B$36)</f>
        <v>0.12235087024253878</v>
      </c>
      <c r="P89" s="91">
        <f ca="1">_xll.feFxVolatilityForDeltaStrike($AB$42,$AA13,ABS(P77),"ForwardDelta",IF(P$80="P","PUT","CALL"),$B$36)</f>
        <v>0.1233668003991211</v>
      </c>
      <c r="Q89" s="91">
        <f ca="1">_xll.feFxVolatilityForDeltaStrike($AB$42,$AA13,ABS(Q77),"ForwardDelta",IF(Q$80="P","PUT","CALL"),$B$36)</f>
        <v>0.12451244461947807</v>
      </c>
      <c r="R89" s="91">
        <f ca="1">_xll.feFxVolatilityForDeltaStrike($AB$42,$AA13,ABS(R77),"ForwardDelta",IF(R$80="P","PUT","CALL"),$B$36)</f>
        <v>0.1257539416622647</v>
      </c>
      <c r="S89" s="91">
        <f ca="1">_xll.feFxVolatilityForDeltaStrike($AB$42,$AA13,ABS(S77),"ForwardDelta",IF(S$80="P","PUT","CALL"),$B$36)</f>
        <v>0.12708609633444248</v>
      </c>
      <c r="T89" s="91">
        <f ca="1">_xll.feFxVolatilityForDeltaStrike($AB$42,$AA13,ABS(T77),"ForwardDelta",IF(T$80="P","PUT","CALL"),$B$36)</f>
        <v>0.12848984267189761</v>
      </c>
      <c r="U89" s="92">
        <f ca="1">_xll.feFxVolatilityForDeltaStrike($AB$42,$AA13,ABS(U77),"ForwardDelta",IF(U$80="P","PUT","CALL"),$B$36)</f>
        <v>0.12995783868956076</v>
      </c>
    </row>
    <row r="91" spans="2:22">
      <c r="O91" s="3"/>
    </row>
    <row r="94" spans="2:22">
      <c r="B94" t="s">
        <v>130</v>
      </c>
      <c r="D94" s="82" t="s">
        <v>95</v>
      </c>
      <c r="E94" s="83" t="s">
        <v>23</v>
      </c>
      <c r="F94" s="83" t="s">
        <v>23</v>
      </c>
      <c r="G94" s="83" t="s">
        <v>23</v>
      </c>
      <c r="H94" s="83" t="s">
        <v>23</v>
      </c>
      <c r="I94" s="83" t="s">
        <v>23</v>
      </c>
      <c r="J94" s="83" t="s">
        <v>23</v>
      </c>
      <c r="K94" s="83" t="s">
        <v>23</v>
      </c>
      <c r="L94" s="83" t="s">
        <v>23</v>
      </c>
      <c r="M94" s="83" t="s">
        <v>23</v>
      </c>
      <c r="N94" s="83" t="s">
        <v>23</v>
      </c>
      <c r="O94" s="83" t="s">
        <v>23</v>
      </c>
      <c r="P94" s="83" t="s">
        <v>23</v>
      </c>
      <c r="Q94" s="83" t="s">
        <v>23</v>
      </c>
      <c r="R94" s="83" t="s">
        <v>23</v>
      </c>
      <c r="S94" s="83" t="s">
        <v>23</v>
      </c>
      <c r="T94" s="83" t="s">
        <v>23</v>
      </c>
      <c r="U94" s="84" t="s">
        <v>23</v>
      </c>
    </row>
    <row r="95" spans="2:22">
      <c r="D95" s="81" t="s">
        <v>96</v>
      </c>
      <c r="E95" s="85">
        <f ca="1">E81</f>
        <v>1275</v>
      </c>
      <c r="F95" s="85">
        <f t="shared" ref="F95:U95" ca="1" si="20">F81</f>
        <v>1285</v>
      </c>
      <c r="G95" s="85">
        <f t="shared" ca="1" si="20"/>
        <v>1295</v>
      </c>
      <c r="H95" s="85">
        <f t="shared" ca="1" si="20"/>
        <v>1300</v>
      </c>
      <c r="I95" s="85">
        <f t="shared" ca="1" si="20"/>
        <v>1310</v>
      </c>
      <c r="J95" s="85">
        <f t="shared" ca="1" si="20"/>
        <v>1320</v>
      </c>
      <c r="K95" s="85">
        <f t="shared" ca="1" si="20"/>
        <v>1330</v>
      </c>
      <c r="L95" s="85">
        <f t="shared" ca="1" si="20"/>
        <v>1340</v>
      </c>
      <c r="M95" s="85">
        <f t="shared" ca="1" si="20"/>
        <v>1350</v>
      </c>
      <c r="N95" s="85">
        <f t="shared" ca="1" si="20"/>
        <v>1360</v>
      </c>
      <c r="O95" s="85">
        <f t="shared" ca="1" si="20"/>
        <v>1370</v>
      </c>
      <c r="P95" s="85">
        <f t="shared" ca="1" si="20"/>
        <v>1380</v>
      </c>
      <c r="Q95" s="85">
        <f t="shared" ca="1" si="20"/>
        <v>1390</v>
      </c>
      <c r="R95" s="85">
        <f t="shared" ca="1" si="20"/>
        <v>1400</v>
      </c>
      <c r="S95" s="85">
        <f t="shared" ca="1" si="20"/>
        <v>1410</v>
      </c>
      <c r="T95" s="85">
        <f t="shared" ca="1" si="20"/>
        <v>1420</v>
      </c>
      <c r="U95" s="86">
        <f t="shared" ca="1" si="20"/>
        <v>1430</v>
      </c>
    </row>
    <row r="96" spans="2:22">
      <c r="C96">
        <v>1</v>
      </c>
      <c r="D96" s="27">
        <f ca="1">D82</f>
        <v>43191</v>
      </c>
      <c r="E96" s="93">
        <f ca="1">AVERAGE(E46,E58)</f>
        <v>0.11910913834235076</v>
      </c>
      <c r="F96" s="87">
        <f t="shared" ref="F96:U96" ca="1" si="21">AVERAGE(F46,F58)</f>
        <v>0.10808987189437873</v>
      </c>
      <c r="G96" s="87">
        <f t="shared" ca="1" si="21"/>
        <v>0.10118577908436457</v>
      </c>
      <c r="H96" s="87">
        <f t="shared" ca="1" si="21"/>
        <v>9.8533214012730158E-2</v>
      </c>
      <c r="I96" s="87">
        <f t="shared" ca="1" si="21"/>
        <v>9.6630210833168528E-2</v>
      </c>
      <c r="J96" s="87">
        <f t="shared" ca="1" si="21"/>
        <v>9.421133827791045E-2</v>
      </c>
      <c r="K96" s="87">
        <f t="shared" ca="1" si="21"/>
        <v>9.6236917256449922E-2</v>
      </c>
      <c r="L96" s="87">
        <f t="shared" ca="1" si="21"/>
        <v>9.94264260964038E-2</v>
      </c>
      <c r="M96" s="87">
        <f t="shared" ca="1" si="21"/>
        <v>0.10313359271185839</v>
      </c>
      <c r="N96" s="87">
        <f t="shared" ca="1" si="21"/>
        <v>0.1095944813251199</v>
      </c>
      <c r="O96" s="87">
        <f t="shared" ca="1" si="21"/>
        <v>0.11722344246556038</v>
      </c>
      <c r="P96" s="87">
        <f t="shared" ca="1" si="21"/>
        <v>0.12523160412012116</v>
      </c>
      <c r="Q96" s="87">
        <f t="shared" ca="1" si="21"/>
        <v>0.13392708567337208</v>
      </c>
      <c r="R96" s="87">
        <f t="shared" ca="1" si="21"/>
        <v>0.14035210028356943</v>
      </c>
      <c r="S96" s="87">
        <f t="shared" ca="1" si="21"/>
        <v>0.15229005438930782</v>
      </c>
      <c r="T96" s="87">
        <f t="shared" ca="1" si="21"/>
        <v>0.16034804341578363</v>
      </c>
      <c r="U96" s="88">
        <f t="shared" ca="1" si="21"/>
        <v>0.16940372619456079</v>
      </c>
      <c r="V96" s="100" t="str">
        <f ca="1">_xll.feCreate1DInterpolator("P_"&amp;C96,E109:U109,E96:U96,"Linear","Linear")</f>
        <v>P_1.16</v>
      </c>
    </row>
    <row r="97" spans="3:27">
      <c r="C97">
        <v>2</v>
      </c>
      <c r="D97" s="25">
        <f t="shared" ref="D97:D103" ca="1" si="22">D83</f>
        <v>43221</v>
      </c>
      <c r="E97" s="94">
        <f t="shared" ref="E97:U97" ca="1" si="23">AVERAGE(E47,E59)</f>
        <v>9.9842371754021372E-2</v>
      </c>
      <c r="F97" s="89">
        <f t="shared" ca="1" si="23"/>
        <v>9.6210950111274618E-2</v>
      </c>
      <c r="G97" s="89">
        <f t="shared" ca="1" si="23"/>
        <v>9.5003763831836258E-2</v>
      </c>
      <c r="H97" s="89">
        <f t="shared" ca="1" si="23"/>
        <v>9.4281872792611673E-2</v>
      </c>
      <c r="I97" s="89">
        <f t="shared" ca="1" si="23"/>
        <v>9.2505686910887758E-2</v>
      </c>
      <c r="J97" s="89">
        <f t="shared" ca="1" si="23"/>
        <v>9.2386346103912276E-2</v>
      </c>
      <c r="K97" s="89">
        <f t="shared" ca="1" si="23"/>
        <v>9.3050937804433909E-2</v>
      </c>
      <c r="L97" s="89">
        <f t="shared" ca="1" si="23"/>
        <v>9.4610642545248341E-2</v>
      </c>
      <c r="M97" s="89">
        <f t="shared" ca="1" si="23"/>
        <v>9.5995734753093115E-2</v>
      </c>
      <c r="N97" s="89">
        <f t="shared" ca="1" si="23"/>
        <v>9.8451376950059455E-2</v>
      </c>
      <c r="O97" s="89">
        <f t="shared" ca="1" si="23"/>
        <v>0.10107827619062321</v>
      </c>
      <c r="P97" s="89">
        <f t="shared" ca="1" si="23"/>
        <v>0.10374383274693216</v>
      </c>
      <c r="Q97" s="89">
        <f t="shared" ca="1" si="23"/>
        <v>0.10657441671827543</v>
      </c>
      <c r="R97" s="89">
        <f t="shared" ca="1" si="23"/>
        <v>0.11017906862592705</v>
      </c>
      <c r="S97" s="89">
        <f t="shared" ca="1" si="23"/>
        <v>0.11392705595746783</v>
      </c>
      <c r="T97" s="89">
        <f t="shared" ca="1" si="23"/>
        <v>0.11785159769253148</v>
      </c>
      <c r="U97" s="90">
        <f t="shared" ca="1" si="23"/>
        <v>0.12179489287655722</v>
      </c>
      <c r="V97" s="100" t="str">
        <f ca="1">_xll.feCreate1DInterpolator("P_"&amp;C97,E110:U110,E97:U97,"Linear","Linear")</f>
        <v>P_2.16</v>
      </c>
    </row>
    <row r="98" spans="3:27">
      <c r="C98">
        <v>3</v>
      </c>
      <c r="D98" s="25">
        <f t="shared" ca="1" si="22"/>
        <v>43252</v>
      </c>
      <c r="E98" s="94">
        <f t="shared" ref="E98:U98" ca="1" si="24">AVERAGE(E48,E60)</f>
        <v>9.8236383784237546E-2</v>
      </c>
      <c r="F98" s="89">
        <f t="shared" ca="1" si="24"/>
        <v>9.6827468246902873E-2</v>
      </c>
      <c r="G98" s="89">
        <f t="shared" ca="1" si="24"/>
        <v>9.5456984016344004E-2</v>
      </c>
      <c r="H98" s="89">
        <f t="shared" ca="1" si="24"/>
        <v>9.5447822202836041E-2</v>
      </c>
      <c r="I98" s="89">
        <f t="shared" ca="1" si="24"/>
        <v>9.5115133893863058E-2</v>
      </c>
      <c r="J98" s="89">
        <f t="shared" ca="1" si="24"/>
        <v>9.5626738929198818E-2</v>
      </c>
      <c r="K98" s="89">
        <f t="shared" ca="1" si="24"/>
        <v>9.6539991121062763E-2</v>
      </c>
      <c r="L98" s="89">
        <f t="shared" ca="1" si="24"/>
        <v>9.7441448658091678E-2</v>
      </c>
      <c r="M98" s="89">
        <f t="shared" ca="1" si="24"/>
        <v>9.890581525228373E-2</v>
      </c>
      <c r="N98" s="89">
        <f t="shared" ca="1" si="24"/>
        <v>0.10055711213699443</v>
      </c>
      <c r="O98" s="89">
        <f t="shared" ca="1" si="24"/>
        <v>0.10252220391520819</v>
      </c>
      <c r="P98" s="89">
        <f t="shared" ca="1" si="24"/>
        <v>0.1044573382597985</v>
      </c>
      <c r="Q98" s="89">
        <f t="shared" ca="1" si="24"/>
        <v>0.10678311272581734</v>
      </c>
      <c r="R98" s="89">
        <f t="shared" ca="1" si="24"/>
        <v>0.10870787664492326</v>
      </c>
      <c r="S98" s="89">
        <f t="shared" ca="1" si="24"/>
        <v>0.11088899812788748</v>
      </c>
      <c r="T98" s="89">
        <f t="shared" ca="1" si="24"/>
        <v>0.11299455056888427</v>
      </c>
      <c r="U98" s="90">
        <f t="shared" ca="1" si="24"/>
        <v>0.11591759594487717</v>
      </c>
      <c r="V98" s="100" t="str">
        <f ca="1">_xll.feCreate1DInterpolator("P_"&amp;C98,E111:U111,E98:U98,"Linear","Linear")</f>
        <v>P_3.16</v>
      </c>
      <c r="AA98" s="65"/>
    </row>
    <row r="99" spans="3:27">
      <c r="C99">
        <v>4</v>
      </c>
      <c r="D99" s="25">
        <f t="shared" ca="1" si="22"/>
        <v>43282</v>
      </c>
      <c r="E99" s="94">
        <f t="shared" ref="E99:U99" ca="1" si="25">AVERAGE(E49,E61)</f>
        <v>0.10067275944992521</v>
      </c>
      <c r="F99" s="89">
        <f t="shared" ca="1" si="25"/>
        <v>9.9440411764677938E-2</v>
      </c>
      <c r="G99" s="89">
        <f t="shared" ca="1" si="25"/>
        <v>9.8917968733216205E-2</v>
      </c>
      <c r="H99" s="89">
        <f t="shared" ca="1" si="25"/>
        <v>9.8571857568252236E-2</v>
      </c>
      <c r="I99" s="89">
        <f t="shared" ca="1" si="25"/>
        <v>9.8404811595252412E-2</v>
      </c>
      <c r="J99" s="89">
        <f t="shared" ca="1" si="25"/>
        <v>9.867609431807256E-2</v>
      </c>
      <c r="K99" s="89">
        <f t="shared" ca="1" si="25"/>
        <v>9.9263613006180085E-2</v>
      </c>
      <c r="L99" s="89">
        <f t="shared" ca="1" si="25"/>
        <v>9.9965786831623368E-2</v>
      </c>
      <c r="M99" s="89">
        <f t="shared" ca="1" si="25"/>
        <v>0.10082966455741552</v>
      </c>
      <c r="N99" s="89">
        <f t="shared" ca="1" si="25"/>
        <v>0.1021327218063785</v>
      </c>
      <c r="O99" s="89">
        <f t="shared" ca="1" si="25"/>
        <v>0.10349498708679448</v>
      </c>
      <c r="P99" s="89">
        <f t="shared" ca="1" si="25"/>
        <v>0.10509953210608231</v>
      </c>
      <c r="Q99" s="89">
        <f t="shared" ca="1" si="25"/>
        <v>0.10697824499966416</v>
      </c>
      <c r="R99" s="89">
        <f t="shared" ca="1" si="25"/>
        <v>0.1087194939608925</v>
      </c>
      <c r="S99" s="89">
        <f t="shared" ca="1" si="25"/>
        <v>0.11075658598912744</v>
      </c>
      <c r="T99" s="89">
        <f t="shared" ca="1" si="25"/>
        <v>0.11229431142025718</v>
      </c>
      <c r="U99" s="90">
        <f t="shared" ca="1" si="25"/>
        <v>0.1140071563616134</v>
      </c>
      <c r="V99" s="100" t="str">
        <f ca="1">_xll.feCreate1DInterpolator("P_"&amp;C99,E112:U112,E99:U99,"Linear","Linear")</f>
        <v>P_4.16</v>
      </c>
      <c r="AA99" s="65"/>
    </row>
    <row r="100" spans="3:27">
      <c r="C100">
        <v>5</v>
      </c>
      <c r="D100" s="25">
        <f t="shared" ca="1" si="22"/>
        <v>43313</v>
      </c>
      <c r="E100" s="94">
        <f t="shared" ref="E100:U100" ca="1" si="26">AVERAGE(E50,E62)</f>
        <v>0.10227558198800232</v>
      </c>
      <c r="F100" s="89">
        <f t="shared" ca="1" si="26"/>
        <v>0.10168101064788826</v>
      </c>
      <c r="G100" s="89">
        <f t="shared" ca="1" si="26"/>
        <v>0.10113966885002601</v>
      </c>
      <c r="H100" s="89">
        <f t="shared" ca="1" si="26"/>
        <v>0.10102750198231715</v>
      </c>
      <c r="I100" s="89">
        <f t="shared" ca="1" si="26"/>
        <v>0.10117824067067641</v>
      </c>
      <c r="J100" s="89">
        <f t="shared" ca="1" si="26"/>
        <v>0.10141217013337298</v>
      </c>
      <c r="K100" s="89">
        <f t="shared" ca="1" si="26"/>
        <v>0.10169362926547211</v>
      </c>
      <c r="L100" s="89">
        <f t="shared" ca="1" si="26"/>
        <v>0.10247915264680693</v>
      </c>
      <c r="M100" s="89">
        <f t="shared" ca="1" si="26"/>
        <v>0.10348984886972853</v>
      </c>
      <c r="N100" s="89">
        <f t="shared" ca="1" si="26"/>
        <v>0.10448397079441114</v>
      </c>
      <c r="O100" s="89">
        <f t="shared" ca="1" si="26"/>
        <v>0.10571193807852403</v>
      </c>
      <c r="P100" s="89">
        <f t="shared" ca="1" si="26"/>
        <v>0.10713683750128605</v>
      </c>
      <c r="Q100" s="89">
        <f t="shared" ca="1" si="26"/>
        <v>0.10873070031008021</v>
      </c>
      <c r="R100" s="89">
        <f t="shared" ca="1" si="26"/>
        <v>0.11046724640487263</v>
      </c>
      <c r="S100" s="89">
        <f t="shared" ca="1" si="26"/>
        <v>0.11231082327975088</v>
      </c>
      <c r="T100" s="89">
        <f t="shared" ca="1" si="26"/>
        <v>0.11399322787374858</v>
      </c>
      <c r="U100" s="90">
        <f t="shared" ca="1" si="26"/>
        <v>0.11607569558337183</v>
      </c>
      <c r="V100" s="100" t="str">
        <f ca="1">_xll.feCreate1DInterpolator("P_"&amp;C100,E113:U113,E100:U100,"Linear","Linear")</f>
        <v>P_5.16</v>
      </c>
    </row>
    <row r="101" spans="3:27">
      <c r="C101">
        <v>6</v>
      </c>
      <c r="D101" s="25">
        <f t="shared" ca="1" si="22"/>
        <v>43344</v>
      </c>
      <c r="E101" s="94">
        <f t="shared" ref="E101:U101" ca="1" si="27">AVERAGE(E51,E63)</f>
        <v>0.1044831392518011</v>
      </c>
      <c r="F101" s="89">
        <f t="shared" ca="1" si="27"/>
        <v>0.10395915888107796</v>
      </c>
      <c r="G101" s="89">
        <f t="shared" ca="1" si="27"/>
        <v>0.10361766974197581</v>
      </c>
      <c r="H101" s="89">
        <f t="shared" ca="1" si="27"/>
        <v>0.10363710714083843</v>
      </c>
      <c r="I101" s="89">
        <f t="shared" ca="1" si="27"/>
        <v>0.10367773994018442</v>
      </c>
      <c r="J101" s="89">
        <f t="shared" ca="1" si="27"/>
        <v>0.10383137842971124</v>
      </c>
      <c r="K101" s="89">
        <f t="shared" ca="1" si="27"/>
        <v>0.10434468506830064</v>
      </c>
      <c r="L101" s="89">
        <f t="shared" ca="1" si="27"/>
        <v>0.1049186555710931</v>
      </c>
      <c r="M101" s="89">
        <f t="shared" ca="1" si="27"/>
        <v>0.10557133109640565</v>
      </c>
      <c r="N101" s="89">
        <f t="shared" ca="1" si="27"/>
        <v>0.10647482236085802</v>
      </c>
      <c r="O101" s="89">
        <f t="shared" ca="1" si="27"/>
        <v>0.10754641350350987</v>
      </c>
      <c r="P101" s="89">
        <f t="shared" ca="1" si="27"/>
        <v>0.10857306402218928</v>
      </c>
      <c r="Q101" s="89">
        <f t="shared" ca="1" si="27"/>
        <v>0.11007243562647884</v>
      </c>
      <c r="R101" s="89">
        <f t="shared" ca="1" si="27"/>
        <v>0.11155963937611219</v>
      </c>
      <c r="S101" s="89">
        <f t="shared" ca="1" si="27"/>
        <v>0.11312270766797441</v>
      </c>
      <c r="T101" s="89">
        <f t="shared" ca="1" si="27"/>
        <v>0.11486400454622538</v>
      </c>
      <c r="U101" s="90">
        <f t="shared" ca="1" si="27"/>
        <v>0.116543078875846</v>
      </c>
      <c r="V101" s="100" t="str">
        <f ca="1">_xll.feCreate1DInterpolator("P_"&amp;C101,E114:U114,E101:U101,"Linear","Linear")</f>
        <v>P_6.16</v>
      </c>
      <c r="AA101" s="3"/>
    </row>
    <row r="102" spans="3:27">
      <c r="C102">
        <v>7</v>
      </c>
      <c r="D102" s="25">
        <f t="shared" ca="1" si="22"/>
        <v>43374</v>
      </c>
      <c r="E102" s="94">
        <f t="shared" ref="E102:U102" ca="1" si="28">AVERAGE(E52,E64)</f>
        <v>0.10634154439547508</v>
      </c>
      <c r="F102" s="89">
        <f t="shared" ca="1" si="28"/>
        <v>0.10613111057453573</v>
      </c>
      <c r="G102" s="89">
        <f t="shared" ca="1" si="28"/>
        <v>0.10596145672044613</v>
      </c>
      <c r="H102" s="89">
        <f t="shared" ca="1" si="28"/>
        <v>0.10571462459938524</v>
      </c>
      <c r="I102" s="89">
        <f t="shared" ca="1" si="28"/>
        <v>0.10559270609147578</v>
      </c>
      <c r="J102" s="89">
        <f t="shared" ca="1" si="28"/>
        <v>0.10580263693167211</v>
      </c>
      <c r="K102" s="89">
        <f t="shared" ca="1" si="28"/>
        <v>0.10630653062372603</v>
      </c>
      <c r="L102" s="89">
        <f t="shared" ca="1" si="28"/>
        <v>0.10670875399010343</v>
      </c>
      <c r="M102" s="89">
        <f t="shared" ca="1" si="28"/>
        <v>0.10728205740265614</v>
      </c>
      <c r="N102" s="89">
        <f t="shared" ca="1" si="28"/>
        <v>0.10830696322366126</v>
      </c>
      <c r="O102" s="89">
        <f t="shared" ca="1" si="28"/>
        <v>0.10931703200473043</v>
      </c>
      <c r="P102" s="89">
        <f t="shared" ca="1" si="28"/>
        <v>0.11023074656077675</v>
      </c>
      <c r="Q102" s="89">
        <f t="shared" ca="1" si="28"/>
        <v>0.11150438194683801</v>
      </c>
      <c r="R102" s="89">
        <f t="shared" ca="1" si="28"/>
        <v>0.11295127090979207</v>
      </c>
      <c r="S102" s="89">
        <f t="shared" ca="1" si="28"/>
        <v>0.11421980530406925</v>
      </c>
      <c r="T102" s="89">
        <f t="shared" ca="1" si="28"/>
        <v>0.1156606803785465</v>
      </c>
      <c r="U102" s="90">
        <f t="shared" ca="1" si="28"/>
        <v>0.1173664817235027</v>
      </c>
      <c r="V102" s="100"/>
    </row>
    <row r="103" spans="3:27">
      <c r="C103">
        <v>8</v>
      </c>
      <c r="D103" s="26">
        <f t="shared" ca="1" si="22"/>
        <v>43435</v>
      </c>
      <c r="E103" s="95">
        <f t="shared" ref="E103:U103" ca="1" si="29">AVERAGE(E53,E65)</f>
        <v>0.11065298345636235</v>
      </c>
      <c r="F103" s="91">
        <f t="shared" ca="1" si="29"/>
        <v>0.11057603085596501</v>
      </c>
      <c r="G103" s="91">
        <f t="shared" ca="1" si="29"/>
        <v>0.11039126843802918</v>
      </c>
      <c r="H103" s="91">
        <f t="shared" ca="1" si="29"/>
        <v>0.11039334842523058</v>
      </c>
      <c r="I103" s="91">
        <f t="shared" ca="1" si="29"/>
        <v>0.11032037692984951</v>
      </c>
      <c r="J103" s="91">
        <f t="shared" ca="1" si="29"/>
        <v>0.1107925430975325</v>
      </c>
      <c r="K103" s="91">
        <f t="shared" ca="1" si="29"/>
        <v>0.11086555783539953</v>
      </c>
      <c r="L103" s="91">
        <f t="shared" ca="1" si="29"/>
        <v>0.11144958924105654</v>
      </c>
      <c r="M103" s="91">
        <f t="shared" ca="1" si="29"/>
        <v>0.11187390238199965</v>
      </c>
      <c r="N103" s="91">
        <f t="shared" ca="1" si="29"/>
        <v>0.11248693004108326</v>
      </c>
      <c r="O103" s="91">
        <f t="shared" ca="1" si="29"/>
        <v>0.11330754077398872</v>
      </c>
      <c r="P103" s="91">
        <f t="shared" ca="1" si="29"/>
        <v>0.11414235432644743</v>
      </c>
      <c r="Q103" s="91">
        <f t="shared" ca="1" si="29"/>
        <v>0.11502244818930102</v>
      </c>
      <c r="R103" s="91">
        <f t="shared" ca="1" si="29"/>
        <v>0.11621506077953152</v>
      </c>
      <c r="S103" s="91">
        <f t="shared" ca="1" si="29"/>
        <v>0.11742196447979611</v>
      </c>
      <c r="T103" s="91">
        <f t="shared" ca="1" si="29"/>
        <v>0.11868417228384093</v>
      </c>
      <c r="U103" s="92">
        <f t="shared" ca="1" si="29"/>
        <v>0.11992157545685692</v>
      </c>
      <c r="V103" s="100"/>
    </row>
    <row r="107" spans="3:27"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3:27"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3:27">
      <c r="E109" s="3">
        <f ca="1">IF(E70&gt;0.5,E70-1,E70)</f>
        <v>-3.6761142157104465E-2</v>
      </c>
      <c r="F109" s="3">
        <f t="shared" ref="F109:U109" ca="1" si="30">IF(F70&gt;0.5,F70-1,F70)</f>
        <v>-5.6274185325544623E-2</v>
      </c>
      <c r="G109" s="3">
        <f t="shared" ca="1" si="30"/>
        <v>-9.8903934866291787E-2</v>
      </c>
      <c r="H109" s="3">
        <f t="shared" ca="1" si="30"/>
        <v>-0.1324782289108849</v>
      </c>
      <c r="I109" s="3">
        <f t="shared" ca="1" si="30"/>
        <v>-0.23695046126462405</v>
      </c>
      <c r="J109" s="3">
        <f t="shared" ca="1" si="30"/>
        <v>-0.37966445399529292</v>
      </c>
      <c r="K109" s="3">
        <f t="shared" ca="1" si="30"/>
        <v>0.45412193033300491</v>
      </c>
      <c r="L109" s="3">
        <f t="shared" ca="1" si="30"/>
        <v>0.3049671572980156</v>
      </c>
      <c r="M109" s="3">
        <f t="shared" ca="1" si="30"/>
        <v>0.19129495715150988</v>
      </c>
      <c r="N109" s="3">
        <f t="shared" ca="1" si="30"/>
        <v>0.11953860195445354</v>
      </c>
      <c r="O109" s="3">
        <f t="shared" ca="1" si="30"/>
        <v>7.6295657771842953E-2</v>
      </c>
      <c r="P109" s="3">
        <f t="shared" ca="1" si="30"/>
        <v>4.9961539223635811E-2</v>
      </c>
      <c r="Q109" s="3">
        <f t="shared" ca="1" si="30"/>
        <v>3.4190650427377345E-2</v>
      </c>
      <c r="R109" s="3">
        <f t="shared" ca="1" si="30"/>
        <v>2.2294727237074326E-2</v>
      </c>
      <c r="S109" s="3">
        <f t="shared" ca="1" si="30"/>
        <v>1.801711559355372E-2</v>
      </c>
      <c r="T109" s="3">
        <f t="shared" ca="1" si="30"/>
        <v>1.309987519070863E-2</v>
      </c>
      <c r="U109" s="3">
        <f t="shared" ca="1" si="30"/>
        <v>1.0110260853607148E-2</v>
      </c>
    </row>
    <row r="110" spans="3:27">
      <c r="E110" s="3">
        <f t="shared" ref="E110:U110" ca="1" si="31">IF(E71&gt;0.5,E71-1,E71)</f>
        <v>-9.4947625910676181E-2</v>
      </c>
      <c r="F110" s="3">
        <f t="shared" ca="1" si="31"/>
        <v>-0.13082135929137084</v>
      </c>
      <c r="G110" s="3">
        <f t="shared" ca="1" si="31"/>
        <v>-0.18442385520486659</v>
      </c>
      <c r="H110" s="3">
        <f t="shared" ca="1" si="31"/>
        <v>-0.21587997875616904</v>
      </c>
      <c r="I110" s="3">
        <f t="shared" ca="1" si="31"/>
        <v>-0.28797169767170128</v>
      </c>
      <c r="J110" s="3">
        <f t="shared" ca="1" si="31"/>
        <v>-0.37441452558752053</v>
      </c>
      <c r="K110" s="3">
        <f t="shared" ca="1" si="31"/>
        <v>-0.4673961291653711</v>
      </c>
      <c r="L110" s="3">
        <f t="shared" ca="1" si="31"/>
        <v>0.44051166044714385</v>
      </c>
      <c r="M110" s="3">
        <f t="shared" ca="1" si="31"/>
        <v>0.35468856003682808</v>
      </c>
      <c r="N110" s="3">
        <f t="shared" ca="1" si="31"/>
        <v>0.28063203137795456</v>
      </c>
      <c r="O110" s="3">
        <f t="shared" ca="1" si="31"/>
        <v>0.21883244516093625</v>
      </c>
      <c r="P110" s="3">
        <f t="shared" ca="1" si="31"/>
        <v>0.16864311481129951</v>
      </c>
      <c r="Q110" s="3">
        <f t="shared" ca="1" si="31"/>
        <v>0.12913684484140181</v>
      </c>
      <c r="R110" s="3">
        <f t="shared" ca="1" si="31"/>
        <v>9.995010925080805E-2</v>
      </c>
      <c r="S110" s="3">
        <f t="shared" ca="1" si="31"/>
        <v>7.7743130741311089E-2</v>
      </c>
      <c r="T110" s="3">
        <f t="shared" ca="1" si="31"/>
        <v>6.0991491388937884E-2</v>
      </c>
      <c r="U110" s="3">
        <f t="shared" ca="1" si="31"/>
        <v>4.8159139140139945E-2</v>
      </c>
    </row>
    <row r="111" spans="3:27">
      <c r="E111" s="3">
        <f t="shared" ref="E111:U111" ca="1" si="32">IF(E72&gt;0.5,E72-1,E72)</f>
        <v>-0.14964056436745188</v>
      </c>
      <c r="F111" s="3">
        <f t="shared" ca="1" si="32"/>
        <v>-0.19193620367977671</v>
      </c>
      <c r="G111" s="3">
        <f t="shared" ca="1" si="32"/>
        <v>-0.24201780253877825</v>
      </c>
      <c r="H111" s="3">
        <f t="shared" ca="1" si="32"/>
        <v>-0.27126658906864842</v>
      </c>
      <c r="I111" s="3">
        <f t="shared" ca="1" si="32"/>
        <v>-0.33375243792117582</v>
      </c>
      <c r="J111" s="3">
        <f t="shared" ca="1" si="32"/>
        <v>-0.40189231716399898</v>
      </c>
      <c r="K111" s="3">
        <f t="shared" ca="1" si="32"/>
        <v>-0.47190304262180249</v>
      </c>
      <c r="L111" s="3">
        <f t="shared" ca="1" si="32"/>
        <v>0.4590405911755695</v>
      </c>
      <c r="M111" s="3">
        <f t="shared" ca="1" si="32"/>
        <v>0.39360471570070532</v>
      </c>
      <c r="N111" s="3">
        <f t="shared" ca="1" si="32"/>
        <v>0.33358993938030879</v>
      </c>
      <c r="O111" s="3">
        <f t="shared" ca="1" si="32"/>
        <v>0.28034869102868476</v>
      </c>
      <c r="P111" s="3">
        <f t="shared" ca="1" si="32"/>
        <v>0.23363192550704648</v>
      </c>
      <c r="Q111" s="3">
        <f t="shared" ca="1" si="32"/>
        <v>0.19425470349620255</v>
      </c>
      <c r="R111" s="3">
        <f t="shared" ca="1" si="32"/>
        <v>0.1599457568461099</v>
      </c>
      <c r="S111" s="3">
        <f t="shared" ca="1" si="32"/>
        <v>0.13163981379491874</v>
      </c>
      <c r="T111" s="3">
        <f t="shared" ca="1" si="32"/>
        <v>0.10790953517580951</v>
      </c>
      <c r="U111" s="3">
        <f t="shared" ca="1" si="32"/>
        <v>8.9873232818587306E-2</v>
      </c>
    </row>
    <row r="112" spans="3:27">
      <c r="E112" s="3">
        <f t="shared" ref="E112:U112" ca="1" si="33">IF(E73&gt;0.5,E73-1,E73)</f>
        <v>-0.17621202724071094</v>
      </c>
      <c r="F112" s="3">
        <f t="shared" ca="1" si="33"/>
        <v>-0.21351741618391606</v>
      </c>
      <c r="G112" s="3">
        <f t="shared" ca="1" si="33"/>
        <v>-0.25717578558142185</v>
      </c>
      <c r="H112" s="3">
        <f t="shared" ca="1" si="33"/>
        <v>-0.28052201801526511</v>
      </c>
      <c r="I112" s="3">
        <f t="shared" ca="1" si="33"/>
        <v>-0.33105510671299654</v>
      </c>
      <c r="J112" s="3">
        <f t="shared" ca="1" si="33"/>
        <v>-0.38504438125664642</v>
      </c>
      <c r="K112" s="3">
        <f t="shared" ca="1" si="33"/>
        <v>-0.44074317108197869</v>
      </c>
      <c r="L112" s="3">
        <f t="shared" ca="1" si="33"/>
        <v>-0.49652708851552485</v>
      </c>
      <c r="M112" s="3">
        <f t="shared" ca="1" si="33"/>
        <v>0.44892051816843526</v>
      </c>
      <c r="N112" s="3">
        <f t="shared" ca="1" si="33"/>
        <v>0.39713038123107725</v>
      </c>
      <c r="O112" s="3">
        <f t="shared" ca="1" si="33"/>
        <v>0.34878548442161944</v>
      </c>
      <c r="P112" s="3">
        <f t="shared" ca="1" si="33"/>
        <v>0.30473405174852281</v>
      </c>
      <c r="Q112" s="3">
        <f t="shared" ca="1" si="33"/>
        <v>0.26542789742344924</v>
      </c>
      <c r="R112" s="3">
        <f t="shared" ca="1" si="33"/>
        <v>0.23005353080790186</v>
      </c>
      <c r="S112" s="3">
        <f t="shared" ca="1" si="33"/>
        <v>0.19938611364040279</v>
      </c>
      <c r="T112" s="3">
        <f t="shared" ca="1" si="33"/>
        <v>0.17136626003929173</v>
      </c>
      <c r="U112" s="3">
        <f t="shared" ca="1" si="33"/>
        <v>0.14723228724441395</v>
      </c>
    </row>
    <row r="113" spans="3:21">
      <c r="E113" s="3">
        <f t="shared" ref="E113:U113" ca="1" si="34">IF(E74&gt;0.5,E74-1,E74)</f>
        <v>-0.207563625972635</v>
      </c>
      <c r="F113" s="3">
        <f t="shared" ca="1" si="34"/>
        <v>-0.24416448117470135</v>
      </c>
      <c r="G113" s="3">
        <f t="shared" ca="1" si="34"/>
        <v>-0.28423070799998207</v>
      </c>
      <c r="H113" s="3">
        <f t="shared" ca="1" si="34"/>
        <v>-0.30566909933112829</v>
      </c>
      <c r="I113" s="3">
        <f t="shared" ca="1" si="34"/>
        <v>-0.35087260940983089</v>
      </c>
      <c r="J113" s="3">
        <f t="shared" ca="1" si="34"/>
        <v>-0.39784709541885355</v>
      </c>
      <c r="K113" s="3">
        <f t="shared" ca="1" si="34"/>
        <v>-0.44577363583689544</v>
      </c>
      <c r="L113" s="3">
        <f t="shared" ca="1" si="34"/>
        <v>-0.49378138909045222</v>
      </c>
      <c r="M113" s="3">
        <f t="shared" ca="1" si="34"/>
        <v>0.45934548521025409</v>
      </c>
      <c r="N113" s="3">
        <f t="shared" ca="1" si="34"/>
        <v>0.41423961085059963</v>
      </c>
      <c r="O113" s="3">
        <f t="shared" ca="1" si="34"/>
        <v>0.37170311851611354</v>
      </c>
      <c r="P113" s="3">
        <f t="shared" ca="1" si="34"/>
        <v>0.33223461095546181</v>
      </c>
      <c r="Q113" s="3">
        <f t="shared" ca="1" si="34"/>
        <v>0.29611064950852672</v>
      </c>
      <c r="R113" s="3">
        <f t="shared" ca="1" si="34"/>
        <v>0.26341432971135942</v>
      </c>
      <c r="S113" s="3">
        <f t="shared" ca="1" si="34"/>
        <v>0.23405487006823741</v>
      </c>
      <c r="T113" s="3">
        <f t="shared" ca="1" si="34"/>
        <v>0.20731461097924514</v>
      </c>
      <c r="U113" s="3">
        <f t="shared" ca="1" si="34"/>
        <v>0.18424843624332837</v>
      </c>
    </row>
    <row r="114" spans="3:21">
      <c r="E114" s="3">
        <f t="shared" ref="E114:U114" ca="1" si="35">IF(E75&gt;0.5,E75-1,E75)</f>
        <v>-0.21645993357959781</v>
      </c>
      <c r="F114" s="3">
        <f t="shared" ca="1" si="35"/>
        <v>-0.24919302668685972</v>
      </c>
      <c r="G114" s="3">
        <f t="shared" ca="1" si="35"/>
        <v>-0.28476047849314001</v>
      </c>
      <c r="H114" s="3">
        <f t="shared" ca="1" si="35"/>
        <v>-0.30367629272325325</v>
      </c>
      <c r="I114" s="3">
        <f t="shared" ca="1" si="35"/>
        <v>-0.34283450014784234</v>
      </c>
      <c r="J114" s="3">
        <f t="shared" ca="1" si="35"/>
        <v>-0.38350410947579683</v>
      </c>
      <c r="K114" s="3">
        <f t="shared" ca="1" si="35"/>
        <v>-0.42521566197925631</v>
      </c>
      <c r="L114" s="3">
        <f t="shared" ca="1" si="35"/>
        <v>-0.46704895519212664</v>
      </c>
      <c r="M114" s="3">
        <f t="shared" ca="1" si="35"/>
        <v>0.49154838801005984</v>
      </c>
      <c r="N114" s="3">
        <f t="shared" ca="1" si="35"/>
        <v>0.45122666877587503</v>
      </c>
      <c r="O114" s="3">
        <f t="shared" ca="1" si="35"/>
        <v>0.41253638974958007</v>
      </c>
      <c r="P114" s="3">
        <f t="shared" ca="1" si="35"/>
        <v>0.37563073426728893</v>
      </c>
      <c r="Q114" s="3">
        <f t="shared" ca="1" si="35"/>
        <v>0.34151392960208266</v>
      </c>
      <c r="R114" s="3">
        <f t="shared" ca="1" si="35"/>
        <v>0.3097345876210576</v>
      </c>
      <c r="S114" s="3">
        <f t="shared" ca="1" si="35"/>
        <v>0.2804759768218007</v>
      </c>
      <c r="T114" s="3">
        <f t="shared" ca="1" si="35"/>
        <v>0.25394387174175781</v>
      </c>
      <c r="U114" s="3">
        <f t="shared" ca="1" si="35"/>
        <v>0.22958486423643937</v>
      </c>
    </row>
    <row r="115" spans="3:21">
      <c r="E115" s="3">
        <f t="shared" ref="E115:U115" ca="1" si="36">IF(E76&gt;0.5,E76-1,E76)</f>
        <v>-0.23574157519148331</v>
      </c>
      <c r="F115" s="3">
        <f t="shared" ca="1" si="36"/>
        <v>-0.26733694872025127</v>
      </c>
      <c r="G115" s="3">
        <f t="shared" ca="1" si="36"/>
        <v>-0.30086244675762797</v>
      </c>
      <c r="H115" s="3">
        <f t="shared" ca="1" si="36"/>
        <v>-0.31803009863696829</v>
      </c>
      <c r="I115" s="3">
        <f t="shared" ca="1" si="36"/>
        <v>-0.35396441544835855</v>
      </c>
      <c r="J115" s="3">
        <f t="shared" ca="1" si="36"/>
        <v>-0.39128728830519699</v>
      </c>
      <c r="K115" s="3">
        <f t="shared" ca="1" si="36"/>
        <v>-0.42930510783733411</v>
      </c>
      <c r="L115" s="3">
        <f t="shared" ca="1" si="36"/>
        <v>-0.46733437403001199</v>
      </c>
      <c r="M115" s="3">
        <f t="shared" ca="1" si="36"/>
        <v>0.49496514328558561</v>
      </c>
      <c r="N115" s="3">
        <f t="shared" ca="1" si="36"/>
        <v>0.45829045575807836</v>
      </c>
      <c r="O115" s="3">
        <f t="shared" ca="1" si="36"/>
        <v>0.42289603598807762</v>
      </c>
      <c r="P115" s="3">
        <f t="shared" ca="1" si="36"/>
        <v>0.38887711285854976</v>
      </c>
      <c r="Q115" s="3">
        <f t="shared" ca="1" si="36"/>
        <v>0.35701106280354722</v>
      </c>
      <c r="R115" s="3">
        <f t="shared" ca="1" si="36"/>
        <v>0.32732225303364421</v>
      </c>
      <c r="S115" s="3">
        <f t="shared" ca="1" si="36"/>
        <v>0.29928327112429526</v>
      </c>
      <c r="T115" s="3">
        <f t="shared" ca="1" si="36"/>
        <v>0.27350773897862762</v>
      </c>
      <c r="U115" s="3">
        <f t="shared" ca="1" si="36"/>
        <v>0.25020678542016972</v>
      </c>
    </row>
    <row r="116" spans="3:21">
      <c r="E116" s="3">
        <f t="shared" ref="E116:U116" ca="1" si="37">IF(E77&gt;0.5,E77-1,E77)</f>
        <v>-0.25290270459079744</v>
      </c>
      <c r="F116" s="3">
        <f t="shared" ca="1" si="37"/>
        <v>-0.28031457069033605</v>
      </c>
      <c r="G116" s="3">
        <f t="shared" ca="1" si="37"/>
        <v>-0.30876214232043486</v>
      </c>
      <c r="H116" s="3">
        <f t="shared" ca="1" si="37"/>
        <v>-0.32350686214469593</v>
      </c>
      <c r="I116" s="3">
        <f t="shared" ca="1" si="37"/>
        <v>-0.35357068593688434</v>
      </c>
      <c r="J116" s="3">
        <f t="shared" ca="1" si="37"/>
        <v>-0.38475660600586881</v>
      </c>
      <c r="K116" s="3">
        <f t="shared" ca="1" si="37"/>
        <v>-0.4160276195887368</v>
      </c>
      <c r="L116" s="3">
        <f t="shared" ca="1" si="37"/>
        <v>-0.44762751738040363</v>
      </c>
      <c r="M116" s="3">
        <f t="shared" ca="1" si="37"/>
        <v>-0.47901711650803747</v>
      </c>
      <c r="N116" s="3">
        <f t="shared" ca="1" si="37"/>
        <v>0.49001268217319904</v>
      </c>
      <c r="O116" s="3">
        <f t="shared" ca="1" si="37"/>
        <v>0.45980614333722458</v>
      </c>
      <c r="P116" s="3">
        <f t="shared" ca="1" si="37"/>
        <v>0.43049159474069676</v>
      </c>
      <c r="Q116" s="3">
        <f t="shared" ca="1" si="37"/>
        <v>0.40223628203634204</v>
      </c>
      <c r="R116" s="3">
        <f t="shared" ca="1" si="37"/>
        <v>0.37552758377232165</v>
      </c>
      <c r="S116" s="3">
        <f t="shared" ca="1" si="37"/>
        <v>0.35014349083684793</v>
      </c>
      <c r="T116" s="3">
        <f t="shared" ca="1" si="37"/>
        <v>0.32618565619315776</v>
      </c>
      <c r="U116" s="3">
        <f t="shared" ca="1" si="37"/>
        <v>0.30353736307208812</v>
      </c>
    </row>
    <row r="117" spans="3:21"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3:21"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3:21">
      <c r="E119" s="103">
        <v>-0.02</v>
      </c>
      <c r="F119" s="103">
        <v>-0.05</v>
      </c>
      <c r="G119" s="103">
        <v>-0.1</v>
      </c>
      <c r="H119" s="103">
        <v>-0.15</v>
      </c>
      <c r="I119" s="103">
        <v>-0.2</v>
      </c>
      <c r="J119" s="103">
        <v>-0.25</v>
      </c>
      <c r="K119" s="103">
        <v>-0.3</v>
      </c>
      <c r="L119" s="103">
        <v>-0.4</v>
      </c>
      <c r="M119" s="103">
        <v>0.5</v>
      </c>
      <c r="N119" s="103">
        <v>0.4</v>
      </c>
      <c r="O119" s="103">
        <v>0.3</v>
      </c>
      <c r="P119" s="103">
        <v>0.25</v>
      </c>
      <c r="Q119" s="103">
        <v>0.2</v>
      </c>
      <c r="R119" s="103">
        <v>0.15</v>
      </c>
      <c r="S119" s="103">
        <v>0.1</v>
      </c>
      <c r="T119" s="103">
        <v>0.05</v>
      </c>
      <c r="U119" s="103">
        <v>0.02</v>
      </c>
    </row>
    <row r="120" spans="3:21">
      <c r="C120" s="2">
        <f ca="1">AA6</f>
        <v>43185</v>
      </c>
      <c r="D120" s="102">
        <f ca="1">D96</f>
        <v>43191</v>
      </c>
      <c r="E120" s="3">
        <f ca="1">_xll.fe1DInterpolate($V96,E$119)</f>
        <v>0.13709440617252902</v>
      </c>
      <c r="F120" s="3">
        <f ca="1">_xll.fe1DInterpolate($V96,F$119)</f>
        <v>0.11163298504435384</v>
      </c>
      <c r="G120" s="3">
        <f ca="1">_xll.fe1DInterpolate($V96,G$119)</f>
        <v>0.10109918354534746</v>
      </c>
      <c r="H120" s="3">
        <f ca="1">_xll.fe1DInterpolate($V96,H$119)</f>
        <v>9.8214047997580461E-2</v>
      </c>
      <c r="I120" s="3">
        <f ca="1">_xll.fe1DInterpolate($V96,I$119)</f>
        <v>9.7303278151523107E-2</v>
      </c>
      <c r="J120" s="3">
        <f ca="1">_xll.fe1DInterpolate($V96,J$119)</f>
        <v>9.6409033003988537E-2</v>
      </c>
      <c r="K120" s="3">
        <f ca="1">_xll.fe1DInterpolate($V96,K$119)</f>
        <v>9.5561578417029086E-2</v>
      </c>
      <c r="L120" s="3">
        <f ca="1">_xll.fe1DInterpolate($V96,L$119)</f>
        <v>9.3866669243110157E-2</v>
      </c>
      <c r="M120" s="3">
        <f ca="1">_xll.fe1DInterpolate($V96,M$119)</f>
        <v>9.5255865790342467E-2</v>
      </c>
      <c r="N120" s="3">
        <f ca="1">_xll.fe1DInterpolate($V96,N$119)</f>
        <v>9.7394254509023087E-2</v>
      </c>
      <c r="O120" s="3">
        <f ca="1">_xll.fe1DInterpolate($V96,O$119)</f>
        <v>9.9588418911579213E-2</v>
      </c>
      <c r="P120" s="3">
        <f ca="1">_xll.fe1DInterpolate($V96,P$119)</f>
        <v>0.1012190579819397</v>
      </c>
      <c r="Q120" s="3">
        <f ca="1">_xll.fe1DInterpolate($V96,Q$119)</f>
        <v>0.10284969705230018</v>
      </c>
      <c r="R120" s="3">
        <f ca="1">_xll.fe1DInterpolate($V96,R$119)</f>
        <v>0.10685175980260073</v>
      </c>
      <c r="S120" s="3">
        <f ca="1">_xll.fe1DInterpolate($V96,S$119)</f>
        <v>0.11304149997444217</v>
      </c>
      <c r="T120" s="3">
        <f ca="1">_xll.fe1DInterpolate($V96,T$119)</f>
        <v>0.12521990826199247</v>
      </c>
      <c r="U120" s="3">
        <f ca="1">_xll.fe1DInterpolate($V96,U$119)</f>
        <v>0.14675622265939939</v>
      </c>
    </row>
    <row r="121" spans="3:21">
      <c r="C121" s="2">
        <f t="shared" ref="C121:C125" ca="1" si="38">AA7</f>
        <v>43215</v>
      </c>
      <c r="D121" s="102">
        <f t="shared" ref="D121:D127" ca="1" si="39">D97</f>
        <v>43221</v>
      </c>
      <c r="E121" s="3">
        <f ca="1">_xll.fe1DInterpolate($V97,E$119)</f>
        <v>0.11133930790727592</v>
      </c>
      <c r="F121" s="3">
        <f ca="1">_xll.fe1DInterpolate($V97,F$119)</f>
        <v>0.10673731978014427</v>
      </c>
      <c r="G121" s="3">
        <f ca="1">_xll.fe1DInterpolate($V97,G$119)</f>
        <v>9.9330930683182148E-2</v>
      </c>
      <c r="H121" s="3">
        <f ca="1">_xll.fe1DInterpolate($V97,H$119)</f>
        <v>9.5779026344905635E-2</v>
      </c>
      <c r="I121" s="3">
        <f ca="1">_xll.fe1DInterpolate($V97,I$119)</f>
        <v>9.4646304676548637E-2</v>
      </c>
      <c r="J121" s="3">
        <f ca="1">_xll.fe1DInterpolate($V97,J$119)</f>
        <v>9.3441228389494868E-2</v>
      </c>
      <c r="K121" s="3">
        <f ca="1">_xll.fe1DInterpolate($V97,K$119)</f>
        <v>9.2489080937425139E-2</v>
      </c>
      <c r="L121" s="3">
        <f ca="1">_xll.fe1DInterpolate($V97,L$119)</f>
        <v>9.2569219847686832E-2</v>
      </c>
      <c r="M121" s="3">
        <f ca="1">_xll.fe1DInterpolate($V97,M$119)</f>
        <v>9.3650564953337193E-2</v>
      </c>
      <c r="N121" s="3">
        <f ca="1">_xll.fe1DInterpolate($V97,N$119)</f>
        <v>9.5264457018786594E-2</v>
      </c>
      <c r="O121" s="3">
        <f ca="1">_xll.fe1DInterpolate($V97,O$119)</f>
        <v>9.7809154017400882E-2</v>
      </c>
      <c r="P121" s="3">
        <f ca="1">_xll.fe1DInterpolate($V97,P$119)</f>
        <v>9.9753444890791312E-2</v>
      </c>
      <c r="Q121" s="3">
        <f ca="1">_xll.fe1DInterpolate($V97,Q$119)</f>
        <v>0.10207846781143902</v>
      </c>
      <c r="R121" s="3">
        <f ca="1">_xll.fe1DInterpolate($V97,R$119)</f>
        <v>0.10507959291869695</v>
      </c>
      <c r="S121" s="3">
        <f ca="1">_xll.fe1DInterpolate($V97,S$119)</f>
        <v>0.11017290696445277</v>
      </c>
      <c r="T121" s="3">
        <f ca="1">_xll.fe1DInterpolate($V97,T$119)</f>
        <v>0.12122920876639513</v>
      </c>
      <c r="U121" s="3">
        <f ca="1">_xll.fe1DInterpolate($V97,U$119)</f>
        <v>0.11747529207678481</v>
      </c>
    </row>
    <row r="122" spans="3:21">
      <c r="C122" s="2">
        <f t="shared" ca="1" si="38"/>
        <v>43244</v>
      </c>
      <c r="D122" s="102">
        <f t="shared" ca="1" si="39"/>
        <v>43252</v>
      </c>
      <c r="E122" s="3">
        <f ca="1">_xll.fe1DInterpolate($V98,E$119)</f>
        <v>0.1078066146024043</v>
      </c>
      <c r="F122" s="3">
        <f ca="1">_xll.fe1DInterpolate($V98,F$119)</f>
        <v>0.10559197656880837</v>
      </c>
      <c r="G122" s="3">
        <f ca="1">_xll.fe1DInterpolate($V98,G$119)</f>
        <v>0.10190091317948177</v>
      </c>
      <c r="H122" s="3">
        <f ca="1">_xll.fe1DInterpolate($V98,H$119)</f>
        <v>9.8224410577174071E-2</v>
      </c>
      <c r="I122" s="3">
        <f ca="1">_xll.fe1DInterpolate($V98,I$119)</f>
        <v>9.6606802254860194E-2</v>
      </c>
      <c r="J122" s="3">
        <f ca="1">_xll.fe1DInterpolate($V98,J$119)</f>
        <v>9.5454483693657152E-2</v>
      </c>
      <c r="K122" s="3">
        <f ca="1">_xll.fe1DInterpolate($V98,K$119)</f>
        <v>9.5294839246385557E-2</v>
      </c>
      <c r="L122" s="3">
        <f ca="1">_xll.fe1DInterpolate($V98,L$119)</f>
        <v>9.5612531111393562E-2</v>
      </c>
      <c r="M122" s="3">
        <f ca="1">_xll.fe1DInterpolate($V98,M$119)</f>
        <v>9.6524832359080118E-2</v>
      </c>
      <c r="N122" s="3">
        <f ca="1">_xll.fe1DInterpolate($V98,N$119)</f>
        <v>9.8762697419439174E-2</v>
      </c>
      <c r="O122" s="3">
        <f ca="1">_xll.fe1DInterpolate($V98,O$119)</f>
        <v>0.10179688986104417</v>
      </c>
      <c r="P122" s="3">
        <f ca="1">_xll.fe1DInterpolate($V98,P$119)</f>
        <v>0.10377932849708375</v>
      </c>
      <c r="Q122" s="3">
        <f ca="1">_xll.fe1DInterpolate($V98,Q$119)</f>
        <v>0.10644377279207189</v>
      </c>
      <c r="R122" s="3">
        <f ca="1">_xll.fe1DInterpolate($V98,R$119)</f>
        <v>0.10947424941272532</v>
      </c>
      <c r="S122" s="3">
        <f ca="1">_xll.fe1DInterpolate($V98,S$119)</f>
        <v>0.11427640589399449</v>
      </c>
      <c r="T122" s="3">
        <f ca="1">_xll.fe1DInterpolate($V98,T$119)</f>
        <v>0.11297410334746151</v>
      </c>
      <c r="U122" s="3">
        <f ca="1">_xll.fe1DInterpolate($V98,U$119)</f>
        <v>0.11075946531386556</v>
      </c>
    </row>
    <row r="123" spans="3:21">
      <c r="C123" s="2">
        <f t="shared" ca="1" si="38"/>
        <v>43277</v>
      </c>
      <c r="D123" s="102">
        <f t="shared" ca="1" si="39"/>
        <v>43282</v>
      </c>
      <c r="E123" s="3">
        <f ca="1">_xll.fe1DInterpolate($V99,E$119)</f>
        <v>0.10711279589614595</v>
      </c>
      <c r="F123" s="3">
        <f ca="1">_xll.fe1DInterpolate($V99,F$119)</f>
        <v>0.10587600832735708</v>
      </c>
      <c r="G123" s="3">
        <f ca="1">_xll.fe1DInterpolate($V99,G$119)</f>
        <v>0.10381469571270893</v>
      </c>
      <c r="H123" s="3">
        <f ca="1">_xll.fe1DInterpolate($V99,H$119)</f>
        <v>0.10175338309806077</v>
      </c>
      <c r="I123" s="3">
        <f ca="1">_xll.fe1DInterpolate($V99,I$119)</f>
        <v>9.9886946622420175E-2</v>
      </c>
      <c r="J123" s="3">
        <f ca="1">_xll.fe1DInterpolate($V99,J$119)</f>
        <v>9.9003838618509976E-2</v>
      </c>
      <c r="K123" s="3">
        <f ca="1">_xll.fe1DInterpolate($V99,K$119)</f>
        <v>9.85074696882203E-2</v>
      </c>
      <c r="L123" s="3">
        <f ca="1">_xll.fe1DInterpolate($V99,L$119)</f>
        <v>9.8833848293185589E-2</v>
      </c>
      <c r="M123" s="3">
        <f ca="1">_xll.fe1DInterpolate($V99,M$119)</f>
        <v>9.9544487629723663E-2</v>
      </c>
      <c r="N123" s="3">
        <f ca="1">_xll.fe1DInterpolate($V99,N$119)</f>
        <v>0.10206052123384231</v>
      </c>
      <c r="O123" s="3">
        <f ca="1">_xll.fe1DInterpolate($V99,O$119)</f>
        <v>0.10532580517226117</v>
      </c>
      <c r="P123" s="3">
        <f ca="1">_xll.fe1DInterpolate($V99,P$119)</f>
        <v>0.107737659596524</v>
      </c>
      <c r="Q123" s="3">
        <f ca="1">_xll.fe1DInterpolate($V99,Q$119)</f>
        <v>0.11071580841067838</v>
      </c>
      <c r="R123" s="3">
        <f ca="1">_xll.fe1DInterpolate($V99,R$119)</f>
        <v>0.11381072526289521</v>
      </c>
      <c r="S123" s="3">
        <f ca="1">_xll.fe1DInterpolate($V99,S$119)</f>
        <v>0.11205994617130151</v>
      </c>
      <c r="T123" s="3">
        <f ca="1">_xll.fe1DInterpolate($V99,T$119)</f>
        <v>0.10999863355665335</v>
      </c>
      <c r="U123" s="3">
        <f ca="1">_xll.fe1DInterpolate($V99,U$119)</f>
        <v>0.10876184598786445</v>
      </c>
    </row>
    <row r="124" spans="3:21">
      <c r="C124" s="2">
        <f t="shared" ca="1" si="38"/>
        <v>43307</v>
      </c>
      <c r="D124" s="102">
        <f t="shared" ca="1" si="39"/>
        <v>43313</v>
      </c>
      <c r="E124" s="3">
        <f ca="1">_xll.fe1DInterpolate($V100,E$119)</f>
        <v>0.10888180878495853</v>
      </c>
      <c r="F124" s="3">
        <f ca="1">_xll.fe1DInterpolate($V100,F$119)</f>
        <v>0.10782517105532963</v>
      </c>
      <c r="G124" s="3">
        <f ca="1">_xll.fe1DInterpolate($V100,G$119)</f>
        <v>0.10606410817261484</v>
      </c>
      <c r="H124" s="3">
        <f ca="1">_xll.fe1DInterpolate($V100,H$119)</f>
        <v>0.10430304528990002</v>
      </c>
      <c r="I124" s="3">
        <f ca="1">_xll.fe1DInterpolate($V100,I$119)</f>
        <v>0.10254198240718522</v>
      </c>
      <c r="J124" s="3">
        <f ca="1">_xll.fe1DInterpolate($V100,J$119)</f>
        <v>0.10160216593245944</v>
      </c>
      <c r="K124" s="3">
        <f ca="1">_xll.fe1DInterpolate($V100,K$119)</f>
        <v>0.1010571630284694</v>
      </c>
      <c r="L124" s="3">
        <f ca="1">_xll.fe1DInterpolate($V100,L$119)</f>
        <v>0.10142481353825088</v>
      </c>
      <c r="M124" s="3">
        <f ca="1">_xll.fe1DInterpolate($V100,M$119)</f>
        <v>0.10259383377050744</v>
      </c>
      <c r="N124" s="3">
        <f ca="1">_xll.fe1DInterpolate($V100,N$119)</f>
        <v>0.104895047855621</v>
      </c>
      <c r="O124" s="3">
        <f ca="1">_xll.fe1DInterpolate($V100,O$119)</f>
        <v>0.10855909423891798</v>
      </c>
      <c r="P124" s="3">
        <f ca="1">_xll.fe1DInterpolate($V100,P$119)</f>
        <v>0.11130957621436038</v>
      </c>
      <c r="Q124" s="3">
        <f ca="1">_xll.fe1DInterpolate($V100,Q$119)</f>
        <v>0.11465360790412331</v>
      </c>
      <c r="R124" s="3">
        <f ca="1">_xll.fe1DInterpolate($V100,R$119)</f>
        <v>0.11486942258618885</v>
      </c>
      <c r="S124" s="3">
        <f ca="1">_xll.fe1DInterpolate($V100,S$119)</f>
        <v>0.11310835970347403</v>
      </c>
      <c r="T124" s="3">
        <f ca="1">_xll.fe1DInterpolate($V100,T$119)</f>
        <v>0.11134729682075922</v>
      </c>
      <c r="U124" s="3">
        <f ca="1">_xll.fe1DInterpolate($V100,U$119)</f>
        <v>0.11029065909113035</v>
      </c>
    </row>
    <row r="125" spans="3:21">
      <c r="C125" s="2">
        <f t="shared" ca="1" si="38"/>
        <v>43340</v>
      </c>
      <c r="D125" s="102">
        <f t="shared" ca="1" si="39"/>
        <v>43344</v>
      </c>
      <c r="E125" s="3">
        <f ca="1">_xll.fe1DInterpolate($V101,E$119)</f>
        <v>0.10979492620484833</v>
      </c>
      <c r="F125" s="3">
        <f ca="1">_xll.fe1DInterpolate($V101,F$119)</f>
        <v>0.10898380097596369</v>
      </c>
      <c r="G125" s="3">
        <f ca="1">_xll.fe1DInterpolate($V101,G$119)</f>
        <v>0.10763192559448923</v>
      </c>
      <c r="H125" s="3">
        <f ca="1">_xll.fe1DInterpolate($V101,H$119)</f>
        <v>0.10628005021301479</v>
      </c>
      <c r="I125" s="3">
        <f ca="1">_xll.fe1DInterpolate($V101,I$119)</f>
        <v>0.10492817483154036</v>
      </c>
      <c r="J125" s="3">
        <f ca="1">_xll.fe1DInterpolate($V101,J$119)</f>
        <v>0.10395141099338885</v>
      </c>
      <c r="K125" s="3">
        <f ca="1">_xll.fe1DInterpolate($V101,K$119)</f>
        <v>0.10363332947802527</v>
      </c>
      <c r="L125" s="3">
        <f ca="1">_xll.fe1DInterpolate($V101,L$119)</f>
        <v>0.10403437854855879</v>
      </c>
      <c r="M125" s="3">
        <f ca="1">_xll.fe1DInterpolate($V101,M$119)</f>
        <v>0.10538195530220641</v>
      </c>
      <c r="N125" s="3">
        <f ca="1">_xll.fe1DInterpolate($V101,N$119)</f>
        <v>0.10789515384887373</v>
      </c>
      <c r="O125" s="3">
        <f ca="1">_xll.fe1DInterpolate($V101,O$119)</f>
        <v>0.11207968543534669</v>
      </c>
      <c r="P125" s="3">
        <f ca="1">_xll.fe1DInterpolate($V101,P$119)</f>
        <v>0.11513585691128811</v>
      </c>
      <c r="Q125" s="3">
        <f ca="1">_xll.fe1DInterpolate($V101,Q$119)</f>
        <v>0.11574317788333588</v>
      </c>
      <c r="R125" s="3">
        <f ca="1">_xll.fe1DInterpolate($V101,R$119)</f>
        <v>0.11439130250186146</v>
      </c>
      <c r="S125" s="3">
        <f ca="1">_xll.fe1DInterpolate($V101,S$119)</f>
        <v>0.113039427120387</v>
      </c>
      <c r="T125" s="3">
        <f ca="1">_xll.fe1DInterpolate($V101,T$119)</f>
        <v>0.11168755173891255</v>
      </c>
      <c r="U125" s="3">
        <f ca="1">_xll.fe1DInterpolate($V101,U$119)</f>
        <v>0.1108764265100279</v>
      </c>
    </row>
    <row r="126" spans="3:21">
      <c r="D126" s="102">
        <f t="shared" ca="1" si="39"/>
        <v>43374</v>
      </c>
      <c r="E126" s="3" t="str">
        <f ca="1">_xll.fe1DInterpolate($V102,E$119)</f>
        <v>#DIVA: Argument 'ObjectTag' was omitted but is required.</v>
      </c>
      <c r="F126" s="3" t="str">
        <f ca="1">_xll.fe1DInterpolate($V102,F$119)</f>
        <v>#DIVA: Argument 'ObjectTag' was omitted but is required.</v>
      </c>
      <c r="G126" s="3" t="str">
        <f ca="1">_xll.fe1DInterpolate($V102,G$119)</f>
        <v>#DIVA: Argument 'ObjectTag' was omitted but is required.</v>
      </c>
      <c r="H126" s="3" t="str">
        <f ca="1">_xll.fe1DInterpolate($V102,H$119)</f>
        <v>#DIVA: Argument 'ObjectTag' was omitted but is required.</v>
      </c>
      <c r="I126" s="3" t="str">
        <f ca="1">_xll.fe1DInterpolate($V102,I$119)</f>
        <v>#DIVA: Argument 'ObjectTag' was omitted but is required.</v>
      </c>
      <c r="J126" s="3" t="str">
        <f ca="1">_xll.fe1DInterpolate($V102,J$119)</f>
        <v>#DIVA: Argument 'ObjectTag' was omitted but is required.</v>
      </c>
      <c r="K126" s="3" t="str">
        <f ca="1">_xll.fe1DInterpolate($V102,K$119)</f>
        <v>#DIVA: Argument 'ObjectTag' was omitted but is required.</v>
      </c>
      <c r="L126" s="3" t="str">
        <f ca="1">_xll.fe1DInterpolate($V102,L$119)</f>
        <v>#DIVA: Argument 'ObjectTag' was omitted but is required.</v>
      </c>
      <c r="M126" s="3" t="str">
        <f ca="1">_xll.fe1DInterpolate($V102,M$119)</f>
        <v>#DIVA: Argument 'ObjectTag' was omitted but is required.</v>
      </c>
      <c r="N126" s="3" t="str">
        <f ca="1">_xll.fe1DInterpolate($V102,N$119)</f>
        <v>#DIVA: Argument 'ObjectTag' was omitted but is required.</v>
      </c>
      <c r="O126" s="3" t="str">
        <f ca="1">_xll.fe1DInterpolate($V102,O$119)</f>
        <v>#DIVA: Argument 'ObjectTag' was omitted but is required.</v>
      </c>
      <c r="P126" s="3" t="str">
        <f ca="1">_xll.fe1DInterpolate($V102,P$119)</f>
        <v>#DIVA: Argument 'ObjectTag' was omitted but is required.</v>
      </c>
      <c r="Q126" s="3" t="str">
        <f ca="1">_xll.fe1DInterpolate($V102,Q$119)</f>
        <v>#DIVA: Argument 'ObjectTag' was omitted but is required.</v>
      </c>
      <c r="R126" s="3" t="str">
        <f ca="1">_xll.fe1DInterpolate($V102,R$119)</f>
        <v>#DIVA: Argument 'ObjectTag' was omitted but is required.</v>
      </c>
      <c r="S126" s="3" t="str">
        <f ca="1">_xll.fe1DInterpolate($V102,S$119)</f>
        <v>#DIVA: Argument 'ObjectTag' was omitted but is required.</v>
      </c>
      <c r="T126" s="3" t="str">
        <f ca="1">_xll.fe1DInterpolate($V102,T$119)</f>
        <v>#DIVA: Argument 'ObjectTag' was omitted but is required.</v>
      </c>
      <c r="U126" s="3" t="str">
        <f ca="1">_xll.fe1DInterpolate($V102,U$119)</f>
        <v>#DIVA: Argument 'ObjectTag' was omitted but is required.</v>
      </c>
    </row>
    <row r="127" spans="3:21">
      <c r="D127" s="102">
        <f t="shared" ca="1" si="39"/>
        <v>43435</v>
      </c>
      <c r="E127" s="3" t="str">
        <f ca="1">_xll.fe1DInterpolate($V103,E$119)</f>
        <v>#DIVA: Argument 'ObjectTag' was omitted but is required.</v>
      </c>
      <c r="F127" s="3" t="str">
        <f ca="1">_xll.fe1DInterpolate($V103,F$119)</f>
        <v>#DIVA: Argument 'ObjectTag' was omitted but is required.</v>
      </c>
      <c r="G127" s="3" t="str">
        <f ca="1">_xll.fe1DInterpolate($V103,G$119)</f>
        <v>#DIVA: Argument 'ObjectTag' was omitted but is required.</v>
      </c>
      <c r="H127" s="3" t="str">
        <f ca="1">_xll.fe1DInterpolate($V103,H$119)</f>
        <v>#DIVA: Argument 'ObjectTag' was omitted but is required.</v>
      </c>
      <c r="I127" s="3" t="str">
        <f ca="1">_xll.fe1DInterpolate($V103,I$119)</f>
        <v>#DIVA: Argument 'ObjectTag' was omitted but is required.</v>
      </c>
      <c r="J127" s="3" t="str">
        <f ca="1">_xll.fe1DInterpolate($V103,J$119)</f>
        <v>#DIVA: Argument 'ObjectTag' was omitted but is required.</v>
      </c>
      <c r="K127" s="3" t="str">
        <f ca="1">_xll.fe1DInterpolate($V103,K$119)</f>
        <v>#DIVA: Argument 'ObjectTag' was omitted but is required.</v>
      </c>
      <c r="L127" s="3" t="str">
        <f ca="1">_xll.fe1DInterpolate($V103,L$119)</f>
        <v>#DIVA: Argument 'ObjectTag' was omitted but is required.</v>
      </c>
      <c r="M127" s="3" t="str">
        <f ca="1">_xll.fe1DInterpolate($V103,M$119)</f>
        <v>#DIVA: Argument 'ObjectTag' was omitted but is required.</v>
      </c>
      <c r="N127" s="3" t="str">
        <f ca="1">_xll.fe1DInterpolate($V103,N$119)</f>
        <v>#DIVA: Argument 'ObjectTag' was omitted but is required.</v>
      </c>
      <c r="O127" s="3" t="str">
        <f ca="1">_xll.fe1DInterpolate($V103,O$119)</f>
        <v>#DIVA: Argument 'ObjectTag' was omitted but is required.</v>
      </c>
      <c r="P127" s="3" t="str">
        <f ca="1">_xll.fe1DInterpolate($V103,P$119)</f>
        <v>#DIVA: Argument 'ObjectTag' was omitted but is required.</v>
      </c>
      <c r="Q127" s="3" t="str">
        <f ca="1">_xll.fe1DInterpolate($V103,Q$119)</f>
        <v>#DIVA: Argument 'ObjectTag' was omitted but is required.</v>
      </c>
      <c r="R127" s="3" t="str">
        <f ca="1">_xll.fe1DInterpolate($V103,R$119)</f>
        <v>#DIVA: Argument 'ObjectTag' was omitted but is required.</v>
      </c>
      <c r="S127" s="3" t="str">
        <f ca="1">_xll.fe1DInterpolate($V103,S$119)</f>
        <v>#DIVA: Argument 'ObjectTag' was omitted but is required.</v>
      </c>
      <c r="T127" s="3" t="str">
        <f ca="1">_xll.fe1DInterpolate($V103,T$119)</f>
        <v>#DIVA: Argument 'ObjectTag' was omitted but is required.</v>
      </c>
      <c r="U127" s="3" t="str">
        <f ca="1">_xll.fe1DInterpolate($V103,U$119)</f>
        <v>#DIVA: Argument 'ObjectTag' was omitted but is required.</v>
      </c>
    </row>
    <row r="128" spans="3:21">
      <c r="E128" t="str">
        <f ca="1">_xll.feCreate1DInterpolator("P_"&amp;E119*100,$C$120:$C$124,E120:E124,"Linear","Linear")</f>
        <v>P_-2.16</v>
      </c>
      <c r="F128" t="str">
        <f ca="1">_xll.feCreate1DInterpolator("P_"&amp;F119*100,$C$120:$C$124,F120:F124,"Linear","Linear")</f>
        <v>P_-5.16</v>
      </c>
      <c r="G128" t="str">
        <f ca="1">_xll.feCreate1DInterpolator("P_"&amp;G119*100,$C$120:$C$124,G120:G124,"Linear","Linear")</f>
        <v>P_-10.16</v>
      </c>
      <c r="H128" t="str">
        <f ca="1">_xll.feCreate1DInterpolator("P_"&amp;H119*100,$C$120:$C$124,H120:H124,"Linear","Linear")</f>
        <v>P_-15.16</v>
      </c>
      <c r="I128" t="str">
        <f ca="1">_xll.feCreate1DInterpolator("P_"&amp;I119*100,$C$120:$C$124,I120:I124,"Linear","Linear")</f>
        <v>P_-20.16</v>
      </c>
      <c r="J128" t="str">
        <f ca="1">_xll.feCreate1DInterpolator("P_"&amp;J119*100,$C$120:$C$124,J120:J124,"Linear","Linear")</f>
        <v>P_-25.16</v>
      </c>
      <c r="K128" t="str">
        <f ca="1">_xll.feCreate1DInterpolator("P_"&amp;K119*100,$C$120:$C$124,K120:K124,"Linear","Linear")</f>
        <v>P_-30.16</v>
      </c>
      <c r="L128" t="str">
        <f ca="1">_xll.feCreate1DInterpolator("P_"&amp;L119*100,$C$120:$C$124,L120:L124,"Linear","Linear")</f>
        <v>P_-40.16</v>
      </c>
      <c r="M128" t="str">
        <f ca="1">_xll.feCreate1DInterpolator("D_"&amp;M119,$C$120:$C$124,M120:M124,"Linear","Linear")</f>
        <v>D_0.16</v>
      </c>
      <c r="N128" t="str">
        <f ca="1">_xll.feCreate1DInterpolator("C_"&amp;N119,$C$120:$C$124,N120:N124,"Linear","Linear")</f>
        <v>C_0.16</v>
      </c>
      <c r="O128" t="str">
        <f ca="1">_xll.feCreate1DInterpolator("C_"&amp;O119*100,$C$120:$C$124,O120:O124,"Linear","Linear")</f>
        <v>C_30.16</v>
      </c>
      <c r="P128" t="str">
        <f ca="1">_xll.feCreate1DInterpolator("C_"&amp;P119*100,$C$120:$C$124,P120:P124,"Linear","Linear")</f>
        <v>C_25.16</v>
      </c>
      <c r="Q128" t="str">
        <f ca="1">_xll.feCreate1DInterpolator("C_"&amp;Q119*100,$C$120:$C$124,Q120:Q124,"Linear","Linear")</f>
        <v>C_20.16</v>
      </c>
      <c r="R128" t="str">
        <f ca="1">_xll.feCreate1DInterpolator("C_"&amp;R119*100,$C$120:$C$124,R120:R124,"Linear","Linear")</f>
        <v>C_15.16</v>
      </c>
      <c r="S128" t="str">
        <f ca="1">_xll.feCreate1DInterpolator("C_"&amp;S119*100,$C$120:$C$124,S120:S124,"Linear","Linear")</f>
        <v>C_10.16</v>
      </c>
      <c r="T128" t="str">
        <f ca="1">_xll.feCreate1DInterpolator("C_"&amp;T119*100,$C$120:$C$124,T120:T124,"Linear","Linear")</f>
        <v>C_5.16</v>
      </c>
      <c r="U128" t="str">
        <f ca="1">_xll.feCreate1DInterpolator("C_"&amp;U119*100,$C$120:$C$124,U120:U124,"Linear","Linear")</f>
        <v>C_2.16</v>
      </c>
    </row>
    <row r="132" spans="4:20">
      <c r="G132" s="104">
        <f ca="1">F35</f>
        <v>43173</v>
      </c>
      <c r="H132" s="105">
        <f t="shared" ref="H132:L132" ca="1" si="40">G35</f>
        <v>43179</v>
      </c>
      <c r="I132" s="105">
        <f t="shared" ca="1" si="40"/>
        <v>43203</v>
      </c>
      <c r="J132" s="105">
        <f t="shared" ca="1" si="40"/>
        <v>43234</v>
      </c>
      <c r="K132" s="105">
        <f t="shared" ca="1" si="40"/>
        <v>43264</v>
      </c>
      <c r="L132" s="106">
        <f t="shared" ca="1" si="40"/>
        <v>43356</v>
      </c>
      <c r="M132" s="2"/>
      <c r="N132" s="2"/>
      <c r="O132" s="2"/>
      <c r="P132" s="2"/>
      <c r="Q132" s="2"/>
      <c r="R132" s="2"/>
      <c r="S132" s="2"/>
      <c r="T132" s="2"/>
    </row>
    <row r="133" spans="4:20">
      <c r="E133" s="28" t="s">
        <v>132</v>
      </c>
      <c r="F133" s="28" t="s">
        <v>97</v>
      </c>
      <c r="G133" s="28" t="s">
        <v>133</v>
      </c>
      <c r="H133" s="107" t="s">
        <v>47</v>
      </c>
      <c r="I133" s="107" t="s">
        <v>43</v>
      </c>
      <c r="J133" s="107" t="s">
        <v>44</v>
      </c>
      <c r="K133" s="107" t="s">
        <v>45</v>
      </c>
      <c r="L133" s="108" t="s">
        <v>46</v>
      </c>
    </row>
    <row r="134" spans="4:20">
      <c r="E134" s="33" t="s">
        <v>21</v>
      </c>
      <c r="F134" s="44">
        <v>0</v>
      </c>
      <c r="G134" s="44">
        <f ca="1">_xll.fe1DInterpolate($M$128,G132)</f>
        <v>9.5897986125144566E-2</v>
      </c>
      <c r="H134" s="45">
        <f ca="1">_xll.fe1DInterpolate($M$128,H132)</f>
        <v>9.5576925957743517E-2</v>
      </c>
      <c r="I134" s="45">
        <f ca="1">_xll.fe1DInterpolate($M$128,I132)</f>
        <v>9.4292685288139305E-2</v>
      </c>
      <c r="J134" s="45">
        <f ca="1">_xll.fe1DInterpolate($M$128,J132)</f>
        <v>9.553370566744461E-2</v>
      </c>
      <c r="K134" s="45">
        <f ca="1">_xll.fe1DInterpolate($M$128,K132)</f>
        <v>9.835492646250045E-2</v>
      </c>
      <c r="L134" s="46">
        <f ca="1">_xll.fe1DInterpolate($M$128,L132)</f>
        <v>0.10757443246712092</v>
      </c>
      <c r="M134" s="3"/>
      <c r="N134" s="3"/>
      <c r="O134" s="3"/>
      <c r="P134" s="3"/>
      <c r="Q134" s="3"/>
      <c r="R134" s="3"/>
      <c r="S134" s="3"/>
      <c r="T134" s="3"/>
    </row>
    <row r="135" spans="4:20">
      <c r="E135" s="21" t="s">
        <v>134</v>
      </c>
      <c r="F135" s="109">
        <v>0.1</v>
      </c>
      <c r="G135" s="109">
        <f ca="1">_xll.fe1DInterpolate($S$128,G132)-_xll.fe1DInterpolate($G$128,G132)</f>
        <v>1.2382452488224352E-2</v>
      </c>
      <c r="H135" s="110">
        <f ca="1">_xll.fe1DInterpolate($S$128,H132)-_xll.fe1DInterpolate($G$128,H132)</f>
        <v>1.2162384458659525E-2</v>
      </c>
      <c r="I135" s="110">
        <f ca="1">_xll.fe1DInterpolate($S$128,I132)-_xll.fe1DInterpolate($G$128,I132)</f>
        <v>1.128211234040026E-2</v>
      </c>
      <c r="J135" s="110">
        <f ca="1">_xll.fe1DInterpolate($S$128,J132)-_xll.fe1DInterpolate($G$128,J132)</f>
        <v>1.1846693944429249E-2</v>
      </c>
      <c r="K135" s="110">
        <f ca="1">_xll.fe1DInterpolate($S$128,K132)-_xll.fe1DInterpolate($G$128,K132)</f>
        <v>9.8723155897126186E-3</v>
      </c>
      <c r="L135" s="111">
        <f ca="1">_xll.fe1DInterpolate($S$128,L132)-_xll.fe1DInterpolate($G$128,L132)</f>
        <v>5.0826199488946677E-3</v>
      </c>
      <c r="M135" s="3"/>
      <c r="N135" s="3"/>
      <c r="O135" s="3"/>
      <c r="P135" s="3"/>
      <c r="Q135" s="3"/>
      <c r="R135" s="3"/>
      <c r="S135" s="3"/>
      <c r="T135" s="3"/>
    </row>
    <row r="136" spans="4:20">
      <c r="E136" s="21" t="s">
        <v>134</v>
      </c>
      <c r="F136" s="109">
        <v>0.25</v>
      </c>
      <c r="G136" s="109">
        <f ca="1">_xll.fe1DInterpolate($P$128,G132)-_xll.fe1DInterpolate($J$128,G132)</f>
        <v>4.2091483686130388E-3</v>
      </c>
      <c r="H136" s="110">
        <f ca="1">_xll.fe1DInterpolate($P$128,H132)-_xll.fe1DInterpolate($J$128,H132)</f>
        <v>4.5095866732820927E-3</v>
      </c>
      <c r="I136" s="110">
        <f ca="1">_xll.fe1DInterpolate($P$128,I132)-_xll.fe1DInterpolate($J$128,I132)</f>
        <v>5.7113398919583364E-3</v>
      </c>
      <c r="J136" s="110">
        <f ca="1">_xll.fe1DInterpolate($P$128,J132)-_xll.fe1DInterpolate($J$128,J132)</f>
        <v>7.630835044071374E-3</v>
      </c>
      <c r="K136" s="110">
        <f ca="1">_xll.fe1DInterpolate($P$128,K132)-_xll.fe1DInterpolate($J$128,K132)</f>
        <v>8.5727091516614035E-3</v>
      </c>
      <c r="L136" s="111">
        <f ca="1">_xll.fe1DInterpolate($P$128,L132)-_xll.fe1DInterpolate($J$128,L132)</f>
        <v>1.1297606144916247E-2</v>
      </c>
      <c r="M136" s="3"/>
      <c r="N136" s="3"/>
      <c r="O136" s="3"/>
      <c r="P136" s="3"/>
      <c r="Q136" s="3"/>
      <c r="R136" s="3"/>
      <c r="S136" s="3"/>
      <c r="T136" s="3"/>
    </row>
    <row r="137" spans="4:20">
      <c r="E137" s="33" t="s">
        <v>135</v>
      </c>
      <c r="F137" s="44">
        <v>0.1</v>
      </c>
      <c r="G137" s="44">
        <f ca="1">(_xll.fe1DInterpolate($S$128,G132)+_xll.fe1DInterpolate($G$128,G132))-2*_xll.fe1DInterpolate($M$128,G132)</f>
        <v>2.4199449618362373E-2</v>
      </c>
      <c r="H137" s="45">
        <f ca="1">(_xll.fe1DInterpolate($S$128,H132)+_xll.fe1DInterpolate($G$128,H132))-2*_xll.fe1DInterpolate($M$128,H132)</f>
        <v>2.3914200778733519E-2</v>
      </c>
      <c r="I137" s="45">
        <f ca="1">(_xll.fe1DInterpolate($S$128,I132)+_xll.fe1DInterpolate($G$128,I132))-2*_xll.fe1DInterpolate($M$128,I132)</f>
        <v>2.2773205420218157E-2</v>
      </c>
      <c r="J137" s="45">
        <f ca="1">(_xll.fe1DInterpolate($S$128,J132)+_xll.fe1DInterpolate($G$128,J132))-2*_xll.fe1DInterpolate($M$128,J132)</f>
        <v>2.2808707246917609E-2</v>
      </c>
      <c r="K137" s="45">
        <f ca="1">(_xll.fe1DInterpolate($S$128,K132)+_xll.fe1DInterpolate($G$128,K132))-2*_xll.fe1DInterpolate($M$128,K132)</f>
        <v>1.9284025427586976E-2</v>
      </c>
      <c r="L137" s="46">
        <f ca="1">(_xll.fe1DInterpolate($S$128,L132)+_xll.fe1DInterpolate($G$128,L132))-2*_xll.fe1DInterpolate($M$128,L132)</f>
        <v>9.4100520622417694E-3</v>
      </c>
      <c r="M137" s="3"/>
      <c r="N137" s="3"/>
      <c r="O137" s="3"/>
      <c r="P137" s="3"/>
      <c r="Q137" s="3"/>
      <c r="R137" s="3"/>
      <c r="S137" s="3"/>
      <c r="T137" s="3"/>
    </row>
    <row r="138" spans="4:20">
      <c r="E138" s="13" t="s">
        <v>135</v>
      </c>
      <c r="F138" s="47">
        <v>0.25</v>
      </c>
      <c r="G138" s="47">
        <f ca="1">(_xll.fe1DInterpolate($P$128,G132)+_xll.fe1DInterpolate($J$128,G132))-2*_xll.fe1DInterpolate($M$128,G132)</f>
        <v>7.6054858178959683E-3</v>
      </c>
      <c r="H138" s="48">
        <f ca="1">(_xll.fe1DInterpolate($P$128,H132)+_xll.fe1DInterpolate($J$128,H132))-2*_xll.fe1DInterpolate($M$128,H132)</f>
        <v>7.3609226115695925E-3</v>
      </c>
      <c r="I138" s="48">
        <f ca="1">(_xll.fe1DInterpolate($P$128,I132)+_xll.fe1DInterpolate($J$128,I132))-2*_xll.fe1DInterpolate($M$128,I132)</f>
        <v>6.3826697862643944E-3</v>
      </c>
      <c r="J138" s="48">
        <f ca="1">(_xll.fe1DInterpolate($P$128,J132)+_xll.fe1DInterpolate($J$128,J132))-2*_xll.fe1DInterpolate($M$128,J132)</f>
        <v>6.0839391625914507E-3</v>
      </c>
      <c r="K138" s="48">
        <f ca="1">(_xll.fe1DInterpolate($P$128,K132)+_xll.fe1DInterpolate($J$128,K132))-2*_xll.fe1DInterpolate($M$128,K132)</f>
        <v>7.0740720077358266E-3</v>
      </c>
      <c r="L138" s="49">
        <f ca="1">(_xll.fe1DInterpolate($P$128,L132)+_xll.fe1DInterpolate($J$128,L132))-2*_xll.fe1DInterpolate($M$128,L132)</f>
        <v>7.840942301161502E-3</v>
      </c>
      <c r="M138" s="3"/>
      <c r="N138" s="3"/>
      <c r="O138" s="3"/>
      <c r="P138" s="3"/>
      <c r="Q138" s="3"/>
      <c r="R138" s="3"/>
      <c r="S138" s="3"/>
      <c r="T138" s="3"/>
    </row>
    <row r="139" spans="4:20">
      <c r="D139" s="34"/>
      <c r="E139" s="31"/>
      <c r="F139" s="31"/>
      <c r="G139" s="31"/>
      <c r="H139" s="31"/>
      <c r="I139" s="31"/>
      <c r="J139" s="31"/>
      <c r="K139" s="31"/>
      <c r="L139" s="31"/>
    </row>
    <row r="142" spans="4:20">
      <c r="F142" t="s">
        <v>137</v>
      </c>
      <c r="G142" t="s">
        <v>138</v>
      </c>
    </row>
    <row r="143" spans="4:20">
      <c r="F143" t="s">
        <v>139</v>
      </c>
      <c r="G143" t="s">
        <v>140</v>
      </c>
    </row>
  </sheetData>
  <mergeCells count="2">
    <mergeCell ref="Z29:AA29"/>
    <mergeCell ref="AB29:AC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ction">
                <anchor moveWithCells="1" sizeWithCells="1">
                  <from>
                    <xdr:col>40</xdr:col>
                    <xdr:colOff>123825</xdr:colOff>
                    <xdr:row>9</xdr:row>
                    <xdr:rowOff>9525</xdr:rowOff>
                  </from>
                  <to>
                    <xdr:col>42</xdr:col>
                    <xdr:colOff>152400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X73"/>
  <sheetViews>
    <sheetView showGridLines="0" zoomScale="85" zoomScaleNormal="85" workbookViewId="0">
      <selection activeCell="K7" sqref="K7"/>
    </sheetView>
  </sheetViews>
  <sheetFormatPr defaultRowHeight="12.75"/>
  <cols>
    <col min="4" max="4" width="22.85546875" bestFit="1" customWidth="1"/>
    <col min="5" max="5" width="10.140625" bestFit="1" customWidth="1"/>
    <col min="8" max="9" width="11.42578125" customWidth="1"/>
    <col min="24" max="24" width="15" customWidth="1"/>
  </cols>
  <sheetData>
    <row r="1" spans="2:24">
      <c r="J1" s="69" t="s">
        <v>149</v>
      </c>
    </row>
    <row r="2" spans="2:24">
      <c r="H2" s="11" t="s">
        <v>148</v>
      </c>
      <c r="I2" s="151" t="s">
        <v>156</v>
      </c>
      <c r="J2" s="152">
        <v>1341.1000000000001</v>
      </c>
    </row>
    <row r="3" spans="2:24">
      <c r="H3" s="141" t="s">
        <v>41</v>
      </c>
      <c r="I3" s="153">
        <v>43188</v>
      </c>
    </row>
    <row r="5" spans="2:24">
      <c r="H5" s="136" t="str">
        <f ca="1">_xll.BDP("GCWZ17C4 1250 Comdty","EXPIRATION_DATE_REALTIME")</f>
        <v>#N/A Real Time</v>
      </c>
    </row>
    <row r="11" spans="2:24">
      <c r="D11" s="137"/>
    </row>
    <row r="12" spans="2:24">
      <c r="D12" s="114" t="s">
        <v>34</v>
      </c>
      <c r="E12" s="144">
        <v>1315</v>
      </c>
      <c r="F12" s="29">
        <v>1320</v>
      </c>
      <c r="G12" s="29">
        <v>1325</v>
      </c>
      <c r="H12" s="29">
        <v>1330</v>
      </c>
      <c r="I12" s="29">
        <v>1335</v>
      </c>
      <c r="J12" s="29">
        <v>1340</v>
      </c>
      <c r="K12" s="29">
        <v>1345</v>
      </c>
      <c r="L12" s="29">
        <v>1350</v>
      </c>
      <c r="M12" s="29">
        <v>1355</v>
      </c>
      <c r="N12" s="29">
        <v>1360</v>
      </c>
      <c r="O12" s="29">
        <v>1365</v>
      </c>
      <c r="P12" s="29">
        <v>1370</v>
      </c>
      <c r="Q12" s="29">
        <v>1375</v>
      </c>
      <c r="R12" s="29">
        <v>1380</v>
      </c>
      <c r="S12" s="29">
        <v>1385</v>
      </c>
      <c r="T12" s="29">
        <v>1390</v>
      </c>
      <c r="U12" s="29">
        <v>1395</v>
      </c>
      <c r="V12" s="29">
        <v>1400</v>
      </c>
      <c r="W12" s="145">
        <v>1405</v>
      </c>
      <c r="X12" s="150" t="s">
        <v>147</v>
      </c>
    </row>
    <row r="13" spans="2:24">
      <c r="B13" s="11" t="str">
        <f t="shared" ref="B13:B24" ca="1" si="0">"W"&amp;C13&amp;D13&amp;" "</f>
        <v xml:space="preserve">WG18C1 </v>
      </c>
      <c r="C13" s="16" t="s">
        <v>146</v>
      </c>
      <c r="D13" s="114" t="s">
        <v>142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2"/>
      <c r="X13" s="149">
        <v>43133</v>
      </c>
    </row>
    <row r="14" spans="2:24">
      <c r="B14" s="33" t="str">
        <f t="shared" ca="1" si="0"/>
        <v xml:space="preserve">WG18C2 </v>
      </c>
      <c r="C14" s="142" t="s">
        <v>146</v>
      </c>
      <c r="D14" s="138" t="s">
        <v>143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5"/>
      <c r="X14" s="149">
        <v>43140</v>
      </c>
    </row>
    <row r="15" spans="2:24">
      <c r="B15" s="33" t="str">
        <f t="shared" ca="1" si="0"/>
        <v xml:space="preserve">WG18C3 </v>
      </c>
      <c r="C15" s="142" t="s">
        <v>146</v>
      </c>
      <c r="D15" s="138" t="s">
        <v>144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5"/>
      <c r="X15" s="149">
        <v>43147</v>
      </c>
    </row>
    <row r="16" spans="2:24">
      <c r="B16" s="33" t="str">
        <f t="shared" ca="1" si="0"/>
        <v xml:space="preserve">WG18C4 </v>
      </c>
      <c r="C16" s="142" t="s">
        <v>146</v>
      </c>
      <c r="D16" s="138" t="s">
        <v>145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5"/>
      <c r="X16" s="149">
        <v>43154</v>
      </c>
    </row>
    <row r="17" spans="2:24">
      <c r="B17" s="33" t="str">
        <f t="shared" ca="1" si="0"/>
        <v xml:space="preserve">WH18C1 </v>
      </c>
      <c r="C17" s="142" t="s">
        <v>157</v>
      </c>
      <c r="D17" s="138" t="s">
        <v>142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5"/>
      <c r="X17" s="149">
        <v>43161</v>
      </c>
    </row>
    <row r="18" spans="2:24">
      <c r="B18" s="33" t="str">
        <f t="shared" ca="1" si="0"/>
        <v xml:space="preserve">WH18C2 </v>
      </c>
      <c r="C18" s="142" t="s">
        <v>157</v>
      </c>
      <c r="D18" s="138" t="s">
        <v>143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5"/>
      <c r="X18" s="149">
        <v>43168</v>
      </c>
    </row>
    <row r="19" spans="2:24">
      <c r="B19" s="33" t="str">
        <f t="shared" ca="1" si="0"/>
        <v xml:space="preserve">WH18C3 </v>
      </c>
      <c r="C19" s="142" t="s">
        <v>157</v>
      </c>
      <c r="D19" s="138" t="s">
        <v>144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5"/>
      <c r="X19" s="149">
        <v>43175</v>
      </c>
    </row>
    <row r="20" spans="2:24">
      <c r="B20" s="33" t="str">
        <f t="shared" ca="1" si="0"/>
        <v xml:space="preserve">WH18C4 </v>
      </c>
      <c r="C20" s="142" t="s">
        <v>157</v>
      </c>
      <c r="D20" s="138" t="s">
        <v>145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5"/>
      <c r="X20" s="149"/>
    </row>
    <row r="21" spans="2:24">
      <c r="B21" s="33" t="str">
        <f t="shared" ca="1" si="0"/>
        <v xml:space="preserve">WJ18C1 </v>
      </c>
      <c r="C21" s="142" t="s">
        <v>158</v>
      </c>
      <c r="D21" s="138" t="s">
        <v>142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5"/>
      <c r="X21" s="149"/>
    </row>
    <row r="22" spans="2:24">
      <c r="B22" s="33" t="str">
        <f t="shared" ca="1" si="0"/>
        <v xml:space="preserve">WJ18C2 </v>
      </c>
      <c r="C22" s="142" t="s">
        <v>158</v>
      </c>
      <c r="D22" s="138" t="s">
        <v>143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5"/>
      <c r="X22" s="149"/>
    </row>
    <row r="23" spans="2:24">
      <c r="B23" s="33" t="str">
        <f t="shared" ca="1" si="0"/>
        <v xml:space="preserve">WJ18C3 </v>
      </c>
      <c r="C23" s="142" t="s">
        <v>158</v>
      </c>
      <c r="D23" s="138" t="s">
        <v>144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5"/>
      <c r="X23" s="149"/>
    </row>
    <row r="24" spans="2:24">
      <c r="B24" s="13" t="str">
        <f t="shared" ca="1" si="0"/>
        <v xml:space="preserve">WJ18C4 </v>
      </c>
      <c r="C24" s="143" t="s">
        <v>158</v>
      </c>
      <c r="D24" s="139" t="s">
        <v>145</v>
      </c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99"/>
      <c r="X24" s="154"/>
    </row>
    <row r="25" spans="2:24">
      <c r="D25" s="2"/>
    </row>
    <row r="26" spans="2:24">
      <c r="D26" s="2"/>
    </row>
    <row r="27" spans="2:24">
      <c r="D27" s="2"/>
    </row>
    <row r="28" spans="2:24">
      <c r="D28" s="114" t="s">
        <v>35</v>
      </c>
      <c r="E28" s="31">
        <f ca="1">E12</f>
        <v>1315</v>
      </c>
      <c r="F28" s="31">
        <f t="shared" ref="F28:W28" ca="1" si="1">F12</f>
        <v>1320</v>
      </c>
      <c r="G28" s="31">
        <f t="shared" ca="1" si="1"/>
        <v>1325</v>
      </c>
      <c r="H28" s="31">
        <f t="shared" ca="1" si="1"/>
        <v>1330</v>
      </c>
      <c r="I28" s="31">
        <f t="shared" ca="1" si="1"/>
        <v>1335</v>
      </c>
      <c r="J28" s="31">
        <f t="shared" ca="1" si="1"/>
        <v>1340</v>
      </c>
      <c r="K28" s="31">
        <f t="shared" ca="1" si="1"/>
        <v>1345</v>
      </c>
      <c r="L28" s="31">
        <f t="shared" ca="1" si="1"/>
        <v>1350</v>
      </c>
      <c r="M28" s="31">
        <f t="shared" ca="1" si="1"/>
        <v>1355</v>
      </c>
      <c r="N28" s="31">
        <f t="shared" ca="1" si="1"/>
        <v>1360</v>
      </c>
      <c r="O28" s="31">
        <f t="shared" ca="1" si="1"/>
        <v>1365</v>
      </c>
      <c r="P28" s="31">
        <f t="shared" ca="1" si="1"/>
        <v>1370</v>
      </c>
      <c r="Q28" s="31">
        <f t="shared" ca="1" si="1"/>
        <v>1375</v>
      </c>
      <c r="R28" s="31">
        <f t="shared" ca="1" si="1"/>
        <v>1380</v>
      </c>
      <c r="S28" s="31">
        <f t="shared" ca="1" si="1"/>
        <v>1385</v>
      </c>
      <c r="T28" s="31">
        <f t="shared" ca="1" si="1"/>
        <v>1390</v>
      </c>
      <c r="U28" s="31">
        <f t="shared" ca="1" si="1"/>
        <v>1395</v>
      </c>
      <c r="V28" s="31">
        <f t="shared" ca="1" si="1"/>
        <v>1400</v>
      </c>
      <c r="W28" s="32">
        <f t="shared" ca="1" si="1"/>
        <v>1405</v>
      </c>
    </row>
    <row r="29" spans="2:24">
      <c r="B29" s="11" t="str">
        <f ca="1">B13</f>
        <v xml:space="preserve">WG18C1 </v>
      </c>
      <c r="C29" s="31" t="str">
        <f t="shared" ref="C29:D29" ca="1" si="2">C13</f>
        <v>G18</v>
      </c>
      <c r="D29" s="40" t="str">
        <f t="shared" si="2"/>
        <v>C1</v>
      </c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6"/>
    </row>
    <row r="30" spans="2:24">
      <c r="B30" s="33" t="str">
        <f t="shared" ref="B30:D30" ca="1" si="3">B14</f>
        <v xml:space="preserve">WG18C2 </v>
      </c>
      <c r="C30" s="34" t="str">
        <f t="shared" ca="1" si="3"/>
        <v>G18</v>
      </c>
      <c r="D30" s="140" t="str">
        <f t="shared" ca="1" si="3"/>
        <v>C2</v>
      </c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46"/>
    </row>
    <row r="31" spans="2:24">
      <c r="B31" s="33" t="str">
        <f t="shared" ref="B31:D31" ca="1" si="4">B15</f>
        <v xml:space="preserve">WG18C3 </v>
      </c>
      <c r="C31" s="34" t="str">
        <f t="shared" ca="1" si="4"/>
        <v>G18</v>
      </c>
      <c r="D31" s="140" t="str">
        <f t="shared" si="4"/>
        <v>C3</v>
      </c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2:24">
      <c r="B32" s="33" t="str">
        <f t="shared" ref="B32:D32" ca="1" si="5">B16</f>
        <v xml:space="preserve">WG18C4 </v>
      </c>
      <c r="C32" s="34" t="str">
        <f t="shared" ca="1" si="5"/>
        <v>G18</v>
      </c>
      <c r="D32" s="140" t="str">
        <f t="shared" si="5"/>
        <v>C4</v>
      </c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8"/>
    </row>
    <row r="33" spans="2:23">
      <c r="B33" s="33" t="str">
        <f t="shared" ref="B33:D33" ca="1" si="6">B17</f>
        <v xml:space="preserve">WH18C1 </v>
      </c>
      <c r="C33" s="34" t="str">
        <f t="shared" ca="1" si="6"/>
        <v>H18</v>
      </c>
      <c r="D33" s="140" t="str">
        <f t="shared" ca="1" si="6"/>
        <v>C1</v>
      </c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8"/>
    </row>
    <row r="34" spans="2:23">
      <c r="B34" s="33" t="str">
        <f t="shared" ref="B34:D34" ca="1" si="7">B18</f>
        <v xml:space="preserve">WH18C2 </v>
      </c>
      <c r="C34" s="34" t="str">
        <f t="shared" ca="1" si="7"/>
        <v>H18</v>
      </c>
      <c r="D34" s="140" t="str">
        <f t="shared" si="7"/>
        <v>C2</v>
      </c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>
        <v>1.7000000000000002</v>
      </c>
      <c r="R34" s="147"/>
      <c r="S34" s="147"/>
      <c r="T34" s="147"/>
      <c r="U34" s="147"/>
      <c r="V34" s="147"/>
      <c r="W34" s="148"/>
    </row>
    <row r="35" spans="2:23">
      <c r="B35" s="33" t="str">
        <f t="shared" ref="B35:D35" ca="1" si="8">B19</f>
        <v xml:space="preserve">WH18C3 </v>
      </c>
      <c r="C35" s="34" t="str">
        <f t="shared" ca="1" si="8"/>
        <v>H18</v>
      </c>
      <c r="D35" s="140" t="str">
        <f t="shared" si="8"/>
        <v>C3</v>
      </c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8"/>
    </row>
    <row r="36" spans="2:23">
      <c r="B36" s="33" t="str">
        <f t="shared" ref="B36:D36" ca="1" si="9">B20</f>
        <v xml:space="preserve">WH18C4 </v>
      </c>
      <c r="C36" s="34" t="str">
        <f t="shared" ca="1" si="9"/>
        <v>H18</v>
      </c>
      <c r="D36" s="140" t="str">
        <f t="shared" si="9"/>
        <v>C4</v>
      </c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8"/>
    </row>
    <row r="37" spans="2:23">
      <c r="B37" s="33" t="str">
        <f t="shared" ref="B37:D37" ca="1" si="10">B21</f>
        <v xml:space="preserve">WJ18C1 </v>
      </c>
      <c r="C37" s="34" t="str">
        <f t="shared" ca="1" si="10"/>
        <v>J18</v>
      </c>
      <c r="D37" s="140" t="str">
        <f t="shared" ca="1" si="10"/>
        <v>C1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5"/>
    </row>
    <row r="38" spans="2:23">
      <c r="B38" s="33" t="str">
        <f t="shared" ref="B38:D38" ca="1" si="11">B22</f>
        <v xml:space="preserve">WJ18C2 </v>
      </c>
      <c r="C38" s="34" t="str">
        <f t="shared" ca="1" si="11"/>
        <v>J18</v>
      </c>
      <c r="D38" s="140" t="str">
        <f t="shared" si="11"/>
        <v>C2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5"/>
    </row>
    <row r="39" spans="2:23">
      <c r="B39" s="33" t="str">
        <f t="shared" ref="B39:D39" ca="1" si="12">B23</f>
        <v xml:space="preserve">WJ18C3 </v>
      </c>
      <c r="C39" s="34" t="str">
        <f t="shared" ca="1" si="12"/>
        <v>J18</v>
      </c>
      <c r="D39" s="140" t="str">
        <f t="shared" si="12"/>
        <v>C3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5"/>
    </row>
    <row r="40" spans="2:23">
      <c r="B40" s="13" t="str">
        <f t="shared" ref="B40:D40" ca="1" si="13">B24</f>
        <v xml:space="preserve">WJ18C4 </v>
      </c>
      <c r="C40" s="59" t="str">
        <f t="shared" ca="1" si="13"/>
        <v>J18</v>
      </c>
      <c r="D40" s="141" t="str">
        <f t="shared" si="13"/>
        <v>C4</v>
      </c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99"/>
    </row>
    <row r="42" spans="2:23">
      <c r="E42" s="65"/>
    </row>
    <row r="46" spans="2:23">
      <c r="D46" s="82" t="s">
        <v>150</v>
      </c>
      <c r="E46" s="23">
        <v>1260</v>
      </c>
      <c r="F46" s="23">
        <v>1265</v>
      </c>
      <c r="G46" s="23">
        <v>1270</v>
      </c>
      <c r="H46" s="23">
        <v>1275</v>
      </c>
      <c r="I46" s="23">
        <v>1280</v>
      </c>
      <c r="J46" s="23">
        <v>1285</v>
      </c>
      <c r="K46" s="23">
        <v>1290</v>
      </c>
      <c r="L46" s="23">
        <v>1295</v>
      </c>
      <c r="M46" s="23">
        <v>1300</v>
      </c>
      <c r="N46" s="23">
        <v>1305</v>
      </c>
      <c r="O46" s="23">
        <v>1310</v>
      </c>
      <c r="P46" s="23">
        <v>1315</v>
      </c>
      <c r="Q46" s="23">
        <v>1320</v>
      </c>
      <c r="R46" s="23">
        <v>1325</v>
      </c>
      <c r="S46" s="23">
        <v>1330</v>
      </c>
      <c r="T46" s="23">
        <v>1335</v>
      </c>
      <c r="U46" s="23">
        <v>1340</v>
      </c>
      <c r="V46" s="23">
        <v>1345</v>
      </c>
      <c r="W46" s="24">
        <v>1350</v>
      </c>
    </row>
    <row r="47" spans="2:23">
      <c r="D47" s="149">
        <f ca="1">printExp</f>
        <v>43133</v>
      </c>
      <c r="E47" s="42" t="str">
        <f ca="1">IF(E13="","",_xll.feImpliedVol(TODAY(),"E","C",E$46,$D47,FrontPrice,E13,0))</f>
        <v/>
      </c>
      <c r="F47" s="42" t="str">
        <f ca="1">IF(F13="","",_xll.feImpliedVol(TODAY(),"E","C",F$46,$D47,FrontPrice,F13,0))</f>
        <v/>
      </c>
      <c r="G47" s="42" t="str">
        <f ca="1">IF(G13="","",_xll.feImpliedVol(TODAY(),"E","C",G$46,$D47,FrontPrice,G13,0))</f>
        <v/>
      </c>
      <c r="H47" s="42" t="str">
        <f ca="1">IF(H13="","",_xll.feImpliedVol(TODAY(),"E","C",H$46,$D47,FrontPrice,H13,0))</f>
        <v/>
      </c>
      <c r="I47" s="42" t="str">
        <f ca="1">IF(I13="","",_xll.feImpliedVol(TODAY(),"E","C",I$46,$D47,FrontPrice,I13,0))</f>
        <v/>
      </c>
      <c r="J47" s="42" t="str">
        <f ca="1">IF(J13="","",_xll.feImpliedVol(TODAY(),"E","C",J$46,$D47,FrontPrice,J13,0))</f>
        <v/>
      </c>
      <c r="K47" s="42" t="str">
        <f ca="1">IF(K13="","",_xll.feImpliedVol(TODAY(),"E","C",K$46,$D47,FrontPrice,K13,0))</f>
        <v/>
      </c>
      <c r="L47" s="42" t="str">
        <f ca="1">IF(L13="","",_xll.feImpliedVol(TODAY(),"E","C",L$46,$D47,FrontPrice,L13,0))</f>
        <v/>
      </c>
      <c r="M47" s="42" t="str">
        <f ca="1">IF(M13="","",_xll.feImpliedVol(TODAY(),"E","C",M$46,$D47,FrontPrice,M13,0))</f>
        <v/>
      </c>
      <c r="N47" s="42" t="str">
        <f ca="1">IF(N13="","",_xll.feImpliedVol(TODAY(),"E","C",N$46,$D47,FrontPrice,N13,0))</f>
        <v/>
      </c>
      <c r="O47" s="42" t="str">
        <f ca="1">IF(O13="","",_xll.feImpliedVol(TODAY(),"E","C",O$46,$D47,FrontPrice,O13,0))</f>
        <v/>
      </c>
      <c r="P47" s="42" t="str">
        <f ca="1">IF(P13="","",_xll.feImpliedVol(TODAY(),"E","C",P$46,$D47,FrontPrice,P13,0))</f>
        <v/>
      </c>
      <c r="Q47" s="42" t="str">
        <f ca="1">IF(Q13="","",_xll.feImpliedVol(TODAY(),"E","C",Q$46,$D47,FrontPrice,Q13,0))</f>
        <v/>
      </c>
      <c r="R47" s="42" t="str">
        <f ca="1">IF(R13="","",_xll.feImpliedVol(TODAY(),"E","C",R$46,$D47,FrontPrice,R13,0))</f>
        <v/>
      </c>
      <c r="S47" s="42" t="str">
        <f ca="1">IF(S13="","",_xll.feImpliedVol(TODAY(),"E","C",S$46,$D47,FrontPrice,S13,0))</f>
        <v/>
      </c>
      <c r="T47" s="42" t="str">
        <f ca="1">IF(T13="","",_xll.feImpliedVol(TODAY(),"E","C",T$46,$D47,FrontPrice,T13,0))</f>
        <v/>
      </c>
      <c r="U47" s="42" t="str">
        <f ca="1">IF(U13="","",_xll.feImpliedVol(TODAY(),"E","C",U$46,$D47,FrontPrice,U13,0))</f>
        <v/>
      </c>
      <c r="V47" s="42" t="str">
        <f ca="1">IF(V13="","",_xll.feImpliedVol(TODAY(),"E","C",V$46,$D47,FrontPrice,V13,0))</f>
        <v/>
      </c>
      <c r="W47" s="43" t="str">
        <f ca="1">IF(W13="","",_xll.feImpliedVol(TODAY(),"E","C",W$46,$D47,FrontPrice,W13,0))</f>
        <v/>
      </c>
    </row>
    <row r="48" spans="2:23">
      <c r="D48" s="149">
        <f t="shared" ref="D48:D58" ca="1" si="14">X14</f>
        <v>43140</v>
      </c>
      <c r="E48" s="45" t="str">
        <f ca="1">IF(E14="","",_xll.feImpliedVol(TODAY(),"E","C",E$46,$D48,FrontPrice,E14,0))</f>
        <v/>
      </c>
      <c r="F48" s="45" t="str">
        <f ca="1">IF(F14="","",_xll.feImpliedVol(TODAY(),"E","C",F$46,$D48,FrontPrice,F14,0))</f>
        <v/>
      </c>
      <c r="G48" s="45" t="str">
        <f ca="1">IF(G14="","",_xll.feImpliedVol(TODAY(),"E","C",G$46,$D48,FrontPrice,G14,0))</f>
        <v/>
      </c>
      <c r="H48" s="45" t="str">
        <f ca="1">IF(H14="","",_xll.feImpliedVol(TODAY(),"E","C",H$46,$D48,FrontPrice,H14,0))</f>
        <v/>
      </c>
      <c r="I48" s="45" t="str">
        <f ca="1">IF(I14="","",_xll.feImpliedVol(TODAY(),"E","C",I$46,$D48,FrontPrice,I14,0))</f>
        <v/>
      </c>
      <c r="J48" s="45" t="str">
        <f ca="1">IF(J14="","",_xll.feImpliedVol(TODAY(),"E","C",J$46,$D48,FrontPrice,J14,0))</f>
        <v/>
      </c>
      <c r="K48" s="45" t="str">
        <f ca="1">IF(K14="","",_xll.feImpliedVol(TODAY(),"E","C",K$46,$D48,FrontPrice,K14,0))</f>
        <v/>
      </c>
      <c r="L48" s="45" t="str">
        <f ca="1">IF(L14="","",_xll.feImpliedVol(TODAY(),"E","C",L$46,$D48,FrontPrice,L14,0))</f>
        <v/>
      </c>
      <c r="M48" s="45" t="str">
        <f ca="1">IF(M14="","",_xll.feImpliedVol(TODAY(),"E","C",M$46,$D48,FrontPrice,M14,0))</f>
        <v/>
      </c>
      <c r="N48" s="45" t="str">
        <f ca="1">IF(N14="","",_xll.feImpliedVol(TODAY(),"E","C",N$46,$D48,FrontPrice,N14,0))</f>
        <v/>
      </c>
      <c r="O48" s="45" t="str">
        <f ca="1">IF(O14="","",_xll.feImpliedVol(TODAY(),"E","C",O$46,$D48,FrontPrice,O14,0))</f>
        <v/>
      </c>
      <c r="P48" s="45" t="str">
        <f ca="1">IF(P14="","",_xll.feImpliedVol(TODAY(),"E","C",P$46,$D48,FrontPrice,P14,0))</f>
        <v/>
      </c>
      <c r="Q48" s="45" t="str">
        <f ca="1">IF(Q14="","",_xll.feImpliedVol(TODAY(),"E","C",Q$46,$D48,FrontPrice,Q14,0))</f>
        <v/>
      </c>
      <c r="R48" s="45" t="str">
        <f ca="1">IF(R14="","",_xll.feImpliedVol(TODAY(),"E","C",R$46,$D48,FrontPrice,R14,0))</f>
        <v/>
      </c>
      <c r="S48" s="45" t="str">
        <f ca="1">IF(S14="","",_xll.feImpliedVol(TODAY(),"E","C",S$46,$D48,FrontPrice,S14,0))</f>
        <v/>
      </c>
      <c r="T48" s="45" t="str">
        <f ca="1">IF(T14="","",_xll.feImpliedVol(TODAY(),"E","C",T$46,$D48,FrontPrice,T14,0))</f>
        <v/>
      </c>
      <c r="U48" s="45" t="str">
        <f ca="1">IF(U14="","",_xll.feImpliedVol(TODAY(),"E","C",U$46,$D48,FrontPrice,U14,0))</f>
        <v/>
      </c>
      <c r="V48" s="45" t="str">
        <f ca="1">IF(V14="","",_xll.feImpliedVol(TODAY(),"E","C",V$46,$D48,FrontPrice,V14,0))</f>
        <v/>
      </c>
      <c r="W48" s="46" t="str">
        <f ca="1">IF(W14="","",_xll.feImpliedVol(TODAY(),"E","C",W$46,$D48,FrontPrice,W14,0))</f>
        <v/>
      </c>
    </row>
    <row r="49" spans="4:23">
      <c r="D49" s="149">
        <f t="shared" ca="1" si="14"/>
        <v>43147</v>
      </c>
      <c r="E49" s="45" t="str">
        <f ca="1">IF(E15="","",_xll.feImpliedVol(TODAY(),"E","C",E$46,$D49,FrontPrice,E15,0))</f>
        <v/>
      </c>
      <c r="F49" s="45" t="str">
        <f ca="1">IF(F15="","",_xll.feImpliedVol(TODAY(),"E","C",F$46,$D49,FrontPrice,F15,0))</f>
        <v/>
      </c>
      <c r="G49" s="45" t="str">
        <f ca="1">IF(G15="","",_xll.feImpliedVol(TODAY(),"E","C",G$46,$D49,FrontPrice,G15,0))</f>
        <v/>
      </c>
      <c r="H49" s="45" t="str">
        <f ca="1">IF(H15="","",_xll.feImpliedVol(TODAY(),"E","C",H$46,$D49,FrontPrice,H15,0))</f>
        <v/>
      </c>
      <c r="I49" s="45" t="str">
        <f ca="1">IF(I15="","",_xll.feImpliedVol(TODAY(),"E","C",I$46,$D49,FrontPrice,I15,0))</f>
        <v/>
      </c>
      <c r="J49" s="45" t="str">
        <f ca="1">IF(J15="","",_xll.feImpliedVol(TODAY(),"E","C",J$46,$D49,FrontPrice,J15,0))</f>
        <v/>
      </c>
      <c r="K49" s="45" t="str">
        <f ca="1">IF(K15="","",_xll.feImpliedVol(TODAY(),"E","C",K$46,$D49,FrontPrice,K15,0))</f>
        <v/>
      </c>
      <c r="L49" s="45" t="str">
        <f ca="1">IF(L15="","",_xll.feImpliedVol(TODAY(),"E","C",L$46,$D49,FrontPrice,L15,0))</f>
        <v/>
      </c>
      <c r="M49" s="45" t="str">
        <f ca="1">IF(M15="","",_xll.feImpliedVol(TODAY(),"E","C",M$46,$D49,FrontPrice,M15,0))</f>
        <v/>
      </c>
      <c r="N49" s="45" t="str">
        <f ca="1">IF(N15="","",_xll.feImpliedVol(TODAY(),"E","C",N$46,$D49,FrontPrice,N15,0))</f>
        <v/>
      </c>
      <c r="O49" s="45" t="str">
        <f ca="1">IF(O15="","",_xll.feImpliedVol(TODAY(),"E","C",O$46,$D49,FrontPrice,O15,0))</f>
        <v/>
      </c>
      <c r="P49" s="45" t="str">
        <f ca="1">IF(P15="","",_xll.feImpliedVol(TODAY(),"E","C",P$46,$D49,FrontPrice,P15,0))</f>
        <v/>
      </c>
      <c r="Q49" s="45" t="str">
        <f ca="1">IF(Q15="","",_xll.feImpliedVol(TODAY(),"E","C",Q$46,$D49,FrontPrice,Q15,0))</f>
        <v/>
      </c>
      <c r="R49" s="45" t="str">
        <f ca="1">IF(R15="","",_xll.feImpliedVol(TODAY(),"E","C",R$46,$D49,FrontPrice,R15,0))</f>
        <v/>
      </c>
      <c r="S49" s="45" t="str">
        <f ca="1">IF(S15="","",_xll.feImpliedVol(TODAY(),"E","C",S$46,$D49,FrontPrice,S15,0))</f>
        <v/>
      </c>
      <c r="T49" s="45" t="str">
        <f ca="1">IF(T15="","",_xll.feImpliedVol(TODAY(),"E","C",T$46,$D49,FrontPrice,T15,0))</f>
        <v/>
      </c>
      <c r="U49" s="45" t="str">
        <f ca="1">IF(U15="","",_xll.feImpliedVol(TODAY(),"E","C",U$46,$D49,FrontPrice,U15,0))</f>
        <v/>
      </c>
      <c r="V49" s="45" t="str">
        <f ca="1">IF(V15="","",_xll.feImpliedVol(TODAY(),"E","C",V$46,$D49,FrontPrice,V15,0))</f>
        <v/>
      </c>
      <c r="W49" s="46" t="str">
        <f ca="1">IF(W15="","",_xll.feImpliedVol(TODAY(),"E","C",W$46,$D49,FrontPrice,W15,0))</f>
        <v/>
      </c>
    </row>
    <row r="50" spans="4:23">
      <c r="D50" s="149">
        <f t="shared" ca="1" si="14"/>
        <v>43154</v>
      </c>
      <c r="E50" s="45" t="str">
        <f ca="1">IF(E16="","",_xll.feImpliedVol(TODAY(),"E","C",E$46,$D50,FrontPrice,E16,0))</f>
        <v/>
      </c>
      <c r="F50" s="45" t="str">
        <f ca="1">IF(F16="","",_xll.feImpliedVol(TODAY(),"E","C",F$46,$D50,FrontPrice,F16,0))</f>
        <v/>
      </c>
      <c r="G50" s="45" t="str">
        <f ca="1">IF(G16="","",_xll.feImpliedVol(TODAY(),"E","C",G$46,$D50,FrontPrice,G16,0))</f>
        <v/>
      </c>
      <c r="H50" s="45" t="str">
        <f ca="1">IF(H16="","",_xll.feImpliedVol(TODAY(),"E","C",H$46,$D50,FrontPrice,H16,0))</f>
        <v/>
      </c>
      <c r="I50" s="45" t="str">
        <f ca="1">IF(I16="","",_xll.feImpliedVol(TODAY(),"E","C",I$46,$D50,FrontPrice,I16,0))</f>
        <v/>
      </c>
      <c r="J50" s="45" t="str">
        <f ca="1">IF(J16="","",_xll.feImpliedVol(TODAY(),"E","C",J$46,$D50,FrontPrice,J16,0))</f>
        <v/>
      </c>
      <c r="K50" s="45" t="str">
        <f ca="1">IF(K16="","",_xll.feImpliedVol(TODAY(),"E","C",K$46,$D50,FrontPrice,K16,0))</f>
        <v/>
      </c>
      <c r="L50" s="45" t="str">
        <f ca="1">IF(L16="","",_xll.feImpliedVol(TODAY(),"E","C",L$46,$D50,FrontPrice,L16,0))</f>
        <v/>
      </c>
      <c r="M50" s="45" t="str">
        <f ca="1">IF(M16="","",_xll.feImpliedVol(TODAY(),"E","C",M$46,$D50,FrontPrice,M16,0))</f>
        <v/>
      </c>
      <c r="N50" s="45" t="str">
        <f ca="1">IF(N16="","",_xll.feImpliedVol(TODAY(),"E","C",N$46,$D50,FrontPrice,N16,0))</f>
        <v/>
      </c>
      <c r="O50" s="45" t="str">
        <f ca="1">IF(O16="","",_xll.feImpliedVol(TODAY(),"E","C",O$46,$D50,FrontPrice,O16,0))</f>
        <v/>
      </c>
      <c r="P50" s="45" t="str">
        <f ca="1">IF(P16="","",_xll.feImpliedVol(TODAY(),"E","C",P$46,$D50,FrontPrice,P16,0))</f>
        <v/>
      </c>
      <c r="Q50" s="45" t="str">
        <f ca="1">IF(Q16="","",_xll.feImpliedVol(TODAY(),"E","C",Q$46,$D50,FrontPrice,Q16,0))</f>
        <v/>
      </c>
      <c r="R50" s="45" t="str">
        <f ca="1">IF(R16="","",_xll.feImpliedVol(TODAY(),"E","C",R$46,$D50,FrontPrice,R16,0))</f>
        <v/>
      </c>
      <c r="S50" s="45" t="str">
        <f ca="1">IF(S16="","",_xll.feImpliedVol(TODAY(),"E","C",S$46,$D50,FrontPrice,S16,0))</f>
        <v/>
      </c>
      <c r="T50" s="45" t="str">
        <f ca="1">IF(T16="","",_xll.feImpliedVol(TODAY(),"E","C",T$46,$D50,FrontPrice,T16,0))</f>
        <v/>
      </c>
      <c r="U50" s="45" t="str">
        <f ca="1">IF(U16="","",_xll.feImpliedVol(TODAY(),"E","C",U$46,$D50,FrontPrice,U16,0))</f>
        <v/>
      </c>
      <c r="V50" s="45" t="str">
        <f ca="1">IF(V16="","",_xll.feImpliedVol(TODAY(),"E","C",V$46,$D50,FrontPrice,V16,0))</f>
        <v/>
      </c>
      <c r="W50" s="46" t="str">
        <f ca="1">IF(W16="","",_xll.feImpliedVol(TODAY(),"E","C",W$46,$D50,FrontPrice,W16,0))</f>
        <v/>
      </c>
    </row>
    <row r="51" spans="4:23">
      <c r="D51" s="149">
        <f t="shared" ca="1" si="14"/>
        <v>43161</v>
      </c>
      <c r="E51" s="45" t="str">
        <f ca="1">IF(E17="","",_xll.feImpliedVol(TODAY(),"E","C",E$46,$D51,FrontPrice,E17,0))</f>
        <v/>
      </c>
      <c r="F51" s="45" t="str">
        <f ca="1">IF(F17="","",_xll.feImpliedVol(TODAY(),"E","C",F$46,$D51,FrontPrice,F17,0))</f>
        <v/>
      </c>
      <c r="G51" s="45" t="str">
        <f ca="1">IF(G17="","",_xll.feImpliedVol(TODAY(),"E","C",G$46,$D51,FrontPrice,G17,0))</f>
        <v/>
      </c>
      <c r="H51" s="45" t="str">
        <f ca="1">IF(H17="","",_xll.feImpliedVol(TODAY(),"E","C",H$46,$D51,FrontPrice,H17,0))</f>
        <v/>
      </c>
      <c r="I51" s="45" t="str">
        <f ca="1">IF(I17="","",_xll.feImpliedVol(TODAY(),"E","C",I$46,$D51,FrontPrice,I17,0))</f>
        <v/>
      </c>
      <c r="J51" s="45" t="str">
        <f ca="1">IF(J17="","",_xll.feImpliedVol(TODAY(),"E","C",J$46,$D51,FrontPrice,J17,0))</f>
        <v/>
      </c>
      <c r="K51" s="45" t="str">
        <f ca="1">IF(K17="","",_xll.feImpliedVol(TODAY(),"E","C",K$46,$D51,FrontPrice,K17,0))</f>
        <v/>
      </c>
      <c r="L51" s="45" t="str">
        <f ca="1">IF(L17="","",_xll.feImpliedVol(TODAY(),"E","C",L$46,$D51,FrontPrice,L17,0))</f>
        <v/>
      </c>
      <c r="M51" s="45" t="str">
        <f ca="1">IF(M17="","",_xll.feImpliedVol(TODAY(),"E","C",M$46,$D51,FrontPrice,M17,0))</f>
        <v/>
      </c>
      <c r="N51" s="45" t="str">
        <f ca="1">IF(N17="","",_xll.feImpliedVol(TODAY(),"E","C",N$46,$D51,FrontPrice,N17,0))</f>
        <v/>
      </c>
      <c r="O51" s="45" t="str">
        <f ca="1">IF(O17="","",_xll.feImpliedVol(TODAY(),"E","C",O$46,$D51,FrontPrice,O17,0))</f>
        <v/>
      </c>
      <c r="P51" s="45" t="str">
        <f ca="1">IF(P17="","",_xll.feImpliedVol(TODAY(),"E","C",P$46,$D51,FrontPrice,P17,0))</f>
        <v/>
      </c>
      <c r="Q51" s="45" t="str">
        <f ca="1">IF(Q17="","",_xll.feImpliedVol(TODAY(),"E","C",Q$46,$D51,FrontPrice,Q17,0))</f>
        <v/>
      </c>
      <c r="R51" s="45" t="str">
        <f ca="1">IF(R17="","",_xll.feImpliedVol(TODAY(),"E","C",R$46,$D51,FrontPrice,R17,0))</f>
        <v/>
      </c>
      <c r="S51" s="45" t="str">
        <f ca="1">IF(S17="","",_xll.feImpliedVol(TODAY(),"E","C",S$46,$D51,FrontPrice,S17,0))</f>
        <v/>
      </c>
      <c r="T51" s="45" t="str">
        <f ca="1">IF(T17="","",_xll.feImpliedVol(TODAY(),"E","C",T$46,$D51,FrontPrice,T17,0))</f>
        <v/>
      </c>
      <c r="U51" s="45" t="str">
        <f ca="1">IF(U17="","",_xll.feImpliedVol(TODAY(),"E","C",U$46,$D51,FrontPrice,U17,0))</f>
        <v/>
      </c>
      <c r="V51" s="45" t="str">
        <f ca="1">IF(V17="","",_xll.feImpliedVol(TODAY(),"E","C",V$46,$D51,FrontPrice,V17,0))</f>
        <v/>
      </c>
      <c r="W51" s="46" t="str">
        <f ca="1">IF(W17="","",_xll.feImpliedVol(TODAY(),"E","C",W$46,$D51,FrontPrice,W17,0))</f>
        <v/>
      </c>
    </row>
    <row r="52" spans="4:23">
      <c r="D52" s="149">
        <f t="shared" ca="1" si="14"/>
        <v>43168</v>
      </c>
      <c r="E52" s="45" t="str">
        <f ca="1">IF(E18="","",_xll.feImpliedVol(TODAY(),"E","C",E$46,$D52,FrontPrice,E18,0))</f>
        <v/>
      </c>
      <c r="F52" s="45" t="str">
        <f ca="1">IF(F18="","",_xll.feImpliedVol(TODAY(),"E","C",F$46,$D52,FrontPrice,F18,0))</f>
        <v/>
      </c>
      <c r="G52" s="45" t="str">
        <f ca="1">IF(G18="","",_xll.feImpliedVol(TODAY(),"E","C",G$46,$D52,FrontPrice,G18,0))</f>
        <v/>
      </c>
      <c r="H52" s="45" t="str">
        <f ca="1">IF(H18="","",_xll.feImpliedVol(TODAY(),"E","C",H$46,$D52,FrontPrice,H18,0))</f>
        <v/>
      </c>
      <c r="I52" s="45" t="str">
        <f ca="1">IF(I18="","",_xll.feImpliedVol(TODAY(),"E","C",I$46,$D52,FrontPrice,I18,0))</f>
        <v/>
      </c>
      <c r="J52" s="45" t="str">
        <f ca="1">IF(J18="","",_xll.feImpliedVol(TODAY(),"E","C",J$46,$D52,FrontPrice,J18,0))</f>
        <v/>
      </c>
      <c r="K52" s="45" t="str">
        <f ca="1">IF(K18="","",_xll.feImpliedVol(TODAY(),"E","C",K$46,$D52,FrontPrice,K18,0))</f>
        <v/>
      </c>
      <c r="L52" s="45" t="str">
        <f ca="1">IF(L18="","",_xll.feImpliedVol(TODAY(),"E","C",L$46,$D52,FrontPrice,L18,0))</f>
        <v/>
      </c>
      <c r="M52" s="45" t="str">
        <f ca="1">IF(M18="","",_xll.feImpliedVol(TODAY(),"E","C",M$46,$D52,FrontPrice,M18,0))</f>
        <v/>
      </c>
      <c r="N52" s="45" t="str">
        <f ca="1">IF(N18="","",_xll.feImpliedVol(TODAY(),"E","C",N$46,$D52,FrontPrice,N18,0))</f>
        <v/>
      </c>
      <c r="O52" s="45" t="str">
        <f ca="1">IF(O18="","",_xll.feImpliedVol(TODAY(),"E","C",O$46,$D52,FrontPrice,O18,0))</f>
        <v/>
      </c>
      <c r="P52" s="45" t="str">
        <f ca="1">IF(P18="","",_xll.feImpliedVol(TODAY(),"E","C",P$46,$D52,FrontPrice,P18,0))</f>
        <v/>
      </c>
      <c r="Q52" s="45" t="str">
        <f ca="1">IF(Q18="","",_xll.feImpliedVol(TODAY(),"E","C",Q$46,$D52,FrontPrice,Q18,0))</f>
        <v/>
      </c>
      <c r="R52" s="45" t="str">
        <f ca="1">IF(R18="","",_xll.feImpliedVol(TODAY(),"E","C",R$46,$D52,FrontPrice,R18,0))</f>
        <v/>
      </c>
      <c r="S52" s="45" t="str">
        <f ca="1">IF(S18="","",_xll.feImpliedVol(TODAY(),"E","C",S$46,$D52,FrontPrice,S18,0))</f>
        <v/>
      </c>
      <c r="T52" s="45" t="str">
        <f ca="1">IF(T18="","",_xll.feImpliedVol(TODAY(),"E","C",T$46,$D52,FrontPrice,T18,0))</f>
        <v/>
      </c>
      <c r="U52" s="45" t="str">
        <f ca="1">IF(U18="","",_xll.feImpliedVol(TODAY(),"E","C",U$46,$D52,FrontPrice,U18,0))</f>
        <v/>
      </c>
      <c r="V52" s="45" t="str">
        <f ca="1">IF(V18="","",_xll.feImpliedVol(TODAY(),"E","C",V$46,$D52,FrontPrice,V18,0))</f>
        <v/>
      </c>
      <c r="W52" s="46" t="str">
        <f ca="1">IF(W18="","",_xll.feImpliedVol(TODAY(),"E","C",W$46,$D52,FrontPrice,W18,0))</f>
        <v/>
      </c>
    </row>
    <row r="53" spans="4:23">
      <c r="D53" s="149">
        <f t="shared" ca="1" si="14"/>
        <v>43175</v>
      </c>
      <c r="E53" s="45" t="str">
        <f ca="1">IF(E19="","",_xll.feImpliedVol(TODAY(),"E","C",E$46,$D53,FrontPrice,E19,0))</f>
        <v/>
      </c>
      <c r="F53" s="45" t="str">
        <f ca="1">IF(F19="","",_xll.feImpliedVol(TODAY(),"E","C",F$46,$D53,FrontPrice,F19,0))</f>
        <v/>
      </c>
      <c r="G53" s="45" t="str">
        <f ca="1">IF(G19="","",_xll.feImpliedVol(TODAY(),"E","C",G$46,$D53,FrontPrice,G19,0))</f>
        <v/>
      </c>
      <c r="H53" s="45" t="str">
        <f ca="1">IF(H19="","",_xll.feImpliedVol(TODAY(),"E","C",H$46,$D53,FrontPrice,H19,0))</f>
        <v/>
      </c>
      <c r="I53" s="45" t="str">
        <f ca="1">IF(I19="","",_xll.feImpliedVol(TODAY(),"E","C",I$46,$D53,FrontPrice,I19,0))</f>
        <v/>
      </c>
      <c r="J53" s="45" t="str">
        <f ca="1">IF(J19="","",_xll.feImpliedVol(TODAY(),"E","C",J$46,$D53,FrontPrice,J19,0))</f>
        <v/>
      </c>
      <c r="K53" s="45" t="str">
        <f ca="1">IF(K19="","",_xll.feImpliedVol(TODAY(),"E","C",K$46,$D53,FrontPrice,K19,0))</f>
        <v/>
      </c>
      <c r="L53" s="45" t="str">
        <f ca="1">IF(L19="","",_xll.feImpliedVol(TODAY(),"E","C",L$46,$D53,FrontPrice,L19,0))</f>
        <v/>
      </c>
      <c r="M53" s="45" t="str">
        <f ca="1">IF(M19="","",_xll.feImpliedVol(TODAY(),"E","C",M$46,$D53,FrontPrice,M19,0))</f>
        <v/>
      </c>
      <c r="N53" s="45" t="str">
        <f ca="1">IF(N19="","",_xll.feImpliedVol(TODAY(),"E","C",N$46,$D53,FrontPrice,N19,0))</f>
        <v/>
      </c>
      <c r="O53" s="45" t="str">
        <f ca="1">IF(O19="","",_xll.feImpliedVol(TODAY(),"E","C",O$46,$D53,FrontPrice,O19,0))</f>
        <v/>
      </c>
      <c r="P53" s="45" t="str">
        <f ca="1">IF(P19="","",_xll.feImpliedVol(TODAY(),"E","C",P$46,$D53,FrontPrice,P19,0))</f>
        <v/>
      </c>
      <c r="Q53" s="45" t="str">
        <f ca="1">IF(Q19="","",_xll.feImpliedVol(TODAY(),"E","C",Q$46,$D53,FrontPrice,Q19,0))</f>
        <v/>
      </c>
      <c r="R53" s="45" t="str">
        <f ca="1">IF(R19="","",_xll.feImpliedVol(TODAY(),"E","C",R$46,$D53,FrontPrice,R19,0))</f>
        <v/>
      </c>
      <c r="S53" s="45" t="str">
        <f ca="1">IF(S19="","",_xll.feImpliedVol(TODAY(),"E","C",S$46,$D53,FrontPrice,S19,0))</f>
        <v/>
      </c>
      <c r="T53" s="45" t="str">
        <f ca="1">IF(T19="","",_xll.feImpliedVol(TODAY(),"E","C",T$46,$D53,FrontPrice,T19,0))</f>
        <v/>
      </c>
      <c r="U53" s="45" t="str">
        <f ca="1">IF(U19="","",_xll.feImpliedVol(TODAY(),"E","C",U$46,$D53,FrontPrice,U19,0))</f>
        <v/>
      </c>
      <c r="V53" s="45" t="str">
        <f ca="1">IF(V19="","",_xll.feImpliedVol(TODAY(),"E","C",V$46,$D53,FrontPrice,V19,0))</f>
        <v/>
      </c>
      <c r="W53" s="46" t="str">
        <f ca="1">IF(W19="","",_xll.feImpliedVol(TODAY(),"E","C",W$46,$D53,FrontPrice,W19,0))</f>
        <v/>
      </c>
    </row>
    <row r="54" spans="4:23">
      <c r="D54" s="149">
        <f t="shared" ca="1" si="14"/>
        <v>0</v>
      </c>
      <c r="E54" s="45" t="str">
        <f ca="1">IF(E20="","",_xll.feImpliedVol(TODAY(),"E","C",E$46,$D54,FrontPrice,E20,0))</f>
        <v/>
      </c>
      <c r="F54" s="45" t="str">
        <f ca="1">IF(F20="","",_xll.feImpliedVol(TODAY(),"E","C",F$46,$D54,FrontPrice,F20,0))</f>
        <v/>
      </c>
      <c r="G54" s="45" t="str">
        <f ca="1">IF(G20="","",_xll.feImpliedVol(TODAY(),"E","C",G$46,$D54,FrontPrice,G20,0))</f>
        <v/>
      </c>
      <c r="H54" s="45" t="str">
        <f ca="1">IF(H20="","",_xll.feImpliedVol(TODAY(),"E","C",H$46,$D54,FrontPrice,H20,0))</f>
        <v/>
      </c>
      <c r="I54" s="45" t="str">
        <f ca="1">IF(I20="","",_xll.feImpliedVol(TODAY(),"E","C",I$46,$D54,FrontPrice,I20,0))</f>
        <v/>
      </c>
      <c r="J54" s="45" t="str">
        <f ca="1">IF(J20="","",_xll.feImpliedVol(TODAY(),"E","C",J$46,$D54,FrontPrice,J20,0))</f>
        <v/>
      </c>
      <c r="K54" s="45" t="str">
        <f ca="1">IF(K20="","",_xll.feImpliedVol(TODAY(),"E","C",K$46,$D54,FrontPrice,K20,0))</f>
        <v/>
      </c>
      <c r="L54" s="45" t="str">
        <f ca="1">IF(L20="","",_xll.feImpliedVol(TODAY(),"E","C",L$46,$D54,FrontPrice,L20,0))</f>
        <v/>
      </c>
      <c r="M54" s="45" t="str">
        <f ca="1">IF(M20="","",_xll.feImpliedVol(TODAY(),"E","C",M$46,$D54,FrontPrice,M20,0))</f>
        <v/>
      </c>
      <c r="N54" s="45" t="str">
        <f ca="1">IF(N20="","",_xll.feImpliedVol(TODAY(),"E","C",N$46,$D54,FrontPrice,N20,0))</f>
        <v/>
      </c>
      <c r="O54" s="45" t="str">
        <f ca="1">IF(O20="","",_xll.feImpliedVol(TODAY(),"E","C",O$46,$D54,FrontPrice,O20,0))</f>
        <v/>
      </c>
      <c r="P54" s="45" t="str">
        <f ca="1">IF(P20="","",_xll.feImpliedVol(TODAY(),"E","C",P$46,$D54,FrontPrice,P20,0))</f>
        <v/>
      </c>
      <c r="Q54" s="45" t="str">
        <f ca="1">IF(Q20="","",_xll.feImpliedVol(TODAY(),"E","C",Q$46,$D54,FrontPrice,Q20,0))</f>
        <v/>
      </c>
      <c r="R54" s="45" t="str">
        <f ca="1">IF(R20="","",_xll.feImpliedVol(TODAY(),"E","C",R$46,$D54,FrontPrice,R20,0))</f>
        <v/>
      </c>
      <c r="S54" s="45" t="str">
        <f ca="1">IF(S20="","",_xll.feImpliedVol(TODAY(),"E","C",S$46,$D54,FrontPrice,S20,0))</f>
        <v/>
      </c>
      <c r="T54" s="45" t="str">
        <f ca="1">IF(T20="","",_xll.feImpliedVol(TODAY(),"E","C",T$46,$D54,FrontPrice,T20,0))</f>
        <v/>
      </c>
      <c r="U54" s="45" t="str">
        <f ca="1">IF(U20="","",_xll.feImpliedVol(TODAY(),"E","C",U$46,$D54,FrontPrice,U20,0))</f>
        <v/>
      </c>
      <c r="V54" s="45" t="str">
        <f ca="1">IF(V20="","",_xll.feImpliedVol(TODAY(),"E","C",V$46,$D54,FrontPrice,V20,0))</f>
        <v/>
      </c>
      <c r="W54" s="46" t="str">
        <f ca="1">IF(W20="","",_xll.feImpliedVol(TODAY(),"E","C",W$46,$D54,FrontPrice,W20,0))</f>
        <v/>
      </c>
    </row>
    <row r="55" spans="4:23">
      <c r="D55" s="149">
        <f t="shared" ca="1" si="14"/>
        <v>0</v>
      </c>
      <c r="E55" s="45" t="str">
        <f ca="1">IF(E21="","",_xll.feImpliedVol(TODAY(),"E","C",E$46,$D55,FrontPrice,E21,0))</f>
        <v/>
      </c>
      <c r="F55" s="45" t="str">
        <f ca="1">IF(F21="","",_xll.feImpliedVol(TODAY(),"E","C",F$46,$D55,FrontPrice,F21,0))</f>
        <v/>
      </c>
      <c r="G55" s="45" t="str">
        <f ca="1">IF(G21="","",_xll.feImpliedVol(TODAY(),"E","C",G$46,$D55,FrontPrice,G21,0))</f>
        <v/>
      </c>
      <c r="H55" s="45" t="str">
        <f ca="1">IF(H21="","",_xll.feImpliedVol(TODAY(),"E","C",H$46,$D55,FrontPrice,H21,0))</f>
        <v/>
      </c>
      <c r="I55" s="45" t="str">
        <f ca="1">IF(I21="","",_xll.feImpliedVol(TODAY(),"E","C",I$46,$D55,FrontPrice,I21,0))</f>
        <v/>
      </c>
      <c r="J55" s="45" t="str">
        <f ca="1">IF(J21="","",_xll.feImpliedVol(TODAY(),"E","C",J$46,$D55,FrontPrice,J21,0))</f>
        <v/>
      </c>
      <c r="K55" s="45" t="str">
        <f ca="1">IF(K21="","",_xll.feImpliedVol(TODAY(),"E","C",K$46,$D55,FrontPrice,K21,0))</f>
        <v/>
      </c>
      <c r="L55" s="45" t="str">
        <f ca="1">IF(L21="","",_xll.feImpliedVol(TODAY(),"E","C",L$46,$D55,FrontPrice,L21,0))</f>
        <v/>
      </c>
      <c r="M55" s="45" t="str">
        <f ca="1">IF(M21="","",_xll.feImpliedVol(TODAY(),"E","C",M$46,$D55,FrontPrice,M21,0))</f>
        <v/>
      </c>
      <c r="N55" s="45" t="str">
        <f ca="1">IF(N21="","",_xll.feImpliedVol(TODAY(),"E","C",N$46,$D55,FrontPrice,N21,0))</f>
        <v/>
      </c>
      <c r="O55" s="45" t="str">
        <f ca="1">IF(O21="","",_xll.feImpliedVol(TODAY(),"E","C",O$46,$D55,FrontPrice,O21,0))</f>
        <v/>
      </c>
      <c r="P55" s="45" t="str">
        <f ca="1">IF(P21="","",_xll.feImpliedVol(TODAY(),"E","C",P$46,$D55,FrontPrice,P21,0))</f>
        <v/>
      </c>
      <c r="Q55" s="45" t="str">
        <f ca="1">IF(Q21="","",_xll.feImpliedVol(TODAY(),"E","C",Q$46,$D55,FrontPrice,Q21,0))</f>
        <v/>
      </c>
      <c r="R55" s="45" t="str">
        <f ca="1">IF(R21="","",_xll.feImpliedVol(TODAY(),"E","C",R$46,$D55,FrontPrice,R21,0))</f>
        <v/>
      </c>
      <c r="S55" s="45" t="str">
        <f ca="1">IF(S21="","",_xll.feImpliedVol(TODAY(),"E","C",S$46,$D55,FrontPrice,S21,0))</f>
        <v/>
      </c>
      <c r="T55" s="45" t="str">
        <f ca="1">IF(T21="","",_xll.feImpliedVol(TODAY(),"E","C",T$46,$D55,FrontPrice,T21,0))</f>
        <v/>
      </c>
      <c r="U55" s="45" t="str">
        <f ca="1">IF(U21="","",_xll.feImpliedVol(TODAY(),"E","C",U$46,$D55,FrontPrice,U21,0))</f>
        <v/>
      </c>
      <c r="V55" s="45" t="str">
        <f ca="1">IF(V21="","",_xll.feImpliedVol(TODAY(),"E","C",V$46,$D55,FrontPrice,V21,0))</f>
        <v/>
      </c>
      <c r="W55" s="46" t="str">
        <f ca="1">IF(W21="","",_xll.feImpliedVol(TODAY(),"E","C",W$46,$D55,FrontPrice,W21,0))</f>
        <v/>
      </c>
    </row>
    <row r="56" spans="4:23">
      <c r="D56" s="149">
        <f t="shared" ca="1" si="14"/>
        <v>0</v>
      </c>
      <c r="E56" s="45" t="str">
        <f ca="1">IF(E22="","",_xll.feImpliedVol(TODAY(),"E","C",E$46,$D56,FrontPrice,E22,0))</f>
        <v/>
      </c>
      <c r="F56" s="45" t="str">
        <f ca="1">IF(F22="","",_xll.feImpliedVol(TODAY(),"E","C",F$46,$D56,FrontPrice,F22,0))</f>
        <v/>
      </c>
      <c r="G56" s="45" t="str">
        <f ca="1">IF(G22="","",_xll.feImpliedVol(TODAY(),"E","C",G$46,$D56,FrontPrice,G22,0))</f>
        <v/>
      </c>
      <c r="H56" s="45" t="str">
        <f ca="1">IF(H22="","",_xll.feImpliedVol(TODAY(),"E","C",H$46,$D56,FrontPrice,H22,0))</f>
        <v/>
      </c>
      <c r="I56" s="45" t="str">
        <f ca="1">IF(I22="","",_xll.feImpliedVol(TODAY(),"E","C",I$46,$D56,FrontPrice,I22,0))</f>
        <v/>
      </c>
      <c r="J56" s="45" t="str">
        <f ca="1">IF(J22="","",_xll.feImpliedVol(TODAY(),"E","C",J$46,$D56,FrontPrice,J22,0))</f>
        <v/>
      </c>
      <c r="K56" s="45" t="str">
        <f ca="1">IF(K22="","",_xll.feImpliedVol(TODAY(),"E","C",K$46,$D56,FrontPrice,K22,0))</f>
        <v/>
      </c>
      <c r="L56" s="45" t="str">
        <f ca="1">IF(L22="","",_xll.feImpliedVol(TODAY(),"E","C",L$46,$D56,FrontPrice,L22,0))</f>
        <v/>
      </c>
      <c r="M56" s="45" t="str">
        <f ca="1">IF(M22="","",_xll.feImpliedVol(TODAY(),"E","C",M$46,$D56,FrontPrice,M22,0))</f>
        <v/>
      </c>
      <c r="N56" s="45" t="str">
        <f ca="1">IF(N22="","",_xll.feImpliedVol(TODAY(),"E","C",N$46,$D56,FrontPrice,N22,0))</f>
        <v/>
      </c>
      <c r="O56" s="45" t="str">
        <f ca="1">IF(O22="","",_xll.feImpliedVol(TODAY(),"E","C",O$46,$D56,FrontPrice,O22,0))</f>
        <v/>
      </c>
      <c r="P56" s="45" t="str">
        <f ca="1">IF(P22="","",_xll.feImpliedVol(TODAY(),"E","C",P$46,$D56,FrontPrice,P22,0))</f>
        <v/>
      </c>
      <c r="Q56" s="45" t="str">
        <f ca="1">IF(Q22="","",_xll.feImpliedVol(TODAY(),"E","C",Q$46,$D56,FrontPrice,Q22,0))</f>
        <v/>
      </c>
      <c r="R56" s="45" t="str">
        <f ca="1">IF(R22="","",_xll.feImpliedVol(TODAY(),"E","C",R$46,$D56,FrontPrice,R22,0))</f>
        <v/>
      </c>
      <c r="S56" s="45" t="str">
        <f ca="1">IF(S22="","",_xll.feImpliedVol(TODAY(),"E","C",S$46,$D56,FrontPrice,S22,0))</f>
        <v/>
      </c>
      <c r="T56" s="45" t="str">
        <f ca="1">IF(T22="","",_xll.feImpliedVol(TODAY(),"E","C",T$46,$D56,FrontPrice,T22,0))</f>
        <v/>
      </c>
      <c r="U56" s="45" t="str">
        <f ca="1">IF(U22="","",_xll.feImpliedVol(TODAY(),"E","C",U$46,$D56,FrontPrice,U22,0))</f>
        <v/>
      </c>
      <c r="V56" s="45" t="str">
        <f ca="1">IF(V22="","",_xll.feImpliedVol(TODAY(),"E","C",V$46,$D56,FrontPrice,V22,0))</f>
        <v/>
      </c>
      <c r="W56" s="46" t="str">
        <f ca="1">IF(W22="","",_xll.feImpliedVol(TODAY(),"E","C",W$46,$D56,FrontPrice,W22,0))</f>
        <v/>
      </c>
    </row>
    <row r="57" spans="4:23">
      <c r="D57" s="149">
        <f t="shared" ca="1" si="14"/>
        <v>0</v>
      </c>
      <c r="E57" s="45" t="str">
        <f ca="1">IF(E23="","",_xll.feImpliedVol(TODAY(),"E","C",E$46,$D57,FrontPrice,E23,0))</f>
        <v/>
      </c>
      <c r="F57" s="45" t="str">
        <f ca="1">IF(F23="","",_xll.feImpliedVol(TODAY(),"E","C",F$46,$D57,FrontPrice,F23,0))</f>
        <v/>
      </c>
      <c r="G57" s="45" t="str">
        <f ca="1">IF(G23="","",_xll.feImpliedVol(TODAY(),"E","C",G$46,$D57,FrontPrice,G23,0))</f>
        <v/>
      </c>
      <c r="H57" s="45" t="str">
        <f ca="1">IF(H23="","",_xll.feImpliedVol(TODAY(),"E","C",H$46,$D57,FrontPrice,H23,0))</f>
        <v/>
      </c>
      <c r="I57" s="45" t="str">
        <f ca="1">IF(I23="","",_xll.feImpliedVol(TODAY(),"E","C",I$46,$D57,FrontPrice,I23,0))</f>
        <v/>
      </c>
      <c r="J57" s="45" t="str">
        <f ca="1">IF(J23="","",_xll.feImpliedVol(TODAY(),"E","C",J$46,$D57,FrontPrice,J23,0))</f>
        <v/>
      </c>
      <c r="K57" s="45" t="str">
        <f ca="1">IF(K23="","",_xll.feImpliedVol(TODAY(),"E","C",K$46,$D57,FrontPrice,K23,0))</f>
        <v/>
      </c>
      <c r="L57" s="45" t="str">
        <f ca="1">IF(L23="","",_xll.feImpliedVol(TODAY(),"E","C",L$46,$D57,FrontPrice,L23,0))</f>
        <v/>
      </c>
      <c r="M57" s="45" t="str">
        <f ca="1">IF(M23="","",_xll.feImpliedVol(TODAY(),"E","C",M$46,$D57,FrontPrice,M23,0))</f>
        <v/>
      </c>
      <c r="N57" s="45" t="str">
        <f ca="1">IF(N23="","",_xll.feImpliedVol(TODAY(),"E","C",N$46,$D57,FrontPrice,N23,0))</f>
        <v/>
      </c>
      <c r="O57" s="45" t="str">
        <f ca="1">IF(O23="","",_xll.feImpliedVol(TODAY(),"E","C",O$46,$D57,FrontPrice,O23,0))</f>
        <v/>
      </c>
      <c r="P57" s="45" t="str">
        <f ca="1">IF(P23="","",_xll.feImpliedVol(TODAY(),"E","C",P$46,$D57,FrontPrice,P23,0))</f>
        <v/>
      </c>
      <c r="Q57" s="45" t="str">
        <f ca="1">IF(Q23="","",_xll.feImpliedVol(TODAY(),"E","C",Q$46,$D57,FrontPrice,Q23,0))</f>
        <v/>
      </c>
      <c r="R57" s="45" t="str">
        <f ca="1">IF(R23="","",_xll.feImpliedVol(TODAY(),"E","C",R$46,$D57,FrontPrice,R23,0))</f>
        <v/>
      </c>
      <c r="S57" s="45" t="str">
        <f ca="1">IF(S23="","",_xll.feImpliedVol(TODAY(),"E","C",S$46,$D57,FrontPrice,S23,0))</f>
        <v/>
      </c>
      <c r="T57" s="45" t="str">
        <f ca="1">IF(T23="","",_xll.feImpliedVol(TODAY(),"E","C",T$46,$D57,FrontPrice,T23,0))</f>
        <v/>
      </c>
      <c r="U57" s="45" t="str">
        <f ca="1">IF(U23="","",_xll.feImpliedVol(TODAY(),"E","C",U$46,$D57,FrontPrice,U23,0))</f>
        <v/>
      </c>
      <c r="V57" s="45" t="str">
        <f ca="1">IF(V23="","",_xll.feImpliedVol(TODAY(),"E","C",V$46,$D57,FrontPrice,V23,0))</f>
        <v/>
      </c>
      <c r="W57" s="46" t="str">
        <f ca="1">IF(W23="","",_xll.feImpliedVol(TODAY(),"E","C",W$46,$D57,FrontPrice,W23,0))</f>
        <v/>
      </c>
    </row>
    <row r="58" spans="4:23">
      <c r="D58" s="154">
        <f t="shared" ca="1" si="14"/>
        <v>0</v>
      </c>
      <c r="E58" s="48" t="str">
        <f ca="1">IF(E24="","",_xll.feImpliedVol(TODAY(),"E","C",E$46,$D58,FrontPrice,E24,0))</f>
        <v/>
      </c>
      <c r="F58" s="48" t="str">
        <f ca="1">IF(F24="","",_xll.feImpliedVol(TODAY(),"E","C",F$46,$D58,FrontPrice,F24,0))</f>
        <v/>
      </c>
      <c r="G58" s="48" t="str">
        <f ca="1">IF(G24="","",_xll.feImpliedVol(TODAY(),"E","C",G$46,$D58,FrontPrice,G24,0))</f>
        <v/>
      </c>
      <c r="H58" s="48" t="str">
        <f ca="1">IF(H24="","",_xll.feImpliedVol(TODAY(),"E","C",H$46,$D58,FrontPrice,H24,0))</f>
        <v/>
      </c>
      <c r="I58" s="48" t="str">
        <f ca="1">IF(I24="","",_xll.feImpliedVol(TODAY(),"E","C",I$46,$D58,FrontPrice,I24,0))</f>
        <v/>
      </c>
      <c r="J58" s="48" t="str">
        <f ca="1">IF(J24="","",_xll.feImpliedVol(TODAY(),"E","C",J$46,$D58,FrontPrice,J24,0))</f>
        <v/>
      </c>
      <c r="K58" s="48" t="str">
        <f ca="1">IF(K24="","",_xll.feImpliedVol(TODAY(),"E","C",K$46,$D58,FrontPrice,K24,0))</f>
        <v/>
      </c>
      <c r="L58" s="48" t="str">
        <f ca="1">IF(L24="","",_xll.feImpliedVol(TODAY(),"E","C",L$46,$D58,FrontPrice,L24,0))</f>
        <v/>
      </c>
      <c r="M58" s="48" t="str">
        <f ca="1">IF(M24="","",_xll.feImpliedVol(TODAY(),"E","C",M$46,$D58,FrontPrice,M24,0))</f>
        <v/>
      </c>
      <c r="N58" s="48" t="str">
        <f ca="1">IF(N24="","",_xll.feImpliedVol(TODAY(),"E","C",N$46,$D58,FrontPrice,N24,0))</f>
        <v/>
      </c>
      <c r="O58" s="48" t="str">
        <f ca="1">IF(O24="","",_xll.feImpliedVol(TODAY(),"E","C",O$46,$D58,FrontPrice,O24,0))</f>
        <v/>
      </c>
      <c r="P58" s="48" t="str">
        <f ca="1">IF(P24="","",_xll.feImpliedVol(TODAY(),"E","C",P$46,$D58,FrontPrice,P24,0))</f>
        <v/>
      </c>
      <c r="Q58" s="48" t="str">
        <f ca="1">IF(Q24="","",_xll.feImpliedVol(TODAY(),"E","C",Q$46,$D58,FrontPrice,Q24,0))</f>
        <v/>
      </c>
      <c r="R58" s="48" t="str">
        <f ca="1">IF(R24="","",_xll.feImpliedVol(TODAY(),"E","C",R$46,$D58,FrontPrice,R24,0))</f>
        <v/>
      </c>
      <c r="S58" s="48" t="str">
        <f ca="1">IF(S24="","",_xll.feImpliedVol(TODAY(),"E","C",S$46,$D58,FrontPrice,S24,0))</f>
        <v/>
      </c>
      <c r="T58" s="48" t="str">
        <f ca="1">IF(T24="","",_xll.feImpliedVol(TODAY(),"E","C",T$46,$D58,FrontPrice,T24,0))</f>
        <v/>
      </c>
      <c r="U58" s="48" t="str">
        <f ca="1">IF(U24="","",_xll.feImpliedVol(TODAY(),"E","C",U$46,$D58,FrontPrice,U24,0))</f>
        <v/>
      </c>
      <c r="V58" s="48" t="str">
        <f ca="1">IF(V24="","",_xll.feImpliedVol(TODAY(),"E","C",V$46,$D58,FrontPrice,V24,0))</f>
        <v/>
      </c>
      <c r="W58" s="49" t="str">
        <f ca="1">IF(W24="","",_xll.feImpliedVol(TODAY(),"E","C",W$46,$D58,FrontPrice,W24,0))</f>
        <v/>
      </c>
    </row>
    <row r="61" spans="4:23">
      <c r="D61" s="82" t="s">
        <v>151</v>
      </c>
      <c r="E61" s="155">
        <f>E46</f>
        <v>1260</v>
      </c>
      <c r="F61" s="23">
        <f>F46</f>
        <v>1265</v>
      </c>
      <c r="G61" s="23">
        <f t="shared" ref="G61:V61" si="15">G46</f>
        <v>1270</v>
      </c>
      <c r="H61" s="23">
        <f t="shared" si="15"/>
        <v>1275</v>
      </c>
      <c r="I61" s="23">
        <f t="shared" si="15"/>
        <v>1280</v>
      </c>
      <c r="J61" s="23">
        <f t="shared" si="15"/>
        <v>1285</v>
      </c>
      <c r="K61" s="23">
        <f t="shared" si="15"/>
        <v>1290</v>
      </c>
      <c r="L61" s="23">
        <f t="shared" si="15"/>
        <v>1295</v>
      </c>
      <c r="M61" s="23">
        <f t="shared" si="15"/>
        <v>1300</v>
      </c>
      <c r="N61" s="23">
        <f t="shared" si="15"/>
        <v>1305</v>
      </c>
      <c r="O61" s="23">
        <f t="shared" si="15"/>
        <v>1310</v>
      </c>
      <c r="P61" s="23">
        <f t="shared" si="15"/>
        <v>1315</v>
      </c>
      <c r="Q61" s="23">
        <f t="shared" si="15"/>
        <v>1320</v>
      </c>
      <c r="R61" s="23">
        <f t="shared" si="15"/>
        <v>1325</v>
      </c>
      <c r="S61" s="23">
        <f t="shared" si="15"/>
        <v>1330</v>
      </c>
      <c r="T61" s="23">
        <f t="shared" si="15"/>
        <v>1335</v>
      </c>
      <c r="U61" s="23">
        <f t="shared" si="15"/>
        <v>1340</v>
      </c>
      <c r="V61" s="23">
        <f t="shared" si="15"/>
        <v>1345</v>
      </c>
      <c r="W61" s="24">
        <f>W46</f>
        <v>1350</v>
      </c>
    </row>
    <row r="62" spans="4:23">
      <c r="D62" s="149">
        <f ca="1">D47</f>
        <v>43133</v>
      </c>
      <c r="E62" s="45" t="str">
        <f ca="1">IF(E29="","",_xll.feImpliedVol(TODAY(),"E","C",E$61,$D62,FrontPrice,E29,0))</f>
        <v/>
      </c>
      <c r="F62" s="42" t="str">
        <f ca="1">IF(F29="","",_xll.feImpliedVol(TODAY(),"E","C",F$61,$D62,FrontPrice,F29,0))</f>
        <v/>
      </c>
      <c r="G62" s="42" t="str">
        <f ca="1">IF(G29="","",_xll.feImpliedVol(TODAY(),"E","C",G$61,$D62,FrontPrice,G29,0))</f>
        <v/>
      </c>
      <c r="H62" s="42" t="str">
        <f ca="1">IF(H29="","",_xll.feImpliedVol(TODAY(),"E","C",H$61,$D62,FrontPrice,H29,0))</f>
        <v/>
      </c>
      <c r="I62" s="42" t="str">
        <f ca="1">IF(I29="","",_xll.feImpliedVol(TODAY(),"E","C",I$61,$D62,FrontPrice,I29,0))</f>
        <v/>
      </c>
      <c r="J62" s="42" t="str">
        <f ca="1">IF(J29="","",_xll.feImpliedVol(TODAY(),"E","C",J$61,$D62,FrontPrice,J29,0))</f>
        <v/>
      </c>
      <c r="K62" s="42" t="str">
        <f ca="1">IF(K29="","",_xll.feImpliedVol(TODAY(),"E","C",K$61,$D62,FrontPrice,K29,0))</f>
        <v/>
      </c>
      <c r="L62" s="42" t="str">
        <f ca="1">IF(L29="","",_xll.feImpliedVol(TODAY(),"E","C",L$61,$D62,FrontPrice,L29,0))</f>
        <v/>
      </c>
      <c r="M62" s="42" t="str">
        <f ca="1">IF(M29="","",_xll.feImpliedVol(TODAY(),"E","C",M$61,$D62,FrontPrice,M29,0))</f>
        <v/>
      </c>
      <c r="N62" s="42" t="str">
        <f ca="1">IF(N29="","",_xll.feImpliedVol(TODAY(),"E","C",N$61,$D62,FrontPrice,N29,0))</f>
        <v/>
      </c>
      <c r="O62" s="42" t="str">
        <f ca="1">IF(O29="","",_xll.feImpliedVol(TODAY(),"E","C",O$61,$D62,FrontPrice,O29,0))</f>
        <v/>
      </c>
      <c r="P62" s="42" t="str">
        <f ca="1">IF(P29="","",_xll.feImpliedVol(TODAY(),"E","C",P$61,$D62,FrontPrice,P29,0))</f>
        <v/>
      </c>
      <c r="Q62" s="42" t="str">
        <f ca="1">IF(Q29="","",_xll.feImpliedVol(TODAY(),"E","C",Q$61,$D62,FrontPrice,Q29,0))</f>
        <v/>
      </c>
      <c r="R62" s="42" t="str">
        <f ca="1">IF(R29="","",_xll.feImpliedVol(TODAY(),"E","C",R$61,$D62,FrontPrice,R29,0))</f>
        <v/>
      </c>
      <c r="S62" s="42" t="str">
        <f ca="1">IF(S29="","",_xll.feImpliedVol(TODAY(),"E","C",S$61,$D62,FrontPrice,S29,0))</f>
        <v/>
      </c>
      <c r="T62" s="42" t="str">
        <f ca="1">IF(T29="","",_xll.feImpliedVol(TODAY(),"E","C",T$61,$D62,FrontPrice,T29,0))</f>
        <v/>
      </c>
      <c r="U62" s="42" t="str">
        <f ca="1">IF(U29="","",_xll.feImpliedVol(TODAY(),"E","C",U$61,$D62,FrontPrice,U29,0))</f>
        <v/>
      </c>
      <c r="V62" s="42" t="str">
        <f ca="1">IF(V29="","",_xll.feImpliedVol(TODAY(),"E","C",V$61,$D62,FrontPrice,V29,0))</f>
        <v/>
      </c>
      <c r="W62" s="43" t="str">
        <f ca="1">IF(W29="","",_xll.feImpliedVol(TODAY(),"E","C",W$61,$D62,FrontPrice,W29,0))</f>
        <v/>
      </c>
    </row>
    <row r="63" spans="4:23">
      <c r="D63" s="149">
        <f t="shared" ref="D63:D71" ca="1" si="16">D48</f>
        <v>43140</v>
      </c>
      <c r="E63" s="45" t="str">
        <f ca="1">IF(E30="","",_xll.feImpliedVol(TODAY(),"E","C",E$61,$D63,FrontPrice,E30,0))</f>
        <v/>
      </c>
      <c r="F63" s="45" t="str">
        <f ca="1">IF(F30="","",_xll.feImpliedVol(TODAY(),"E","C",F$61,$D63,FrontPrice,F30,0))</f>
        <v/>
      </c>
      <c r="G63" s="45" t="str">
        <f ca="1">IF(G30="","",_xll.feImpliedVol(TODAY(),"E","C",G$61,$D63,FrontPrice,G30,0))</f>
        <v/>
      </c>
      <c r="H63" s="45" t="str">
        <f ca="1">IF(H30="","",_xll.feImpliedVol(TODAY(),"E","C",H$61,$D63,FrontPrice,H30,0))</f>
        <v/>
      </c>
      <c r="I63" s="45" t="str">
        <f ca="1">IF(I30="","",_xll.feImpliedVol(TODAY(),"E","C",I$61,$D63,FrontPrice,I30,0))</f>
        <v/>
      </c>
      <c r="J63" s="45" t="str">
        <f ca="1">IF(J30="","",_xll.feImpliedVol(TODAY(),"E","C",J$61,$D63,FrontPrice,J30,0))</f>
        <v/>
      </c>
      <c r="K63" s="45" t="str">
        <f ca="1">IF(K30="","",_xll.feImpliedVol(TODAY(),"E","C",K$61,$D63,FrontPrice,K30,0))</f>
        <v/>
      </c>
      <c r="L63" s="45" t="str">
        <f ca="1">IF(L30="","",_xll.feImpliedVol(TODAY(),"E","C",L$61,$D63,FrontPrice,L30,0))</f>
        <v/>
      </c>
      <c r="M63" s="45" t="str">
        <f ca="1">IF(M30="","",_xll.feImpliedVol(TODAY(),"E","C",M$61,$D63,FrontPrice,M30,0))</f>
        <v/>
      </c>
      <c r="N63" s="45" t="str">
        <f ca="1">IF(N30="","",_xll.feImpliedVol(TODAY(),"E","C",N$61,$D63,FrontPrice,N30,0))</f>
        <v/>
      </c>
      <c r="O63" s="45" t="str">
        <f ca="1">IF(O30="","",_xll.feImpliedVol(TODAY(),"E","C",O$61,$D63,FrontPrice,O30,0))</f>
        <v/>
      </c>
      <c r="P63" s="45" t="str">
        <f ca="1">IF(P30="","",_xll.feImpliedVol(TODAY(),"E","C",P$61,$D63,FrontPrice,P30,0))</f>
        <v/>
      </c>
      <c r="Q63" s="45" t="str">
        <f ca="1">IF(Q30="","",_xll.feImpliedVol(TODAY(),"E","C",Q$61,$D63,FrontPrice,Q30,0))</f>
        <v/>
      </c>
      <c r="R63" s="45" t="str">
        <f ca="1">IF(R30="","",_xll.feImpliedVol(TODAY(),"E","C",R$61,$D63,FrontPrice,R30,0))</f>
        <v/>
      </c>
      <c r="S63" s="45" t="str">
        <f ca="1">IF(S30="","",_xll.feImpliedVol(TODAY(),"E","C",S$61,$D63,FrontPrice,S30,0))</f>
        <v/>
      </c>
      <c r="T63" s="45" t="str">
        <f ca="1">IF(T30="","",_xll.feImpliedVol(TODAY(),"E","C",T$61,$D63,FrontPrice,T30,0))</f>
        <v/>
      </c>
      <c r="U63" s="45" t="str">
        <f ca="1">IF(U30="","",_xll.feImpliedVol(TODAY(),"E","C",U$61,$D63,FrontPrice,U30,0))</f>
        <v/>
      </c>
      <c r="V63" s="45" t="str">
        <f ca="1">IF(V30="","",_xll.feImpliedVol(TODAY(),"E","C",V$61,$D63,FrontPrice,V30,0))</f>
        <v/>
      </c>
      <c r="W63" s="46" t="str">
        <f ca="1">IF(W30="","",_xll.feImpliedVol(TODAY(),"E","C",W$61,$D63,FrontPrice,W30,0))</f>
        <v/>
      </c>
    </row>
    <row r="64" spans="4:23">
      <c r="D64" s="149">
        <f t="shared" ca="1" si="16"/>
        <v>43147</v>
      </c>
      <c r="E64" s="45" t="str">
        <f ca="1">IF(E31="","",_xll.feImpliedVol(TODAY(),"E","C",E$61,$D64,FrontPrice,E31,0))</f>
        <v/>
      </c>
      <c r="F64" s="45" t="str">
        <f ca="1">IF(F31="","",_xll.feImpliedVol(TODAY(),"E","C",F$61,$D64,FrontPrice,F31,0))</f>
        <v/>
      </c>
      <c r="G64" s="45" t="str">
        <f ca="1">IF(G31="","",_xll.feImpliedVol(TODAY(),"E","C",G$61,$D64,FrontPrice,G31,0))</f>
        <v/>
      </c>
      <c r="H64" s="45" t="str">
        <f ca="1">IF(H31="","",_xll.feImpliedVol(TODAY(),"E","C",H$61,$D64,FrontPrice,H31,0))</f>
        <v/>
      </c>
      <c r="I64" s="45" t="str">
        <f ca="1">IF(I31="","",_xll.feImpliedVol(TODAY(),"E","C",I$61,$D64,FrontPrice,I31,0))</f>
        <v/>
      </c>
      <c r="J64" s="45" t="str">
        <f ca="1">IF(J31="","",_xll.feImpliedVol(TODAY(),"E","C",J$61,$D64,FrontPrice,J31,0))</f>
        <v/>
      </c>
      <c r="K64" s="45" t="str">
        <f ca="1">IF(K31="","",_xll.feImpliedVol(TODAY(),"E","C",K$61,$D64,FrontPrice,K31,0))</f>
        <v/>
      </c>
      <c r="L64" s="45" t="str">
        <f ca="1">IF(L31="","",_xll.feImpliedVol(TODAY(),"E","C",L$61,$D64,FrontPrice,L31,0))</f>
        <v/>
      </c>
      <c r="M64" s="45" t="str">
        <f ca="1">IF(M31="","",_xll.feImpliedVol(TODAY(),"E","C",M$61,$D64,FrontPrice,M31,0))</f>
        <v/>
      </c>
      <c r="N64" s="45" t="str">
        <f ca="1">IF(N31="","",_xll.feImpliedVol(TODAY(),"E","C",N$61,$D64,FrontPrice,N31,0))</f>
        <v/>
      </c>
      <c r="O64" s="45" t="str">
        <f ca="1">IF(O31="","",_xll.feImpliedVol(TODAY(),"E","C",O$61,$D64,FrontPrice,O31,0))</f>
        <v/>
      </c>
      <c r="P64" s="45" t="str">
        <f ca="1">IF(P31="","",_xll.feImpliedVol(TODAY(),"E","C",P$61,$D64,FrontPrice,P31,0))</f>
        <v/>
      </c>
      <c r="Q64" s="45" t="str">
        <f ca="1">IF(Q31="","",_xll.feImpliedVol(TODAY(),"E","C",Q$61,$D64,FrontPrice,Q31,0))</f>
        <v/>
      </c>
      <c r="R64" s="45" t="str">
        <f ca="1">IF(R31="","",_xll.feImpliedVol(TODAY(),"E","C",R$61,$D64,FrontPrice,R31,0))</f>
        <v/>
      </c>
      <c r="S64" s="45" t="str">
        <f ca="1">IF(S31="","",_xll.feImpliedVol(TODAY(),"E","C",S$61,$D64,FrontPrice,S31,0))</f>
        <v/>
      </c>
      <c r="T64" s="45" t="str">
        <f ca="1">IF(T31="","",_xll.feImpliedVol(TODAY(),"E","C",T$61,$D64,FrontPrice,T31,0))</f>
        <v/>
      </c>
      <c r="U64" s="45" t="str">
        <f ca="1">IF(U31="","",_xll.feImpliedVol(TODAY(),"E","C",U$61,$D64,FrontPrice,U31,0))</f>
        <v/>
      </c>
      <c r="V64" s="45" t="str">
        <f ca="1">IF(V31="","",_xll.feImpliedVol(TODAY(),"E","C",V$61,$D64,FrontPrice,V31,0))</f>
        <v/>
      </c>
      <c r="W64" s="46" t="str">
        <f ca="1">IF(W31="","",_xll.feImpliedVol(TODAY(),"E","C",W$61,$D64,FrontPrice,W31,0))</f>
        <v/>
      </c>
    </row>
    <row r="65" spans="4:23">
      <c r="D65" s="149">
        <f t="shared" ca="1" si="16"/>
        <v>43154</v>
      </c>
      <c r="E65" s="45" t="str">
        <f ca="1">IF(E32="","",_xll.feImpliedVol(TODAY(),"E","C",E$61,$D65,FrontPrice,E32,0))</f>
        <v/>
      </c>
      <c r="F65" s="45" t="str">
        <f ca="1">IF(F32="","",_xll.feImpliedVol(TODAY(),"E","C",F$61,$D65,FrontPrice,F32,0))</f>
        <v/>
      </c>
      <c r="G65" s="45" t="str">
        <f ca="1">IF(G32="","",_xll.feImpliedVol(TODAY(),"E","C",G$61,$D65,FrontPrice,G32,0))</f>
        <v/>
      </c>
      <c r="H65" s="45" t="str">
        <f ca="1">IF(H32="","",_xll.feImpliedVol(TODAY(),"E","C",H$61,$D65,FrontPrice,H32,0))</f>
        <v/>
      </c>
      <c r="I65" s="45" t="str">
        <f ca="1">IF(I32="","",_xll.feImpliedVol(TODAY(),"E","C",I$61,$D65,FrontPrice,I32,0))</f>
        <v/>
      </c>
      <c r="J65" s="45" t="str">
        <f ca="1">IF(J32="","",_xll.feImpliedVol(TODAY(),"E","C",J$61,$D65,FrontPrice,J32,0))</f>
        <v/>
      </c>
      <c r="K65" s="45" t="str">
        <f ca="1">IF(K32="","",_xll.feImpliedVol(TODAY(),"E","C",K$61,$D65,FrontPrice,K32,0))</f>
        <v/>
      </c>
      <c r="L65" s="45" t="str">
        <f ca="1">IF(L32="","",_xll.feImpliedVol(TODAY(),"E","C",L$61,$D65,FrontPrice,L32,0))</f>
        <v/>
      </c>
      <c r="M65" s="45" t="str">
        <f ca="1">IF(M32="","",_xll.feImpliedVol(TODAY(),"E","C",M$61,$D65,FrontPrice,M32,0))</f>
        <v/>
      </c>
      <c r="N65" s="45" t="str">
        <f ca="1">IF(N32="","",_xll.feImpliedVol(TODAY(),"E","C",N$61,$D65,FrontPrice,N32,0))</f>
        <v/>
      </c>
      <c r="O65" s="45" t="str">
        <f ca="1">IF(O32="","",_xll.feImpliedVol(TODAY(),"E","C",O$61,$D65,FrontPrice,O32,0))</f>
        <v/>
      </c>
      <c r="P65" s="45" t="str">
        <f ca="1">IF(P32="","",_xll.feImpliedVol(TODAY(),"E","C",P$61,$D65,FrontPrice,P32,0))</f>
        <v/>
      </c>
      <c r="Q65" s="45" t="str">
        <f ca="1">IF(Q32="","",_xll.feImpliedVol(TODAY(),"E","C",Q$61,$D65,FrontPrice,Q32,0))</f>
        <v/>
      </c>
      <c r="R65" s="45" t="str">
        <f ca="1">IF(R32="","",_xll.feImpliedVol(TODAY(),"E","C",R$61,$D65,FrontPrice,R32,0))</f>
        <v/>
      </c>
      <c r="S65" s="45" t="str">
        <f ca="1">IF(S32="","",_xll.feImpliedVol(TODAY(),"E","C",S$61,$D65,FrontPrice,S32,0))</f>
        <v/>
      </c>
      <c r="T65" s="45" t="str">
        <f ca="1">IF(T32="","",_xll.feImpliedVol(TODAY(),"E","C",T$61,$D65,FrontPrice,T32,0))</f>
        <v/>
      </c>
      <c r="U65" s="45" t="str">
        <f ca="1">IF(U32="","",_xll.feImpliedVol(TODAY(),"E","C",U$61,$D65,FrontPrice,U32,0))</f>
        <v/>
      </c>
      <c r="V65" s="45" t="str">
        <f ca="1">IF(V32="","",_xll.feImpliedVol(TODAY(),"E","C",V$61,$D65,FrontPrice,V32,0))</f>
        <v/>
      </c>
      <c r="W65" s="46" t="str">
        <f ca="1">IF(W32="","",_xll.feImpliedVol(TODAY(),"E","C",W$61,$D65,FrontPrice,W32,0))</f>
        <v/>
      </c>
    </row>
    <row r="66" spans="4:23">
      <c r="D66" s="149">
        <f t="shared" ca="1" si="16"/>
        <v>43161</v>
      </c>
      <c r="E66" s="45" t="str">
        <f ca="1">IF(E33="","",_xll.feImpliedVol(TODAY(),"E","C",E$61,$D66,FrontPrice,E33,0))</f>
        <v/>
      </c>
      <c r="F66" s="45" t="str">
        <f ca="1">IF(F33="","",_xll.feImpliedVol(TODAY(),"E","C",F$61,$D66,FrontPrice,F33,0))</f>
        <v/>
      </c>
      <c r="G66" s="45" t="str">
        <f ca="1">IF(G33="","",_xll.feImpliedVol(TODAY(),"E","C",G$61,$D66,FrontPrice,G33,0))</f>
        <v/>
      </c>
      <c r="H66" s="45" t="str">
        <f ca="1">IF(H33="","",_xll.feImpliedVol(TODAY(),"E","C",H$61,$D66,FrontPrice,H33,0))</f>
        <v/>
      </c>
      <c r="I66" s="45" t="str">
        <f ca="1">IF(I33="","",_xll.feImpliedVol(TODAY(),"E","C",I$61,$D66,FrontPrice,I33,0))</f>
        <v/>
      </c>
      <c r="J66" s="45" t="str">
        <f ca="1">IF(J33="","",_xll.feImpliedVol(TODAY(),"E","C",J$61,$D66,FrontPrice,J33,0))</f>
        <v/>
      </c>
      <c r="K66" s="45" t="str">
        <f ca="1">IF(K33="","",_xll.feImpliedVol(TODAY(),"E","C",K$61,$D66,FrontPrice,K33,0))</f>
        <v/>
      </c>
      <c r="L66" s="45" t="str">
        <f ca="1">IF(L33="","",_xll.feImpliedVol(TODAY(),"E","C",L$61,$D66,FrontPrice,L33,0))</f>
        <v/>
      </c>
      <c r="M66" s="45" t="str">
        <f ca="1">IF(M33="","",_xll.feImpliedVol(TODAY(),"E","C",M$61,$D66,FrontPrice,M33,0))</f>
        <v/>
      </c>
      <c r="N66" s="45" t="str">
        <f ca="1">IF(N33="","",_xll.feImpliedVol(TODAY(),"E","C",N$61,$D66,FrontPrice,N33,0))</f>
        <v/>
      </c>
      <c r="O66" s="45" t="str">
        <f ca="1">IF(O33="","",_xll.feImpliedVol(TODAY(),"E","C",O$61,$D66,FrontPrice,O33,0))</f>
        <v/>
      </c>
      <c r="P66" s="45" t="str">
        <f ca="1">IF(P33="","",_xll.feImpliedVol(TODAY(),"E","C",P$61,$D66,FrontPrice,P33,0))</f>
        <v/>
      </c>
      <c r="Q66" s="45" t="str">
        <f ca="1">IF(Q33="","",_xll.feImpliedVol(TODAY(),"E","C",Q$61,$D66,FrontPrice,Q33,0))</f>
        <v/>
      </c>
      <c r="R66" s="45" t="str">
        <f ca="1">IF(R33="","",_xll.feImpliedVol(TODAY(),"E","C",R$61,$D66,FrontPrice,R33,0))</f>
        <v/>
      </c>
      <c r="S66" s="45" t="str">
        <f ca="1">IF(S33="","",_xll.feImpliedVol(TODAY(),"E","C",S$61,$D66,FrontPrice,S33,0))</f>
        <v/>
      </c>
      <c r="T66" s="45" t="str">
        <f ca="1">IF(T33="","",_xll.feImpliedVol(TODAY(),"E","C",T$61,$D66,FrontPrice,T33,0))</f>
        <v/>
      </c>
      <c r="U66" s="45" t="str">
        <f ca="1">IF(U33="","",_xll.feImpliedVol(TODAY(),"E","C",U$61,$D66,FrontPrice,U33,0))</f>
        <v/>
      </c>
      <c r="V66" s="45" t="str">
        <f ca="1">IF(V33="","",_xll.feImpliedVol(TODAY(),"E","C",V$61,$D66,FrontPrice,V33,0))</f>
        <v/>
      </c>
      <c r="W66" s="46" t="str">
        <f ca="1">IF(W33="","",_xll.feImpliedVol(TODAY(),"E","C",W$61,$D66,FrontPrice,W33,0))</f>
        <v/>
      </c>
    </row>
    <row r="67" spans="4:23">
      <c r="D67" s="149">
        <f t="shared" ca="1" si="16"/>
        <v>43168</v>
      </c>
      <c r="E67" s="45" t="str">
        <f ca="1">IF(E34="","",_xll.feImpliedVol(TODAY(),"E","C",E$61,$D67,FrontPrice,E34,0))</f>
        <v/>
      </c>
      <c r="F67" s="45" t="str">
        <f ca="1">IF(F34="","",_xll.feImpliedVol(TODAY(),"E","C",F$61,$D67,FrontPrice,F34,0))</f>
        <v/>
      </c>
      <c r="G67" s="45" t="str">
        <f ca="1">IF(G34="","",_xll.feImpliedVol(TODAY(),"E","C",G$61,$D67,FrontPrice,G34,0))</f>
        <v/>
      </c>
      <c r="H67" s="45" t="str">
        <f ca="1">IF(H34="","",_xll.feImpliedVol(TODAY(),"E","C",H$61,$D67,FrontPrice,H34,0))</f>
        <v/>
      </c>
      <c r="I67" s="45" t="str">
        <f ca="1">IF(I34="","",_xll.feImpliedVol(TODAY(),"E","C",I$61,$D67,FrontPrice,I34,0))</f>
        <v/>
      </c>
      <c r="J67" s="45" t="str">
        <f ca="1">IF(J34="","",_xll.feImpliedVol(TODAY(),"E","C",J$61,$D67,FrontPrice,J34,0))</f>
        <v/>
      </c>
      <c r="K67" s="45" t="str">
        <f ca="1">IF(K34="","",_xll.feImpliedVol(TODAY(),"E","C",K$61,$D67,FrontPrice,K34,0))</f>
        <v/>
      </c>
      <c r="L67" s="45" t="str">
        <f ca="1">IF(L34="","",_xll.feImpliedVol(TODAY(),"E","C",L$61,$D67,FrontPrice,L34,0))</f>
        <v/>
      </c>
      <c r="M67" s="45" t="str">
        <f ca="1">IF(M34="","",_xll.feImpliedVol(TODAY(),"E","C",M$61,$D67,FrontPrice,M34,0))</f>
        <v/>
      </c>
      <c r="N67" s="45" t="str">
        <f ca="1">IF(N34="","",_xll.feImpliedVol(TODAY(),"E","C",N$61,$D67,FrontPrice,N34,0))</f>
        <v/>
      </c>
      <c r="O67" s="45" t="str">
        <f ca="1">IF(O34="","",_xll.feImpliedVol(TODAY(),"E","C",O$61,$D67,FrontPrice,O34,0))</f>
        <v/>
      </c>
      <c r="P67" s="45" t="str">
        <f ca="1">IF(P34="","",_xll.feImpliedVol(TODAY(),"E","C",P$61,$D67,FrontPrice,P34,0))</f>
        <v/>
      </c>
      <c r="Q67" s="45">
        <f ca="1">IF(Q34="","",_xll.feImpliedVol(TODAY(),"E","C",Q$61,$D67,FrontPrice,Q34,0))</f>
        <v>-0.01</v>
      </c>
      <c r="R67" s="45" t="str">
        <f ca="1">IF(R34="","",_xll.feImpliedVol(TODAY(),"E","C",R$61,$D67,FrontPrice,R34,0))</f>
        <v/>
      </c>
      <c r="S67" s="45" t="str">
        <f ca="1">IF(S34="","",_xll.feImpliedVol(TODAY(),"E","C",S$61,$D67,FrontPrice,S34,0))</f>
        <v/>
      </c>
      <c r="T67" s="45" t="str">
        <f ca="1">IF(T34="","",_xll.feImpliedVol(TODAY(),"E","C",T$61,$D67,FrontPrice,T34,0))</f>
        <v/>
      </c>
      <c r="U67" s="45" t="str">
        <f ca="1">IF(U34="","",_xll.feImpliedVol(TODAY(),"E","C",U$61,$D67,FrontPrice,U34,0))</f>
        <v/>
      </c>
      <c r="V67" s="45" t="str">
        <f ca="1">IF(V34="","",_xll.feImpliedVol(TODAY(),"E","C",V$61,$D67,FrontPrice,V34,0))</f>
        <v/>
      </c>
      <c r="W67" s="46" t="str">
        <f ca="1">IF(W34="","",_xll.feImpliedVol(TODAY(),"E","C",W$61,$D67,FrontPrice,W34,0))</f>
        <v/>
      </c>
    </row>
    <row r="68" spans="4:23">
      <c r="D68" s="149">
        <f t="shared" ca="1" si="16"/>
        <v>43175</v>
      </c>
      <c r="E68" s="45" t="str">
        <f ca="1">IF(E35="","",_xll.feImpliedVol(TODAY(),"E","C",E$61,$D68,FrontPrice,E35,0))</f>
        <v/>
      </c>
      <c r="F68" s="45" t="str">
        <f ca="1">IF(F35="","",_xll.feImpliedVol(TODAY(),"E","C",F$61,$D68,FrontPrice,F35,0))</f>
        <v/>
      </c>
      <c r="G68" s="45" t="str">
        <f ca="1">IF(G35="","",_xll.feImpliedVol(TODAY(),"E","C",G$61,$D68,FrontPrice,G35,0))</f>
        <v/>
      </c>
      <c r="H68" s="45" t="str">
        <f ca="1">IF(H35="","",_xll.feImpliedVol(TODAY(),"E","C",H$61,$D68,FrontPrice,H35,0))</f>
        <v/>
      </c>
      <c r="I68" s="45" t="str">
        <f ca="1">IF(I35="","",_xll.feImpliedVol(TODAY(),"E","C",I$61,$D68,FrontPrice,I35,0))</f>
        <v/>
      </c>
      <c r="J68" s="45" t="str">
        <f ca="1">IF(J35="","",_xll.feImpliedVol(TODAY(),"E","C",J$61,$D68,FrontPrice,J35,0))</f>
        <v/>
      </c>
      <c r="K68" s="45" t="str">
        <f ca="1">IF(K35="","",_xll.feImpliedVol(TODAY(),"E","C",K$61,$D68,FrontPrice,K35,0))</f>
        <v/>
      </c>
      <c r="L68" s="45" t="str">
        <f ca="1">IF(L35="","",_xll.feImpliedVol(TODAY(),"E","C",L$61,$D68,FrontPrice,L35,0))</f>
        <v/>
      </c>
      <c r="M68" s="45" t="str">
        <f ca="1">IF(M35="","",_xll.feImpliedVol(TODAY(),"E","C",M$61,$D68,FrontPrice,M35,0))</f>
        <v/>
      </c>
      <c r="N68" s="45" t="str">
        <f ca="1">IF(N35="","",_xll.feImpliedVol(TODAY(),"E","C",N$61,$D68,FrontPrice,N35,0))</f>
        <v/>
      </c>
      <c r="O68" s="45" t="str">
        <f ca="1">IF(O35="","",_xll.feImpliedVol(TODAY(),"E","C",O$61,$D68,FrontPrice,O35,0))</f>
        <v/>
      </c>
      <c r="P68" s="45" t="str">
        <f ca="1">IF(P35="","",_xll.feImpliedVol(TODAY(),"E","C",P$61,$D68,FrontPrice,P35,0))</f>
        <v/>
      </c>
      <c r="Q68" s="45" t="str">
        <f ca="1">IF(Q35="","",_xll.feImpliedVol(TODAY(),"E","C",Q$61,$D68,FrontPrice,Q35,0))</f>
        <v/>
      </c>
      <c r="R68" s="45" t="str">
        <f ca="1">IF(R35="","",_xll.feImpliedVol(TODAY(),"E","C",R$61,$D68,FrontPrice,R35,0))</f>
        <v/>
      </c>
      <c r="S68" s="45" t="str">
        <f ca="1">IF(S35="","",_xll.feImpliedVol(TODAY(),"E","C",S$61,$D68,FrontPrice,S35,0))</f>
        <v/>
      </c>
      <c r="T68" s="45" t="str">
        <f ca="1">IF(T35="","",_xll.feImpliedVol(TODAY(),"E","C",T$61,$D68,FrontPrice,T35,0))</f>
        <v/>
      </c>
      <c r="U68" s="45" t="str">
        <f ca="1">IF(U35="","",_xll.feImpliedVol(TODAY(),"E","C",U$61,$D68,FrontPrice,U35,0))</f>
        <v/>
      </c>
      <c r="V68" s="45" t="str">
        <f ca="1">IF(V35="","",_xll.feImpliedVol(TODAY(),"E","C",V$61,$D68,FrontPrice,V35,0))</f>
        <v/>
      </c>
      <c r="W68" s="46" t="str">
        <f ca="1">IF(W35="","",_xll.feImpliedVol(TODAY(),"E","C",W$61,$D68,FrontPrice,W35,0))</f>
        <v/>
      </c>
    </row>
    <row r="69" spans="4:23">
      <c r="D69" s="149">
        <f t="shared" ca="1" si="16"/>
        <v>0</v>
      </c>
      <c r="E69" s="45" t="str">
        <f ca="1">IF(E36="","",_xll.feImpliedVol(TODAY(),"E","C",E$61,$D69,FrontPrice,E36,0))</f>
        <v/>
      </c>
      <c r="F69" s="45" t="str">
        <f ca="1">IF(F36="","",_xll.feImpliedVol(TODAY(),"E","C",F$61,$D69,FrontPrice,F36,0))</f>
        <v/>
      </c>
      <c r="G69" s="45" t="str">
        <f ca="1">IF(G36="","",_xll.feImpliedVol(TODAY(),"E","C",G$61,$D69,FrontPrice,G36,0))</f>
        <v/>
      </c>
      <c r="H69" s="45" t="str">
        <f ca="1">IF(H36="","",_xll.feImpliedVol(TODAY(),"E","C",H$61,$D69,FrontPrice,H36,0))</f>
        <v/>
      </c>
      <c r="I69" s="45" t="str">
        <f ca="1">IF(I36="","",_xll.feImpliedVol(TODAY(),"E","C",I$61,$D69,FrontPrice,I36,0))</f>
        <v/>
      </c>
      <c r="J69" s="45" t="str">
        <f ca="1">IF(J36="","",_xll.feImpliedVol(TODAY(),"E","C",J$61,$D69,FrontPrice,J36,0))</f>
        <v/>
      </c>
      <c r="K69" s="45" t="str">
        <f ca="1">IF(K36="","",_xll.feImpliedVol(TODAY(),"E","C",K$61,$D69,FrontPrice,K36,0))</f>
        <v/>
      </c>
      <c r="L69" s="45" t="str">
        <f ca="1">IF(L36="","",_xll.feImpliedVol(TODAY(),"E","C",L$61,$D69,FrontPrice,L36,0))</f>
        <v/>
      </c>
      <c r="M69" s="45" t="str">
        <f ca="1">IF(M36="","",_xll.feImpliedVol(TODAY(),"E","C",M$61,$D69,FrontPrice,M36,0))</f>
        <v/>
      </c>
      <c r="N69" s="45" t="str">
        <f ca="1">IF(N36="","",_xll.feImpliedVol(TODAY(),"E","C",N$61,$D69,FrontPrice,N36,0))</f>
        <v/>
      </c>
      <c r="O69" s="45" t="str">
        <f ca="1">IF(O36="","",_xll.feImpliedVol(TODAY(),"E","C",O$61,$D69,FrontPrice,O36,0))</f>
        <v/>
      </c>
      <c r="P69" s="45" t="str">
        <f ca="1">IF(P36="","",_xll.feImpliedVol(TODAY(),"E","C",P$61,$D69,FrontPrice,P36,0))</f>
        <v/>
      </c>
      <c r="Q69" s="45" t="str">
        <f ca="1">IF(Q36="","",_xll.feImpliedVol(TODAY(),"E","C",Q$61,$D69,FrontPrice,Q36,0))</f>
        <v/>
      </c>
      <c r="R69" s="45" t="str">
        <f ca="1">IF(R36="","",_xll.feImpliedVol(TODAY(),"E","C",R$61,$D69,FrontPrice,R36,0))</f>
        <v/>
      </c>
      <c r="S69" s="45" t="str">
        <f ca="1">IF(S36="","",_xll.feImpliedVol(TODAY(),"E","C",S$61,$D69,FrontPrice,S36,0))</f>
        <v/>
      </c>
      <c r="T69" s="45" t="str">
        <f ca="1">IF(T36="","",_xll.feImpliedVol(TODAY(),"E","C",T$61,$D69,FrontPrice,T36,0))</f>
        <v/>
      </c>
      <c r="U69" s="45" t="str">
        <f ca="1">IF(U36="","",_xll.feImpliedVol(TODAY(),"E","C",U$61,$D69,FrontPrice,U36,0))</f>
        <v/>
      </c>
      <c r="V69" s="45" t="str">
        <f ca="1">IF(V36="","",_xll.feImpliedVol(TODAY(),"E","C",V$61,$D69,FrontPrice,V36,0))</f>
        <v/>
      </c>
      <c r="W69" s="46" t="str">
        <f ca="1">IF(W36="","",_xll.feImpliedVol(TODAY(),"E","C",W$61,$D69,FrontPrice,W36,0))</f>
        <v/>
      </c>
    </row>
    <row r="70" spans="4:23">
      <c r="D70" s="149">
        <f t="shared" ca="1" si="16"/>
        <v>0</v>
      </c>
      <c r="E70" s="45" t="str">
        <f ca="1">IF(E37="","",_xll.feImpliedVol(TODAY(),"E","C",E$61,$D70,FrontPrice,E37,0))</f>
        <v/>
      </c>
      <c r="F70" s="45" t="str">
        <f ca="1">IF(F37="","",_xll.feImpliedVol(TODAY(),"E","C",F$61,$D70,FrontPrice,F37,0))</f>
        <v/>
      </c>
      <c r="G70" s="45" t="str">
        <f ca="1">IF(G37="","",_xll.feImpliedVol(TODAY(),"E","C",G$61,$D70,FrontPrice,G37,0))</f>
        <v/>
      </c>
      <c r="H70" s="45" t="str">
        <f ca="1">IF(H37="","",_xll.feImpliedVol(TODAY(),"E","C",H$61,$D70,FrontPrice,H37,0))</f>
        <v/>
      </c>
      <c r="I70" s="45" t="str">
        <f ca="1">IF(I37="","",_xll.feImpliedVol(TODAY(),"E","C",I$61,$D70,FrontPrice,I37,0))</f>
        <v/>
      </c>
      <c r="J70" s="45" t="str">
        <f ca="1">IF(J37="","",_xll.feImpliedVol(TODAY(),"E","C",J$61,$D70,FrontPrice,J37,0))</f>
        <v/>
      </c>
      <c r="K70" s="45" t="str">
        <f ca="1">IF(K37="","",_xll.feImpliedVol(TODAY(),"E","C",K$61,$D70,FrontPrice,K37,0))</f>
        <v/>
      </c>
      <c r="L70" s="45" t="str">
        <f ca="1">IF(L37="","",_xll.feImpliedVol(TODAY(),"E","C",L$61,$D70,FrontPrice,L37,0))</f>
        <v/>
      </c>
      <c r="M70" s="45" t="str">
        <f ca="1">IF(M37="","",_xll.feImpliedVol(TODAY(),"E","C",M$61,$D70,FrontPrice,M37,0))</f>
        <v/>
      </c>
      <c r="N70" s="45" t="str">
        <f ca="1">IF(N37="","",_xll.feImpliedVol(TODAY(),"E","C",N$61,$D70,FrontPrice,N37,0))</f>
        <v/>
      </c>
      <c r="O70" s="45" t="str">
        <f ca="1">IF(O37="","",_xll.feImpliedVol(TODAY(),"E","C",O$61,$D70,FrontPrice,O37,0))</f>
        <v/>
      </c>
      <c r="P70" s="45" t="str">
        <f ca="1">IF(P37="","",_xll.feImpliedVol(TODAY(),"E","C",P$61,$D70,FrontPrice,P37,0))</f>
        <v/>
      </c>
      <c r="Q70" s="45" t="str">
        <f ca="1">IF(Q37="","",_xll.feImpliedVol(TODAY(),"E","C",Q$61,$D70,FrontPrice,Q37,0))</f>
        <v/>
      </c>
      <c r="R70" s="45" t="str">
        <f ca="1">IF(R37="","",_xll.feImpliedVol(TODAY(),"E","C",R$61,$D70,FrontPrice,R37,0))</f>
        <v/>
      </c>
      <c r="S70" s="45" t="str">
        <f ca="1">IF(S37="","",_xll.feImpliedVol(TODAY(),"E","C",S$61,$D70,FrontPrice,S37,0))</f>
        <v/>
      </c>
      <c r="T70" s="45" t="str">
        <f ca="1">IF(T37="","",_xll.feImpliedVol(TODAY(),"E","C",T$61,$D70,FrontPrice,T37,0))</f>
        <v/>
      </c>
      <c r="U70" s="45" t="str">
        <f ca="1">IF(U37="","",_xll.feImpliedVol(TODAY(),"E","C",U$61,$D70,FrontPrice,U37,0))</f>
        <v/>
      </c>
      <c r="V70" s="45" t="str">
        <f ca="1">IF(V37="","",_xll.feImpliedVol(TODAY(),"E","C",V$61,$D70,FrontPrice,V37,0))</f>
        <v/>
      </c>
      <c r="W70" s="46" t="str">
        <f ca="1">IF(W37="","",_xll.feImpliedVol(TODAY(),"E","C",W$61,$D70,FrontPrice,W37,0))</f>
        <v/>
      </c>
    </row>
    <row r="71" spans="4:23">
      <c r="D71" s="149">
        <f t="shared" ca="1" si="16"/>
        <v>0</v>
      </c>
      <c r="E71" s="45" t="str">
        <f ca="1">IF(E38="","",_xll.feImpliedVol(TODAY(),"E","C",E$61,$D71,FrontPrice,E38,0))</f>
        <v/>
      </c>
      <c r="F71" s="45" t="str">
        <f ca="1">IF(F38="","",_xll.feImpliedVol(TODAY(),"E","C",F$61,$D71,FrontPrice,F38,0))</f>
        <v/>
      </c>
      <c r="G71" s="45" t="str">
        <f ca="1">IF(G38="","",_xll.feImpliedVol(TODAY(),"E","C",G$61,$D71,FrontPrice,G38,0))</f>
        <v/>
      </c>
      <c r="H71" s="45" t="str">
        <f ca="1">IF(H38="","",_xll.feImpliedVol(TODAY(),"E","C",H$61,$D71,FrontPrice,H38,0))</f>
        <v/>
      </c>
      <c r="I71" s="45" t="str">
        <f ca="1">IF(I38="","",_xll.feImpliedVol(TODAY(),"E","C",I$61,$D71,FrontPrice,I38,0))</f>
        <v/>
      </c>
      <c r="J71" s="45" t="str">
        <f ca="1">IF(J38="","",_xll.feImpliedVol(TODAY(),"E","C",J$61,$D71,FrontPrice,J38,0))</f>
        <v/>
      </c>
      <c r="K71" s="45" t="str">
        <f ca="1">IF(K38="","",_xll.feImpliedVol(TODAY(),"E","C",K$61,$D71,FrontPrice,K38,0))</f>
        <v/>
      </c>
      <c r="L71" s="45" t="str">
        <f ca="1">IF(L38="","",_xll.feImpliedVol(TODAY(),"E","C",L$61,$D71,FrontPrice,L38,0))</f>
        <v/>
      </c>
      <c r="M71" s="45" t="str">
        <f ca="1">IF(M38="","",_xll.feImpliedVol(TODAY(),"E","C",M$61,$D71,FrontPrice,M38,0))</f>
        <v/>
      </c>
      <c r="N71" s="45" t="str">
        <f ca="1">IF(N38="","",_xll.feImpliedVol(TODAY(),"E","C",N$61,$D71,FrontPrice,N38,0))</f>
        <v/>
      </c>
      <c r="O71" s="45" t="str">
        <f ca="1">IF(O38="","",_xll.feImpliedVol(TODAY(),"E","C",O$61,$D71,FrontPrice,O38,0))</f>
        <v/>
      </c>
      <c r="P71" s="45" t="str">
        <f ca="1">IF(P38="","",_xll.feImpliedVol(TODAY(),"E","C",P$61,$D71,FrontPrice,P38,0))</f>
        <v/>
      </c>
      <c r="Q71" s="45" t="str">
        <f ca="1">IF(Q38="","",_xll.feImpliedVol(TODAY(),"E","C",Q$61,$D71,FrontPrice,Q38,0))</f>
        <v/>
      </c>
      <c r="R71" s="45" t="str">
        <f ca="1">IF(R38="","",_xll.feImpliedVol(TODAY(),"E","C",R$61,$D71,FrontPrice,R38,0))</f>
        <v/>
      </c>
      <c r="S71" s="45" t="str">
        <f ca="1">IF(S38="","",_xll.feImpliedVol(TODAY(),"E","C",S$61,$D71,FrontPrice,S38,0))</f>
        <v/>
      </c>
      <c r="T71" s="45" t="str">
        <f ca="1">IF(T38="","",_xll.feImpliedVol(TODAY(),"E","C",T$61,$D71,FrontPrice,T38,0))</f>
        <v/>
      </c>
      <c r="U71" s="45" t="str">
        <f ca="1">IF(U38="","",_xll.feImpliedVol(TODAY(),"E","C",U$61,$D71,FrontPrice,U38,0))</f>
        <v/>
      </c>
      <c r="V71" s="45" t="str">
        <f ca="1">IF(V38="","",_xll.feImpliedVol(TODAY(),"E","C",V$61,$D71,FrontPrice,V38,0))</f>
        <v/>
      </c>
      <c r="W71" s="46" t="str">
        <f ca="1">IF(W38="","",_xll.feImpliedVol(TODAY(),"E","C",W$61,$D71,FrontPrice,W38,0))</f>
        <v/>
      </c>
    </row>
    <row r="72" spans="4:23">
      <c r="D72" s="149">
        <f ca="1">D57</f>
        <v>0</v>
      </c>
      <c r="E72" s="45" t="str">
        <f ca="1">IF(E39="","",_xll.feImpliedVol(TODAY(),"E","C",E$61,$D72,FrontPrice,E39,0))</f>
        <v/>
      </c>
      <c r="F72" s="45" t="str">
        <f ca="1">IF(F39="","",_xll.feImpliedVol(TODAY(),"E","C",F$61,$D72,FrontPrice,F39,0))</f>
        <v/>
      </c>
      <c r="G72" s="45" t="str">
        <f ca="1">IF(G39="","",_xll.feImpliedVol(TODAY(),"E","C",G$61,$D72,FrontPrice,G39,0))</f>
        <v/>
      </c>
      <c r="H72" s="45" t="str">
        <f ca="1">IF(H39="","",_xll.feImpliedVol(TODAY(),"E","C",H$61,$D72,FrontPrice,H39,0))</f>
        <v/>
      </c>
      <c r="I72" s="45" t="str">
        <f ca="1">IF(I39="","",_xll.feImpliedVol(TODAY(),"E","C",I$61,$D72,FrontPrice,I39,0))</f>
        <v/>
      </c>
      <c r="J72" s="45" t="str">
        <f ca="1">IF(J39="","",_xll.feImpliedVol(TODAY(),"E","C",J$61,$D72,FrontPrice,J39,0))</f>
        <v/>
      </c>
      <c r="K72" s="45" t="str">
        <f ca="1">IF(K39="","",_xll.feImpliedVol(TODAY(),"E","C",K$61,$D72,FrontPrice,K39,0))</f>
        <v/>
      </c>
      <c r="L72" s="45" t="str">
        <f ca="1">IF(L39="","",_xll.feImpliedVol(TODAY(),"E","C",L$61,$D72,FrontPrice,L39,0))</f>
        <v/>
      </c>
      <c r="M72" s="45" t="str">
        <f ca="1">IF(M39="","",_xll.feImpliedVol(TODAY(),"E","C",M$61,$D72,FrontPrice,M39,0))</f>
        <v/>
      </c>
      <c r="N72" s="45" t="str">
        <f ca="1">IF(N39="","",_xll.feImpliedVol(TODAY(),"E","C",N$61,$D72,FrontPrice,N39,0))</f>
        <v/>
      </c>
      <c r="O72" s="45" t="str">
        <f ca="1">IF(O39="","",_xll.feImpliedVol(TODAY(),"E","C",O$61,$D72,FrontPrice,O39,0))</f>
        <v/>
      </c>
      <c r="P72" s="45" t="str">
        <f ca="1">IF(P39="","",_xll.feImpliedVol(TODAY(),"E","C",P$61,$D72,FrontPrice,P39,0))</f>
        <v/>
      </c>
      <c r="Q72" s="45" t="str">
        <f ca="1">IF(Q39="","",_xll.feImpliedVol(TODAY(),"E","C",Q$61,$D72,FrontPrice,Q39,0))</f>
        <v/>
      </c>
      <c r="R72" s="45" t="str">
        <f ca="1">IF(R39="","",_xll.feImpliedVol(TODAY(),"E","C",R$61,$D72,FrontPrice,R39,0))</f>
        <v/>
      </c>
      <c r="S72" s="45" t="str">
        <f ca="1">IF(S39="","",_xll.feImpliedVol(TODAY(),"E","C",S$61,$D72,FrontPrice,S39,0))</f>
        <v/>
      </c>
      <c r="T72" s="45" t="str">
        <f ca="1">IF(T39="","",_xll.feImpliedVol(TODAY(),"E","C",T$61,$D72,FrontPrice,T39,0))</f>
        <v/>
      </c>
      <c r="U72" s="45" t="str">
        <f ca="1">IF(U39="","",_xll.feImpliedVol(TODAY(),"E","C",U$61,$D72,FrontPrice,U39,0))</f>
        <v/>
      </c>
      <c r="V72" s="45" t="str">
        <f ca="1">IF(V39="","",_xll.feImpliedVol(TODAY(),"E","C",V$61,$D72,FrontPrice,V39,0))</f>
        <v/>
      </c>
      <c r="W72" s="46" t="str">
        <f ca="1">IF(W39="","",_xll.feImpliedVol(TODAY(),"E","C",W$61,$D72,FrontPrice,W39,0))</f>
        <v/>
      </c>
    </row>
    <row r="73" spans="4:23">
      <c r="D73" s="154">
        <f ca="1">D58</f>
        <v>0</v>
      </c>
      <c r="E73" s="48" t="str">
        <f ca="1">IF(E40="","",_xll.feImpliedVol(TODAY(),"E","C",E$61,$D73,FrontPrice,E40,0))</f>
        <v/>
      </c>
      <c r="F73" s="48" t="str">
        <f ca="1">IF(F40="","",_xll.feImpliedVol(TODAY(),"E","C",F$61,$D73,FrontPrice,F40,0))</f>
        <v/>
      </c>
      <c r="G73" s="48" t="str">
        <f ca="1">IF(G40="","",_xll.feImpliedVol(TODAY(),"E","C",G$61,$D73,FrontPrice,G40,0))</f>
        <v/>
      </c>
      <c r="H73" s="48" t="str">
        <f ca="1">IF(H40="","",_xll.feImpliedVol(TODAY(),"E","C",H$61,$D73,FrontPrice,H40,0))</f>
        <v/>
      </c>
      <c r="I73" s="48" t="str">
        <f ca="1">IF(I40="","",_xll.feImpliedVol(TODAY(),"E","C",I$61,$D73,FrontPrice,I40,0))</f>
        <v/>
      </c>
      <c r="J73" s="48" t="str">
        <f ca="1">IF(J40="","",_xll.feImpliedVol(TODAY(),"E","C",J$61,$D73,FrontPrice,J40,0))</f>
        <v/>
      </c>
      <c r="K73" s="48" t="str">
        <f ca="1">IF(K40="","",_xll.feImpliedVol(TODAY(),"E","C",K$61,$D73,FrontPrice,K40,0))</f>
        <v/>
      </c>
      <c r="L73" s="48" t="str">
        <f ca="1">IF(L40="","",_xll.feImpliedVol(TODAY(),"E","C",L$61,$D73,FrontPrice,L40,0))</f>
        <v/>
      </c>
      <c r="M73" s="48" t="str">
        <f ca="1">IF(M40="","",_xll.feImpliedVol(TODAY(),"E","C",M$61,$D73,FrontPrice,M40,0))</f>
        <v/>
      </c>
      <c r="N73" s="48" t="str">
        <f ca="1">IF(N40="","",_xll.feImpliedVol(TODAY(),"E","C",N$61,$D73,FrontPrice,N40,0))</f>
        <v/>
      </c>
      <c r="O73" s="48" t="str">
        <f ca="1">IF(O40="","",_xll.feImpliedVol(TODAY(),"E","C",O$61,$D73,FrontPrice,O40,0))</f>
        <v/>
      </c>
      <c r="P73" s="48" t="str">
        <f ca="1">IF(P40="","",_xll.feImpliedVol(TODAY(),"E","C",P$61,$D73,FrontPrice,P40,0))</f>
        <v/>
      </c>
      <c r="Q73" s="48" t="str">
        <f ca="1">IF(Q40="","",_xll.feImpliedVol(TODAY(),"E","C",Q$61,$D73,FrontPrice,Q40,0))</f>
        <v/>
      </c>
      <c r="R73" s="48" t="str">
        <f ca="1">IF(R40="","",_xll.feImpliedVol(TODAY(),"E","C",R$61,$D73,FrontPrice,R40,0))</f>
        <v/>
      </c>
      <c r="S73" s="48" t="str">
        <f ca="1">IF(S40="","",_xll.feImpliedVol(TODAY(),"E","C",S$61,$D73,FrontPrice,S40,0))</f>
        <v/>
      </c>
      <c r="T73" s="48" t="str">
        <f ca="1">IF(T40="","",_xll.feImpliedVol(TODAY(),"E","C",T$61,$D73,FrontPrice,T40,0))</f>
        <v/>
      </c>
      <c r="U73" s="48" t="str">
        <f ca="1">IF(U40="","",_xll.feImpliedVol(TODAY(),"E","C",U$61,$D73,FrontPrice,U40,0))</f>
        <v/>
      </c>
      <c r="V73" s="48" t="str">
        <f ca="1">IF(V40="","",_xll.feImpliedVol(TODAY(),"E","C",V$61,$D73,FrontPrice,V40,0))</f>
        <v/>
      </c>
      <c r="W73" s="49" t="str">
        <f ca="1">IF(W40="","",_xll.feImpliedVol(TODAY(),"E","C",W$61,$D73,FrontPrice,W40,0))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Weeklies">
                <anchor moveWithCells="1" sizeWithCells="1">
                  <from>
                    <xdr:col>3</xdr:col>
                    <xdr:colOff>114300</xdr:colOff>
                    <xdr:row>1</xdr:row>
                    <xdr:rowOff>0</xdr:rowOff>
                  </from>
                  <to>
                    <xdr:col>3</xdr:col>
                    <xdr:colOff>1485900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F18"/>
  <sheetViews>
    <sheetView showGridLines="0" zoomScale="70" zoomScaleNormal="70" workbookViewId="0">
      <selection activeCell="D26" sqref="D26"/>
    </sheetView>
  </sheetViews>
  <sheetFormatPr defaultRowHeight="12.75"/>
  <cols>
    <col min="3" max="3" width="31.5703125" bestFit="1" customWidth="1"/>
    <col min="4" max="4" width="40" bestFit="1" customWidth="1"/>
    <col min="5" max="5" width="11.5703125" customWidth="1"/>
    <col min="10" max="10" width="31.5703125" bestFit="1" customWidth="1"/>
    <col min="11" max="13" width="40" bestFit="1" customWidth="1"/>
    <col min="18" max="18" width="32" bestFit="1" customWidth="1"/>
    <col min="19" max="19" width="14.85546875" bestFit="1" customWidth="1"/>
    <col min="24" max="24" width="24.28515625" bestFit="1" customWidth="1"/>
    <col min="25" max="25" width="18.7109375" bestFit="1" customWidth="1"/>
  </cols>
  <sheetData>
    <row r="3" spans="3:6" ht="13.5" thickBot="1"/>
    <row r="4" spans="3:6" ht="13.5" customHeight="1" thickBot="1">
      <c r="E4" s="159" t="s">
        <v>90</v>
      </c>
      <c r="F4" s="160"/>
    </row>
    <row r="5" spans="3:6" ht="16.5" customHeight="1" thickBot="1">
      <c r="C5" s="66" t="s">
        <v>66</v>
      </c>
      <c r="D5" s="66" t="s">
        <v>67</v>
      </c>
      <c r="E5" s="66" t="s">
        <v>37</v>
      </c>
      <c r="F5" s="66" t="s">
        <v>92</v>
      </c>
    </row>
    <row r="6" spans="3:6" ht="13.5" thickBot="1">
      <c r="C6" s="67" t="s">
        <v>68</v>
      </c>
      <c r="D6" s="68" t="s">
        <v>69</v>
      </c>
      <c r="E6" s="68" t="s">
        <v>71</v>
      </c>
      <c r="F6" s="68" t="s">
        <v>73</v>
      </c>
    </row>
    <row r="7" spans="3:6" ht="13.5" thickBot="1">
      <c r="C7" s="67" t="s">
        <v>70</v>
      </c>
      <c r="D7" s="68" t="s">
        <v>71</v>
      </c>
      <c r="E7" s="68" t="s">
        <v>71</v>
      </c>
      <c r="F7" s="68" t="s">
        <v>73</v>
      </c>
    </row>
    <row r="8" spans="3:6" ht="13.5" thickBot="1">
      <c r="C8" s="67" t="s">
        <v>72</v>
      </c>
      <c r="D8" s="68" t="s">
        <v>73</v>
      </c>
      <c r="E8" s="68" t="s">
        <v>75</v>
      </c>
      <c r="F8" s="68" t="s">
        <v>73</v>
      </c>
    </row>
    <row r="9" spans="3:6" ht="13.5" thickBot="1">
      <c r="C9" s="67" t="s">
        <v>74</v>
      </c>
      <c r="D9" s="68" t="s">
        <v>75</v>
      </c>
      <c r="E9" s="68" t="s">
        <v>75</v>
      </c>
      <c r="F9" s="68" t="s">
        <v>91</v>
      </c>
    </row>
    <row r="10" spans="3:6" ht="13.5" thickBot="1">
      <c r="C10" s="67" t="s">
        <v>76</v>
      </c>
      <c r="D10" s="68" t="s">
        <v>63</v>
      </c>
      <c r="E10" s="68" t="s">
        <v>77</v>
      </c>
      <c r="F10" s="68" t="s">
        <v>63</v>
      </c>
    </row>
    <row r="11" spans="3:6" ht="13.5" thickBot="1">
      <c r="C11" s="67" t="s">
        <v>30</v>
      </c>
      <c r="D11" s="68" t="s">
        <v>77</v>
      </c>
      <c r="E11" s="68" t="s">
        <v>77</v>
      </c>
      <c r="F11" s="68" t="s">
        <v>91</v>
      </c>
    </row>
    <row r="12" spans="3:6" ht="13.5" thickBot="1">
      <c r="C12" s="67" t="s">
        <v>78</v>
      </c>
      <c r="D12" s="68" t="s">
        <v>79</v>
      </c>
      <c r="E12" s="68" t="s">
        <v>81</v>
      </c>
      <c r="F12" s="68" t="s">
        <v>79</v>
      </c>
    </row>
    <row r="13" spans="3:6" ht="13.5" thickBot="1">
      <c r="C13" s="67" t="s">
        <v>80</v>
      </c>
      <c r="D13" s="68" t="s">
        <v>81</v>
      </c>
      <c r="E13" s="68" t="s">
        <v>81</v>
      </c>
      <c r="F13" s="68" t="s">
        <v>91</v>
      </c>
    </row>
    <row r="14" spans="3:6" ht="13.5" thickBot="1">
      <c r="C14" s="67" t="s">
        <v>82</v>
      </c>
      <c r="D14" s="68" t="s">
        <v>83</v>
      </c>
      <c r="E14" s="68" t="s">
        <v>85</v>
      </c>
      <c r="F14" s="68" t="s">
        <v>83</v>
      </c>
    </row>
    <row r="15" spans="3:6" ht="13.5" thickBot="1">
      <c r="C15" s="67" t="s">
        <v>84</v>
      </c>
      <c r="D15" s="68" t="s">
        <v>85</v>
      </c>
      <c r="E15" s="68" t="s">
        <v>85</v>
      </c>
      <c r="F15" s="68" t="s">
        <v>89</v>
      </c>
    </row>
    <row r="16" spans="3:6" ht="13.5" thickBot="1">
      <c r="C16" s="67" t="s">
        <v>86</v>
      </c>
      <c r="D16" s="68" t="s">
        <v>87</v>
      </c>
      <c r="E16" s="68" t="s">
        <v>89</v>
      </c>
      <c r="F16" s="68" t="s">
        <v>89</v>
      </c>
    </row>
    <row r="17" spans="3:6" ht="13.5" thickBot="1">
      <c r="C17" s="67" t="s">
        <v>88</v>
      </c>
      <c r="D17" s="68" t="s">
        <v>89</v>
      </c>
      <c r="E17" s="68" t="s">
        <v>89</v>
      </c>
      <c r="F17" s="68" t="s">
        <v>89</v>
      </c>
    </row>
    <row r="18" spans="3:6">
      <c r="E18" s="69"/>
      <c r="F18" s="69"/>
    </row>
  </sheetData>
  <mergeCells count="1">
    <mergeCell ref="E4:F4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4:E13"/>
  <sheetViews>
    <sheetView workbookViewId="0">
      <selection activeCell="E17" sqref="E17"/>
    </sheetView>
  </sheetViews>
  <sheetFormatPr defaultRowHeight="12.75"/>
  <cols>
    <col min="3" max="3" width="10.140625" bestFit="1" customWidth="1"/>
  </cols>
  <sheetData>
    <row r="4" spans="3:5">
      <c r="C4" s="136">
        <v>43159</v>
      </c>
      <c r="D4">
        <v>16.61</v>
      </c>
    </row>
    <row r="5" spans="3:5">
      <c r="C5" s="136">
        <v>43434</v>
      </c>
    </row>
    <row r="7" spans="3:5">
      <c r="C7">
        <f ca="1">C5-C4</f>
        <v>275</v>
      </c>
    </row>
    <row r="8" spans="3:5">
      <c r="C8">
        <f ca="1">C7/365</f>
        <v>0.75342465753424659</v>
      </c>
      <c r="D8">
        <v>0.36</v>
      </c>
    </row>
    <row r="9" spans="3:5">
      <c r="D9">
        <f ca="1">D8/D4</f>
        <v>2.1673690547862733E-2</v>
      </c>
    </row>
    <row r="10" spans="3:5">
      <c r="D10" s="3">
        <f ca="1">D9/C8</f>
        <v>2.8766898363526899E-2</v>
      </c>
    </row>
    <row r="13" spans="3:5">
      <c r="E13">
        <v>133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Sheet1</vt:lpstr>
      <vt:lpstr>Ali</vt:lpstr>
      <vt:lpstr>Ali vol</vt:lpstr>
      <vt:lpstr>CMX Gold</vt:lpstr>
      <vt:lpstr>Weeklies</vt:lpstr>
      <vt:lpstr>Static</vt:lpstr>
      <vt:lpstr>Sheet2</vt:lpstr>
      <vt:lpstr>ASK_MONTH</vt:lpstr>
      <vt:lpstr>ASK_Strikes</vt:lpstr>
      <vt:lpstr>Asset</vt:lpstr>
      <vt:lpstr>BID_Strikes</vt:lpstr>
      <vt:lpstr>center_strike</vt:lpstr>
      <vt:lpstr>Front</vt:lpstr>
      <vt:lpstr>FrontExpiry</vt:lpstr>
      <vt:lpstr>FrontPrice</vt:lpstr>
      <vt:lpstr>FutExpCode</vt:lpstr>
      <vt:lpstr>FutExpiry</vt:lpstr>
      <vt:lpstr>FutPrice</vt:lpstr>
      <vt:lpstr>LFutExpCode</vt:lpstr>
      <vt:lpstr>LFutPrice</vt:lpstr>
      <vt:lpstr>OptionTicker</vt:lpstr>
      <vt:lpstr>print</vt:lpstr>
      <vt:lpstr>printExp</vt:lpstr>
      <vt:lpstr>printW</vt:lpstr>
      <vt:lpstr>Rate_Inst</vt:lpstr>
      <vt:lpstr>Ref</vt:lpstr>
      <vt:lpstr>Spot</vt:lpstr>
      <vt:lpstr>WASK_MONTH</vt:lpstr>
      <vt:lpstr>WASK_Strikes</vt:lpstr>
    </vt:vector>
  </TitlesOfParts>
  <Company>Commerzbank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Thiebaud Format</dc:creator>
  <cp:lastModifiedBy>Thiebaud Format</cp:lastModifiedBy>
  <cp:lastPrinted>2018-02-16T10:13:11Z</cp:lastPrinted>
  <dcterms:created xsi:type="dcterms:W3CDTF">2017-09-25T09:05:58Z</dcterms:created>
  <dcterms:modified xsi:type="dcterms:W3CDTF">2018-03-13T16:09:47Z</dcterms:modified>
</cp:coreProperties>
</file>